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p-my.sharepoint.com/personal/akates_csipacific_ca/Documents/CSI-Pacific-RTP/RTP Resources/"/>
    </mc:Choice>
  </mc:AlternateContent>
  <xr:revisionPtr revIDLastSave="166" documentId="8_{0B4D481B-A51D-3A41-AB23-50326DC0D5EC}" xr6:coauthVersionLast="47" xr6:coauthVersionMax="47" xr10:uidLastSave="{6E384B46-AA39-5B4D-BE0D-A0DC6259E792}"/>
  <bookViews>
    <workbookView xWindow="0" yWindow="760" windowWidth="30240" windowHeight="18880" xr2:uid="{FFEF5CE7-C993-9145-B48B-4798C2B47F70}"/>
  </bookViews>
  <sheets>
    <sheet name="Sheet1" sheetId="1" r:id="rId1"/>
    <sheet name="DayRates" sheetId="2" r:id="rId2"/>
  </sheets>
  <definedNames>
    <definedName name="day_rates">DayRates!$A$1:$B$5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D10" i="1"/>
  <c r="E10" i="1" s="1"/>
  <c r="I10" i="1" s="1"/>
  <c r="I13" i="1" s="1"/>
  <c r="E4" i="1"/>
  <c r="E3" i="1"/>
  <c r="I14" i="1" l="1"/>
  <c r="F10" i="1"/>
  <c r="F14" i="1" s="1"/>
  <c r="H10" i="1"/>
  <c r="H14" i="1" s="1"/>
  <c r="G10" i="1"/>
  <c r="G14" i="1" s="1"/>
  <c r="G13" i="1" l="1"/>
  <c r="H13" i="1"/>
  <c r="F13" i="1"/>
</calcChain>
</file>

<file path=xl/sharedStrings.xml><?xml version="1.0" encoding="utf-8"?>
<sst xmlns="http://schemas.openxmlformats.org/spreadsheetml/2006/main" count="38" uniqueCount="33">
  <si>
    <t>PS1</t>
  </si>
  <si>
    <t>PS2</t>
  </si>
  <si>
    <t>PS3</t>
  </si>
  <si>
    <t>PS4</t>
  </si>
  <si>
    <t>Description</t>
  </si>
  <si>
    <t>Estimated Weekly Hours</t>
  </si>
  <si>
    <t>In Person Delivery</t>
  </si>
  <si>
    <t>Planning</t>
  </si>
  <si>
    <t>Coaching, Testing</t>
  </si>
  <si>
    <t>Days</t>
  </si>
  <si>
    <t>level</t>
  </si>
  <si>
    <t>cost</t>
  </si>
  <si>
    <t>This plan estimates the number of hours that would be dedicated specifically to the service of a Whistler-based NSO athlete completing rehabilitation from ACL repar surgery.  Service likely delivered by PS2 or PS3 practitioner.</t>
  </si>
  <si>
    <t>Department</t>
  </si>
  <si>
    <t>Service</t>
  </si>
  <si>
    <t>Gold Program</t>
  </si>
  <si>
    <t>S&amp;C</t>
  </si>
  <si>
    <t>Physiology</t>
  </si>
  <si>
    <t>Nutrition</t>
  </si>
  <si>
    <t>Mental Perf.</t>
  </si>
  <si>
    <t>Program Building, Monitoring, Planning, Research, Athlete Communication, IST Communication</t>
  </si>
  <si>
    <t>Est. Monthly Cost</t>
  </si>
  <si>
    <t>Notes</t>
  </si>
  <si>
    <t>-15 hours per week of S&amp;C service delivery is an estimated average with high variance</t>
  </si>
  <si>
    <t>-This is the estimated time allocation above and beyond normal service delivery</t>
  </si>
  <si>
    <t>-Estimated hours reflect a middle ground between a high-maintenance and low-maintenance rehab</t>
  </si>
  <si>
    <t>-Majority of workload could occur between weeks 4-32, hence the 28 week cost estimate</t>
  </si>
  <si>
    <t>-Hours spent on "planning" may be made more efficient by implementation of the CSIP RTP Protocol</t>
  </si>
  <si>
    <t>-Hours of "In Person Delivery" should not decrease with implementation of the protocol</t>
  </si>
  <si>
    <t>-Contributions from Physiology, Nutrition and Mental Perf are crucial but, time commitment may be considered negligible</t>
  </si>
  <si>
    <t>-Service delivery will almost always be provided by PS2 or PS3 practitioner</t>
  </si>
  <si>
    <t>Est. 28 week commit</t>
  </si>
  <si>
    <t>-Actual RTP service may last 36-52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</si>
</sst>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0" fillId="0" borderId="0" xfId="0" quotePrefix="1"/>
    <xf numFmtId="0" fontId="0" fillId="4" borderId="0" xfId="0" applyFill="1"/>
    <xf numFmtId="0" fontId="0" fillId="4" borderId="0" xfId="0" applyFill="1" applyAlignment="1">
      <alignment horizontal="center" vertical="center"/>
    </xf>
    <xf numFmtId="164" fontId="0" fillId="4" borderId="0" xfId="1" applyNumberFormat="1" applyFont="1" applyFill="1" applyAlignment="1">
      <alignment horizontal="center" vertical="center"/>
    </xf>
    <xf numFmtId="164" fontId="0" fillId="4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CDA2-9427-7449-B447-D1E340E46B48}">
  <dimension ref="A1:I26"/>
  <sheetViews>
    <sheetView tabSelected="1" workbookViewId="0">
      <selection activeCell="D21" sqref="D21"/>
    </sheetView>
  </sheetViews>
  <sheetFormatPr baseColWidth="10" defaultRowHeight="16" x14ac:dyDescent="0.2"/>
  <cols>
    <col min="1" max="2" width="18.33203125" customWidth="1"/>
    <col min="3" max="3" width="91.33203125" customWidth="1"/>
    <col min="4" max="4" width="21.5" customWidth="1"/>
    <col min="5" max="5" width="19.6640625" customWidth="1"/>
  </cols>
  <sheetData>
    <row r="1" spans="1:9" ht="51" customHeight="1" x14ac:dyDescent="0.2">
      <c r="A1" s="5" t="s">
        <v>15</v>
      </c>
      <c r="B1" s="5"/>
      <c r="C1" s="3" t="s">
        <v>12</v>
      </c>
    </row>
    <row r="2" spans="1:9" x14ac:dyDescent="0.2">
      <c r="A2" s="1" t="s">
        <v>14</v>
      </c>
      <c r="B2" s="1" t="s">
        <v>13</v>
      </c>
      <c r="C2" s="1" t="s">
        <v>4</v>
      </c>
      <c r="D2" s="4" t="s">
        <v>5</v>
      </c>
      <c r="E2" s="4" t="s">
        <v>9</v>
      </c>
      <c r="F2" s="4" t="s">
        <v>0</v>
      </c>
      <c r="G2" s="4" t="s">
        <v>1</v>
      </c>
      <c r="H2" s="4" t="s">
        <v>2</v>
      </c>
      <c r="I2" s="4" t="s">
        <v>3</v>
      </c>
    </row>
    <row r="3" spans="1:9" x14ac:dyDescent="0.2">
      <c r="A3" t="s">
        <v>6</v>
      </c>
      <c r="B3" s="2" t="s">
        <v>16</v>
      </c>
      <c r="C3" t="s">
        <v>8</v>
      </c>
      <c r="D3" s="2">
        <v>10</v>
      </c>
      <c r="E3" s="2">
        <f>D3/8</f>
        <v>1.25</v>
      </c>
      <c r="F3" s="2"/>
      <c r="G3" s="2"/>
      <c r="H3" s="2"/>
      <c r="I3" s="2"/>
    </row>
    <row r="4" spans="1:9" x14ac:dyDescent="0.2">
      <c r="A4" t="s">
        <v>7</v>
      </c>
      <c r="B4" s="2" t="s">
        <v>16</v>
      </c>
      <c r="C4" t="s">
        <v>20</v>
      </c>
      <c r="D4" s="2">
        <v>5</v>
      </c>
      <c r="E4" s="2">
        <f>D4/8</f>
        <v>0.625</v>
      </c>
      <c r="F4" s="2"/>
      <c r="G4" s="2"/>
      <c r="H4" s="2"/>
      <c r="I4" s="2"/>
    </row>
    <row r="5" spans="1:9" x14ac:dyDescent="0.2">
      <c r="A5" t="s">
        <v>17</v>
      </c>
      <c r="B5" s="2"/>
      <c r="D5" s="2"/>
      <c r="E5" s="2">
        <f t="shared" ref="E5:E7" si="0">D5/8</f>
        <v>0</v>
      </c>
      <c r="F5" s="2"/>
      <c r="G5" s="2"/>
      <c r="H5" s="2"/>
      <c r="I5" s="2"/>
    </row>
    <row r="6" spans="1:9" x14ac:dyDescent="0.2">
      <c r="A6" t="s">
        <v>18</v>
      </c>
      <c r="B6" s="2"/>
      <c r="D6" s="2"/>
      <c r="E6" s="2">
        <f t="shared" si="0"/>
        <v>0</v>
      </c>
      <c r="F6" s="2"/>
      <c r="G6" s="2"/>
      <c r="H6" s="2"/>
      <c r="I6" s="2"/>
    </row>
    <row r="7" spans="1:9" x14ac:dyDescent="0.2">
      <c r="A7" t="s">
        <v>19</v>
      </c>
      <c r="B7" s="2"/>
      <c r="D7" s="2"/>
      <c r="E7" s="2">
        <f t="shared" si="0"/>
        <v>0</v>
      </c>
      <c r="F7" s="2"/>
      <c r="G7" s="2"/>
      <c r="H7" s="2"/>
      <c r="I7" s="2"/>
    </row>
    <row r="8" spans="1:9" x14ac:dyDescent="0.2">
      <c r="B8" s="2"/>
      <c r="D8" s="2"/>
      <c r="E8" s="2"/>
      <c r="F8" s="2"/>
      <c r="G8" s="2"/>
      <c r="H8" s="2"/>
      <c r="I8" s="2"/>
    </row>
    <row r="9" spans="1:9" x14ac:dyDescent="0.2">
      <c r="B9" s="2"/>
      <c r="D9" s="2"/>
      <c r="E9" s="2"/>
      <c r="F9" s="2"/>
      <c r="G9" s="2"/>
      <c r="H9" s="2"/>
      <c r="I9" s="2"/>
    </row>
    <row r="10" spans="1:9" x14ac:dyDescent="0.2">
      <c r="A10" s="8"/>
      <c r="B10" s="8"/>
      <c r="C10" s="8"/>
      <c r="D10" s="9">
        <f>SUM(D3:D9)</f>
        <v>15</v>
      </c>
      <c r="E10" s="9">
        <f>D10/8</f>
        <v>1.875</v>
      </c>
      <c r="F10" s="10">
        <f>INDEX(DayRates!$B:$B,MATCH(F$2,DayRates!$A:$A,0))*$E$10</f>
        <v>468.75</v>
      </c>
      <c r="G10" s="10">
        <f>INDEX(DayRates!$B:$B,MATCH(G$2,DayRates!$A:$A,0))*$E$10</f>
        <v>656.25</v>
      </c>
      <c r="H10" s="10">
        <f>INDEX(DayRates!$B:$B,MATCH(H$2,DayRates!$A:$A,0))*$E$10</f>
        <v>843.75</v>
      </c>
      <c r="I10" s="10">
        <f>INDEX(DayRates!$B:$B,MATCH(I$2,DayRates!$A:$A,0))*$E$10</f>
        <v>1031.25</v>
      </c>
    </row>
    <row r="11" spans="1:9" x14ac:dyDescent="0.2">
      <c r="E11" s="8"/>
      <c r="F11" s="8"/>
      <c r="G11" s="8"/>
      <c r="H11" s="8"/>
      <c r="I11" s="8"/>
    </row>
    <row r="12" spans="1:9" x14ac:dyDescent="0.2">
      <c r="E12" s="8"/>
      <c r="F12" s="8"/>
      <c r="G12" s="8"/>
      <c r="H12" s="8"/>
      <c r="I12" s="8"/>
    </row>
    <row r="13" spans="1:9" x14ac:dyDescent="0.2">
      <c r="E13" s="8" t="s">
        <v>21</v>
      </c>
      <c r="F13" s="11">
        <f>F10*4</f>
        <v>1875</v>
      </c>
      <c r="G13" s="11">
        <f t="shared" ref="G13:I13" si="1">G10*4</f>
        <v>2625</v>
      </c>
      <c r="H13" s="11">
        <f t="shared" si="1"/>
        <v>3375</v>
      </c>
      <c r="I13" s="11">
        <f t="shared" si="1"/>
        <v>4125</v>
      </c>
    </row>
    <row r="14" spans="1:9" x14ac:dyDescent="0.2">
      <c r="E14" s="8" t="s">
        <v>31</v>
      </c>
      <c r="F14" s="11">
        <f>F10*28</f>
        <v>13125</v>
      </c>
      <c r="G14" s="11">
        <f t="shared" ref="G14:I14" si="2">G10*28</f>
        <v>18375</v>
      </c>
      <c r="H14" s="11">
        <f t="shared" si="2"/>
        <v>23625</v>
      </c>
      <c r="I14" s="11">
        <f t="shared" si="2"/>
        <v>28875</v>
      </c>
    </row>
    <row r="17" spans="3:3" x14ac:dyDescent="0.2">
      <c r="C17" s="6" t="s">
        <v>22</v>
      </c>
    </row>
    <row r="18" spans="3:3" x14ac:dyDescent="0.2">
      <c r="C18" s="7" t="s">
        <v>23</v>
      </c>
    </row>
    <row r="19" spans="3:3" x14ac:dyDescent="0.2">
      <c r="C19" s="7" t="s">
        <v>24</v>
      </c>
    </row>
    <row r="20" spans="3:3" x14ac:dyDescent="0.2">
      <c r="C20" s="7" t="s">
        <v>25</v>
      </c>
    </row>
    <row r="21" spans="3:3" x14ac:dyDescent="0.2">
      <c r="C21" s="7" t="s">
        <v>26</v>
      </c>
    </row>
    <row r="22" spans="3:3" x14ac:dyDescent="0.2">
      <c r="C22" s="7" t="s">
        <v>32</v>
      </c>
    </row>
    <row r="23" spans="3:3" x14ac:dyDescent="0.2">
      <c r="C23" s="7" t="s">
        <v>27</v>
      </c>
    </row>
    <row r="24" spans="3:3" x14ac:dyDescent="0.2">
      <c r="C24" s="7" t="s">
        <v>28</v>
      </c>
    </row>
    <row r="25" spans="3:3" x14ac:dyDescent="0.2">
      <c r="C25" s="7" t="s">
        <v>30</v>
      </c>
    </row>
    <row r="26" spans="3:3" x14ac:dyDescent="0.2">
      <c r="C26" s="7" t="s">
        <v>29</v>
      </c>
    </row>
  </sheetData>
  <mergeCells count="1">
    <mergeCell ref="A1:B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2C55-F87F-E14A-8393-69830D68E298}">
  <dimension ref="A1:B5"/>
  <sheetViews>
    <sheetView workbookViewId="0">
      <selection activeCell="D6" sqref="D6"/>
    </sheetView>
  </sheetViews>
  <sheetFormatPr baseColWidth="10" defaultRowHeight="16" x14ac:dyDescent="0.2"/>
  <sheetData>
    <row r="1" spans="1:2" x14ac:dyDescent="0.2">
      <c r="A1" t="s">
        <v>10</v>
      </c>
      <c r="B1" t="s">
        <v>11</v>
      </c>
    </row>
    <row r="2" spans="1:2" x14ac:dyDescent="0.2">
      <c r="A2" t="s">
        <v>0</v>
      </c>
      <c r="B2">
        <v>250</v>
      </c>
    </row>
    <row r="3" spans="1:2" x14ac:dyDescent="0.2">
      <c r="A3" t="s">
        <v>1</v>
      </c>
      <c r="B3">
        <v>350</v>
      </c>
    </row>
    <row r="4" spans="1:2" x14ac:dyDescent="0.2">
      <c r="A4" t="s">
        <v>2</v>
      </c>
      <c r="B4">
        <v>450</v>
      </c>
    </row>
    <row r="5" spans="1:2" x14ac:dyDescent="0.2">
      <c r="A5" t="s">
        <v>3</v>
      </c>
      <c r="B5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DayRates</vt:lpstr>
      <vt:lpstr>day_rates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Kates</dc:creator>
  <cp:lastModifiedBy>Andrew Kates</cp:lastModifiedBy>
  <dcterms:created xsi:type="dcterms:W3CDTF">2026-05-25T21:10:10Z</dcterms:created>
  <dcterms:modified xsi:type="dcterms:W3CDTF">2026-06-04T20:09:19Z</dcterms:modified>
</cp:coreProperties>
</file>