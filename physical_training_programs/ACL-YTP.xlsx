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style1.xml" ContentType="application/vnd.ms-office.chartstyle+xml"/>
  <Override PartName="/xl/charts/colors1.xml" ContentType="application/vnd.ms-office.chartcolorstyle+xml"/>
  <Override PartName="/xl/charts/chart11.xml" ContentType="application/vnd.openxmlformats-officedocument.drawingml.chart+xml"/>
  <Override PartName="/xl/charts/style2.xml" ContentType="application/vnd.ms-office.chartstyle+xml"/>
  <Override PartName="/xl/charts/colors2.xml" ContentType="application/vnd.ms-office.chartcolorstyle+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defaultThemeVersion="202300"/>
  <mc:AlternateContent xmlns:mc="http://schemas.openxmlformats.org/markup-compatibility/2006">
    <mc:Choice Requires="x15">
      <x15ac:absPath xmlns:x15ac="http://schemas.microsoft.com/office/spreadsheetml/2010/11/ac" url="https://csip-my.sharepoint.com/personal/akates_csipacific_ca/Documents/CSI-Pacific-RTP/physical_training_programs/"/>
    </mc:Choice>
  </mc:AlternateContent>
  <xr:revisionPtr revIDLastSave="1635" documentId="8_{BFB843B3-D989-7A4D-8D1F-FAE412E32926}" xr6:coauthVersionLast="47" xr6:coauthVersionMax="47" xr10:uidLastSave="{45F65A87-F4CB-BB4C-B453-A7E061C083FE}"/>
  <bookViews>
    <workbookView xWindow="-4580" yWindow="-21100" windowWidth="38400" windowHeight="21100" activeTab="2" xr2:uid="{CB4C0695-1761-E34D-B0FA-048951FCCAE7}"/>
  </bookViews>
  <sheets>
    <sheet name="acl_ytp" sheetId="4" r:id="rId1"/>
    <sheet name="Checklist" sheetId="5" r:id="rId2"/>
    <sheet name="1" sheetId="6" r:id="rId3"/>
  </sheets>
  <externalReferences>
    <externalReference r:id="rId4"/>
    <externalReference r:id="rId5"/>
  </externalReferences>
  <definedNames>
    <definedName name="AccessoryCircuits" localSheetId="2">[2]ExerciseInventory!$BX$3:$BX$7</definedName>
    <definedName name="AccessoryCircuits">[1]ExerciseInventory!$BX$3:$BX$7</definedName>
    <definedName name="AccessoryTriplets" localSheetId="2">[2]ExerciseInventory!$W$4:$W$222</definedName>
    <definedName name="AccessoryTriplets">[1]ExerciseInventory!$W$4:$W$225</definedName>
    <definedName name="athletenames" localSheetId="2">[2]ControlPanel!$AS$6:$AS$29</definedName>
    <definedName name="athletenames">[1]ControlPanel!$AS$6:$AS$29</definedName>
    <definedName name="athletes" localSheetId="2">[2]ControlPanel!$AS$6:$AS$29</definedName>
    <definedName name="athletes">[1]ControlPanel!$AS$6:$AS$29</definedName>
    <definedName name="Categories" localSheetId="2">[2]ExerciseInventory!$A$2:$A$14</definedName>
    <definedName name="Categories">[1]ExerciseInventory!$A$2:$A$14</definedName>
    <definedName name="Core">[1]ExerciseInventory!$H$3:$H$382</definedName>
    <definedName name="Correctives" localSheetId="2">[2]ExerciseInventory!$Q$3:$Q$595</definedName>
    <definedName name="Correctives">[1]ExerciseInventory!$Q$3:$Q$595</definedName>
    <definedName name="CrazyCore" localSheetId="2">[2]ExerciseInventory!$H$237:$H$254</definedName>
    <definedName name="CrazyCore">[1]ExerciseInventory!$H$237:$H$254</definedName>
    <definedName name="CxReps" localSheetId="2">[2]ExerciseInventory!$BE$4:$BE$26</definedName>
    <definedName name="CxReps">[1]ExerciseInventory!$BE$4:$BE$26</definedName>
    <definedName name="Eqpt" localSheetId="2">[2]ExerciseInventory!$BF$4:$BF$25</definedName>
    <definedName name="Eqpt">[1]ExerciseInventory!$BF$4:$BF$25</definedName>
    <definedName name="ExerciseOrder" localSheetId="2">[2]ExerciseInventory!$BB$4:$BB$29</definedName>
    <definedName name="ExerciseOrder">[1]ExerciseInventory!$BB$4:$BB$29</definedName>
    <definedName name="LiftTracking" localSheetId="2">[2]ExerciseInventory!$AQ$3:$AQ$45</definedName>
    <definedName name="LiftTracking">[1]ExerciseInventory!$AQ$3:$AQ$45</definedName>
    <definedName name="ListSetRepSchemes" localSheetId="2">[2]ControlPanel!$A$5:$A$282</definedName>
    <definedName name="ListSetRepSchemes">[1]ControlPanel!$A$5:$A$282</definedName>
    <definedName name="LoadCategories" localSheetId="2">[2]ExerciseInventory!$A$15:$A$20</definedName>
    <definedName name="LoadCategories">[1]ExerciseInventory!$A$15:$A$20</definedName>
    <definedName name="MobTracking" localSheetId="2">[2]ExerciseInventory!$AR$3:$AR$45</definedName>
    <definedName name="MobTracking">[1]ExerciseInventory!$AR$3:$AR$45</definedName>
    <definedName name="_xlnm.Print_Area" localSheetId="2">'1'!$J$11:$BC$216</definedName>
    <definedName name="ProgramObjectives" localSheetId="2">[2]ControlPanel!$AM$46:$AM$57</definedName>
    <definedName name="ProgramObjectives">[1]ControlPanel!$AM$46:$AM$57</definedName>
    <definedName name="skiCamps" localSheetId="2">[2]ControlPanel!$BI$28:$BI$36</definedName>
    <definedName name="skiCamps">[1]ControlPanel!$BI$28:$BI$36</definedName>
    <definedName name="TableAccessoryTriplets" localSheetId="2">[2]ExerciseInventory!$W$4:$AJ$222</definedName>
    <definedName name="TableAccessoryTriplets">[1]ExerciseInventory!$W$4:$AJ$225</definedName>
    <definedName name="TableSetRepSchemes" localSheetId="2">[2]ControlPanel!$A$5:$AJ$282</definedName>
    <definedName name="TableSetRepSchemes">[1]ControlPanel!$A$5:$AJ$282</definedName>
    <definedName name="Tempo" localSheetId="2">[2]ExerciseInventory!$BC$4:$BC$39</definedName>
    <definedName name="Tempo">[1]ExerciseInventory!$BC$4:$BC$39</definedName>
    <definedName name="TrainingPhases" localSheetId="2">[2]ControlPanel!$AM$2:$AM$71</definedName>
    <definedName name="TrainingPhases">[1]ControlPanel!$AM$2:$AM$71</definedName>
    <definedName name="VBTExercises" localSheetId="2">[2]ExerciseInventory!$BX$79:$BX$86</definedName>
    <definedName name="VBTExercises">[1]ExerciseInventory!$BX$79:$BX$86</definedName>
    <definedName name="WarmUps" localSheetId="2">[2]ExerciseInventory!$AT$29:$AT$48</definedName>
    <definedName name="WarmUps">[1]ExerciseInventory!$AT$29:$AT$48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355" i="6" l="1"/>
  <c r="AY230" i="6"/>
  <c r="AP230" i="6"/>
  <c r="AG230" i="6"/>
  <c r="X230" i="6"/>
  <c r="AX227" i="6"/>
  <c r="AO227" i="6"/>
  <c r="AF227" i="6"/>
  <c r="W227" i="6"/>
  <c r="AY221" i="6"/>
  <c r="AP221" i="6"/>
  <c r="AG221" i="6"/>
  <c r="X221" i="6"/>
  <c r="AX219" i="6"/>
  <c r="AO219" i="6"/>
  <c r="AF219" i="6"/>
  <c r="W219" i="6"/>
  <c r="CC215" i="6"/>
  <c r="CH212" i="6" s="1"/>
  <c r="CB215" i="6"/>
  <c r="CG212" i="6" s="1"/>
  <c r="CA215" i="6"/>
  <c r="BM215" i="6"/>
  <c r="BL215" i="6"/>
  <c r="BK215" i="6"/>
  <c r="BJ215" i="6"/>
  <c r="BI215" i="6"/>
  <c r="BH215" i="6"/>
  <c r="BG215" i="6"/>
  <c r="BF215" i="6"/>
  <c r="AP215" i="6"/>
  <c r="Z215" i="6"/>
  <c r="L215" i="6"/>
  <c r="CC214" i="6"/>
  <c r="CB214" i="6"/>
  <c r="CA214" i="6"/>
  <c r="BZ214" i="6"/>
  <c r="BM214" i="6"/>
  <c r="BL214" i="6"/>
  <c r="BK214" i="6"/>
  <c r="BJ214" i="6"/>
  <c r="BI214" i="6"/>
  <c r="BH214" i="6"/>
  <c r="BG214" i="6"/>
  <c r="BF214" i="6"/>
  <c r="BA214" i="6"/>
  <c r="AZ214" i="6"/>
  <c r="AY214" i="6"/>
  <c r="AX214" i="6"/>
  <c r="AP214" i="6"/>
  <c r="AM214" i="6"/>
  <c r="AJ214" i="6"/>
  <c r="AI214" i="6"/>
  <c r="AH214" i="6"/>
  <c r="Z214" i="6"/>
  <c r="W214" i="6"/>
  <c r="V214" i="6"/>
  <c r="U214" i="6"/>
  <c r="R214" i="6"/>
  <c r="L214" i="6"/>
  <c r="F214" i="6"/>
  <c r="E214" i="6"/>
  <c r="CC213" i="6"/>
  <c r="CB213" i="6"/>
  <c r="CA213" i="6"/>
  <c r="BM213" i="6"/>
  <c r="BL213" i="6"/>
  <c r="BK213" i="6"/>
  <c r="BJ213" i="6"/>
  <c r="BI213" i="6"/>
  <c r="BH213" i="6"/>
  <c r="BG213" i="6"/>
  <c r="BF213" i="6"/>
  <c r="AP213" i="6"/>
  <c r="Z213" i="6"/>
  <c r="L213" i="6"/>
  <c r="CF212" i="6"/>
  <c r="BM212" i="6"/>
  <c r="BL212" i="6"/>
  <c r="BK212" i="6"/>
  <c r="BJ212" i="6"/>
  <c r="BI212" i="6"/>
  <c r="BH212" i="6"/>
  <c r="BG212" i="6"/>
  <c r="BF212" i="6"/>
  <c r="BA212" i="6"/>
  <c r="AZ212" i="6"/>
  <c r="AY212" i="6"/>
  <c r="AX212" i="6"/>
  <c r="AP212" i="6"/>
  <c r="AM212" i="6"/>
  <c r="AJ212" i="6"/>
  <c r="AI212" i="6"/>
  <c r="AH212" i="6"/>
  <c r="Z212" i="6"/>
  <c r="W212" i="6"/>
  <c r="V212" i="6"/>
  <c r="U212" i="6"/>
  <c r="R212" i="6"/>
  <c r="L212" i="6"/>
  <c r="F212" i="6"/>
  <c r="E212" i="6"/>
  <c r="BM211" i="6"/>
  <c r="BL211" i="6"/>
  <c r="BK211" i="6"/>
  <c r="BJ211" i="6"/>
  <c r="BI211" i="6"/>
  <c r="BH211" i="6"/>
  <c r="BG211" i="6"/>
  <c r="BF211" i="6"/>
  <c r="AP211" i="6"/>
  <c r="Z211" i="6"/>
  <c r="L211" i="6"/>
  <c r="BM210" i="6"/>
  <c r="BL210" i="6"/>
  <c r="BK210" i="6"/>
  <c r="BJ210" i="6"/>
  <c r="BI210" i="6"/>
  <c r="BH210" i="6"/>
  <c r="BG210" i="6"/>
  <c r="BF210" i="6"/>
  <c r="BA210" i="6"/>
  <c r="AZ210" i="6"/>
  <c r="AY210" i="6"/>
  <c r="AX210" i="6"/>
  <c r="AP210" i="6"/>
  <c r="AM210" i="6"/>
  <c r="AJ210" i="6"/>
  <c r="AI210" i="6"/>
  <c r="AH210" i="6"/>
  <c r="Z210" i="6"/>
  <c r="W210" i="6"/>
  <c r="V210" i="6"/>
  <c r="U210" i="6"/>
  <c r="R210" i="6"/>
  <c r="L210" i="6"/>
  <c r="F210" i="6"/>
  <c r="E210" i="6"/>
  <c r="BM209" i="6"/>
  <c r="BL209" i="6"/>
  <c r="BK209" i="6"/>
  <c r="BJ209" i="6"/>
  <c r="BI209" i="6"/>
  <c r="BH209" i="6"/>
  <c r="BG209" i="6"/>
  <c r="BF209" i="6"/>
  <c r="AP209" i="6"/>
  <c r="Z209" i="6"/>
  <c r="L209" i="6"/>
  <c r="BM208" i="6"/>
  <c r="BL208" i="6"/>
  <c r="BK208" i="6"/>
  <c r="BJ208" i="6"/>
  <c r="BI208" i="6"/>
  <c r="BH208" i="6"/>
  <c r="BG208" i="6"/>
  <c r="BF208" i="6"/>
  <c r="F208" i="6"/>
  <c r="E208" i="6"/>
  <c r="BM207" i="6"/>
  <c r="BL207" i="6"/>
  <c r="BK207" i="6"/>
  <c r="BJ207" i="6"/>
  <c r="BI207" i="6"/>
  <c r="BH207" i="6"/>
  <c r="BG207" i="6"/>
  <c r="BF207" i="6"/>
  <c r="BM206" i="6"/>
  <c r="BL206" i="6"/>
  <c r="BK206" i="6"/>
  <c r="BJ206" i="6"/>
  <c r="BI206" i="6"/>
  <c r="BH206" i="6"/>
  <c r="BG206" i="6"/>
  <c r="BF206" i="6"/>
  <c r="F206" i="6"/>
  <c r="E206" i="6"/>
  <c r="BM205" i="6"/>
  <c r="BL205" i="6"/>
  <c r="BK205" i="6"/>
  <c r="BJ205" i="6"/>
  <c r="BI205" i="6"/>
  <c r="BH205" i="6"/>
  <c r="BF205" i="6"/>
  <c r="AP205" i="6"/>
  <c r="Z205" i="6"/>
  <c r="L205" i="6"/>
  <c r="BA204" i="6"/>
  <c r="AZ204" i="6"/>
  <c r="AY204" i="6"/>
  <c r="AX204" i="6"/>
  <c r="AP204" i="6"/>
  <c r="AM204" i="6"/>
  <c r="AJ204" i="6"/>
  <c r="AI204" i="6"/>
  <c r="AH204" i="6"/>
  <c r="Z204" i="6"/>
  <c r="W204" i="6"/>
  <c r="V204" i="6"/>
  <c r="U204" i="6"/>
  <c r="R204" i="6"/>
  <c r="L204" i="6"/>
  <c r="F204" i="6"/>
  <c r="E204" i="6"/>
  <c r="CB203" i="6" a="1"/>
  <c r="CB203" i="6" s="1"/>
  <c r="BV203" i="6" a="1"/>
  <c r="BV203" i="6" s="1"/>
  <c r="BP203" i="6" a="1"/>
  <c r="BP203" i="6" s="1"/>
  <c r="BP307" i="6" s="1"/>
  <c r="BO203" i="6" a="1"/>
  <c r="BO203" i="6" s="1"/>
  <c r="BJ203" i="6"/>
  <c r="BJ307" i="6" s="1"/>
  <c r="BJ203" i="6" a="1"/>
  <c r="BI203" i="6"/>
  <c r="BI307" i="6" s="1"/>
  <c r="BH203" i="6" a="1"/>
  <c r="BH203" i="6" s="1"/>
  <c r="AP203" i="6"/>
  <c r="Z203" i="6"/>
  <c r="L203" i="6"/>
  <c r="BA202" i="6"/>
  <c r="AZ202" i="6"/>
  <c r="AY202" i="6"/>
  <c r="AX202" i="6"/>
  <c r="AP202" i="6"/>
  <c r="AM202" i="6"/>
  <c r="AJ202" i="6"/>
  <c r="AI202" i="6"/>
  <c r="AH202" i="6"/>
  <c r="Z202" i="6"/>
  <c r="W202" i="6"/>
  <c r="V202" i="6"/>
  <c r="U202" i="6"/>
  <c r="R202" i="6"/>
  <c r="L202" i="6"/>
  <c r="F202" i="6"/>
  <c r="E202" i="6"/>
  <c r="CF201" i="6"/>
  <c r="AP201" i="6"/>
  <c r="Z201" i="6"/>
  <c r="L201" i="6"/>
  <c r="CF200" i="6"/>
  <c r="CC200" i="6" a="1"/>
  <c r="CC200" i="6" s="1"/>
  <c r="BW200" i="6" a="1"/>
  <c r="BW200" i="6" s="1"/>
  <c r="BQ200" i="6" a="1"/>
  <c r="BQ200" i="6" s="1"/>
  <c r="BK200" i="6" a="1"/>
  <c r="BK200" i="6" s="1"/>
  <c r="BA200" i="6"/>
  <c r="AZ200" i="6"/>
  <c r="AY200" i="6"/>
  <c r="AX200" i="6"/>
  <c r="AP200" i="6"/>
  <c r="AM200" i="6"/>
  <c r="AJ200" i="6"/>
  <c r="AI200" i="6"/>
  <c r="AH200" i="6"/>
  <c r="Z200" i="6"/>
  <c r="W200" i="6"/>
  <c r="V200" i="6"/>
  <c r="U200" i="6"/>
  <c r="R200" i="6"/>
  <c r="L200" i="6"/>
  <c r="F200" i="6"/>
  <c r="E200" i="6"/>
  <c r="CF199" i="6"/>
  <c r="CC199" i="6" a="1"/>
  <c r="CC199" i="6" s="1"/>
  <c r="BW199" i="6" a="1"/>
  <c r="BW199" i="6" s="1"/>
  <c r="BQ199" i="6" a="1"/>
  <c r="BQ199" i="6" s="1"/>
  <c r="BK199" i="6" a="1"/>
  <c r="BK199" i="6" s="1"/>
  <c r="AP199" i="6"/>
  <c r="Z199" i="6"/>
  <c r="L199" i="6"/>
  <c r="CF198" i="6"/>
  <c r="F198" i="6"/>
  <c r="E198" i="6"/>
  <c r="AP195" i="6"/>
  <c r="Z195" i="6"/>
  <c r="L195" i="6"/>
  <c r="BA194" i="6"/>
  <c r="AZ194" i="6"/>
  <c r="AY194" i="6"/>
  <c r="AX194" i="6"/>
  <c r="AP194" i="6"/>
  <c r="AM194" i="6"/>
  <c r="AJ194" i="6"/>
  <c r="AI194" i="6"/>
  <c r="AH194" i="6"/>
  <c r="Z194" i="6"/>
  <c r="W194" i="6"/>
  <c r="V194" i="6"/>
  <c r="U194" i="6"/>
  <c r="R194" i="6"/>
  <c r="L194" i="6"/>
  <c r="F194" i="6"/>
  <c r="E194" i="6"/>
  <c r="CB193" i="6" a="1"/>
  <c r="CB193" i="6" s="1"/>
  <c r="BV193" i="6"/>
  <c r="BV306" i="6" s="1"/>
  <c r="BV189" i="6" s="1"/>
  <c r="BV193" i="6" a="1"/>
  <c r="BU193" i="6" a="1"/>
  <c r="BU193" i="6" s="1"/>
  <c r="BU306" i="6" s="1"/>
  <c r="BP193" i="6" a="1"/>
  <c r="BP193" i="6" s="1"/>
  <c r="BJ193" i="6" a="1"/>
  <c r="BJ193" i="6" s="1"/>
  <c r="BJ306" i="6" s="1"/>
  <c r="BJ189" i="6" s="1"/>
  <c r="BI193" i="6" a="1"/>
  <c r="BI193" i="6" s="1"/>
  <c r="AP193" i="6"/>
  <c r="Z193" i="6"/>
  <c r="L193" i="6"/>
  <c r="BA192" i="6"/>
  <c r="AZ192" i="6"/>
  <c r="AY192" i="6"/>
  <c r="AX192" i="6"/>
  <c r="AP192" i="6"/>
  <c r="AM192" i="6"/>
  <c r="AJ192" i="6"/>
  <c r="AI192" i="6"/>
  <c r="AH192" i="6"/>
  <c r="Z192" i="6"/>
  <c r="W192" i="6"/>
  <c r="V192" i="6"/>
  <c r="U192" i="6"/>
  <c r="R192" i="6"/>
  <c r="L192" i="6"/>
  <c r="F192" i="6"/>
  <c r="E192" i="6"/>
  <c r="AP191" i="6"/>
  <c r="Z191" i="6"/>
  <c r="L191" i="6"/>
  <c r="CC190" i="6" a="1"/>
  <c r="CC190" i="6" s="1"/>
  <c r="BW190" i="6" a="1"/>
  <c r="BW190" i="6" s="1"/>
  <c r="BQ190" i="6" a="1"/>
  <c r="BQ190" i="6" s="1"/>
  <c r="BK190" i="6" a="1"/>
  <c r="BK190" i="6" s="1"/>
  <c r="BJ190" i="6"/>
  <c r="BJ187" i="6" s="1"/>
  <c r="BA190" i="6"/>
  <c r="AZ190" i="6"/>
  <c r="AY190" i="6"/>
  <c r="AX190" i="6"/>
  <c r="AP190" i="6"/>
  <c r="AM190" i="6"/>
  <c r="AJ190" i="6"/>
  <c r="AI190" i="6"/>
  <c r="AH190" i="6"/>
  <c r="Z190" i="6"/>
  <c r="W190" i="6"/>
  <c r="V190" i="6"/>
  <c r="U190" i="6"/>
  <c r="R190" i="6"/>
  <c r="L190" i="6"/>
  <c r="F190" i="6"/>
  <c r="E190" i="6"/>
  <c r="AP189" i="6"/>
  <c r="Z189" i="6"/>
  <c r="L189" i="6"/>
  <c r="F188" i="6"/>
  <c r="E188" i="6"/>
  <c r="F186" i="6"/>
  <c r="E186" i="6"/>
  <c r="L185" i="6"/>
  <c r="L184" i="6"/>
  <c r="F184" i="6"/>
  <c r="E184" i="6"/>
  <c r="L183" i="6"/>
  <c r="L182" i="6"/>
  <c r="F182" i="6"/>
  <c r="E182" i="6"/>
  <c r="L181" i="6"/>
  <c r="L180" i="6"/>
  <c r="F180" i="6"/>
  <c r="E180" i="6"/>
  <c r="D180" i="6"/>
  <c r="L179" i="6"/>
  <c r="L178" i="6"/>
  <c r="F178" i="6"/>
  <c r="E178" i="6"/>
  <c r="L177" i="6"/>
  <c r="U176" i="6"/>
  <c r="V176" i="6" s="1"/>
  <c r="W176" i="6" s="1"/>
  <c r="X176" i="6" s="1"/>
  <c r="Y176" i="6" s="1"/>
  <c r="Z176" i="6" s="1"/>
  <c r="AA176" i="6" s="1"/>
  <c r="AD176" i="6" s="1"/>
  <c r="AE176" i="6" s="1"/>
  <c r="AF176" i="6" s="1"/>
  <c r="AG176" i="6" s="1"/>
  <c r="AH176" i="6" s="1"/>
  <c r="AI176" i="6" s="1"/>
  <c r="AJ176" i="6" s="1"/>
  <c r="AM176" i="6" s="1"/>
  <c r="AN176" i="6" s="1"/>
  <c r="AO176" i="6" s="1"/>
  <c r="AP176" i="6" s="1"/>
  <c r="AQ176" i="6" s="1"/>
  <c r="AR176" i="6" s="1"/>
  <c r="AS176" i="6" s="1"/>
  <c r="AV176" i="6" s="1"/>
  <c r="AW176" i="6" s="1"/>
  <c r="AX176" i="6" s="1"/>
  <c r="AY176" i="6" s="1"/>
  <c r="AZ176" i="6" s="1"/>
  <c r="BA176" i="6" s="1"/>
  <c r="AQ172" i="6"/>
  <c r="AG172" i="6"/>
  <c r="AD172" i="6"/>
  <c r="M172" i="6"/>
  <c r="BX166" i="6"/>
  <c r="BW166" i="6"/>
  <c r="BV166" i="6"/>
  <c r="BU166" i="6"/>
  <c r="BT166" i="6"/>
  <c r="BH166" i="6"/>
  <c r="BW165" i="6"/>
  <c r="BX165" i="6" s="1"/>
  <c r="BV165" i="6"/>
  <c r="BU165" i="6"/>
  <c r="BT165" i="6"/>
  <c r="BH165" i="6"/>
  <c r="BA165" i="6"/>
  <c r="AZ165" i="6"/>
  <c r="AY165" i="6"/>
  <c r="AX165" i="6"/>
  <c r="AW165" i="6"/>
  <c r="AV165" i="6"/>
  <c r="AT165" i="6"/>
  <c r="AR165" i="6"/>
  <c r="AQ165" i="6"/>
  <c r="AP165" i="6"/>
  <c r="AO165" i="6"/>
  <c r="AN165" i="6"/>
  <c r="AM165" i="6"/>
  <c r="AK165" i="6"/>
  <c r="AI165" i="6"/>
  <c r="AH165" i="6"/>
  <c r="AG165" i="6"/>
  <c r="AF165" i="6"/>
  <c r="BI165" i="6" s="1"/>
  <c r="AE165" i="6"/>
  <c r="AD165" i="6"/>
  <c r="BI166" i="6" s="1"/>
  <c r="AB165" i="6"/>
  <c r="S165" i="6"/>
  <c r="F165" i="6"/>
  <c r="E165" i="6"/>
  <c r="BW164" i="6"/>
  <c r="BV164" i="6"/>
  <c r="BU164" i="6"/>
  <c r="BT164" i="6"/>
  <c r="BH164" i="6"/>
  <c r="BW163" i="6"/>
  <c r="BV163" i="6"/>
  <c r="BU163" i="6"/>
  <c r="BT163" i="6"/>
  <c r="BX163" i="6" s="1"/>
  <c r="BK163" i="6"/>
  <c r="BJ163" i="6"/>
  <c r="BH163" i="6"/>
  <c r="BA163" i="6"/>
  <c r="AZ163" i="6"/>
  <c r="AY163" i="6"/>
  <c r="AX163" i="6"/>
  <c r="AW163" i="6"/>
  <c r="BK164" i="6" s="1"/>
  <c r="AV163" i="6"/>
  <c r="AT163" i="6"/>
  <c r="AR163" i="6"/>
  <c r="AQ163" i="6"/>
  <c r="AP163" i="6"/>
  <c r="AO163" i="6"/>
  <c r="AN163" i="6"/>
  <c r="AM163" i="6"/>
  <c r="AK163" i="6"/>
  <c r="AI163" i="6"/>
  <c r="AH163" i="6"/>
  <c r="AG163" i="6"/>
  <c r="AF163" i="6"/>
  <c r="AE163" i="6"/>
  <c r="AB163" i="6"/>
  <c r="S163" i="6"/>
  <c r="F163" i="6"/>
  <c r="E163" i="6"/>
  <c r="BW162" i="6"/>
  <c r="BV162" i="6"/>
  <c r="BU162" i="6"/>
  <c r="BT162" i="6"/>
  <c r="BI162" i="6"/>
  <c r="BH162" i="6"/>
  <c r="BW161" i="6"/>
  <c r="BV161" i="6"/>
  <c r="BU161" i="6"/>
  <c r="BT161" i="6"/>
  <c r="BX161" i="6" s="1"/>
  <c r="BK161" i="6"/>
  <c r="BH161" i="6"/>
  <c r="BA161" i="6"/>
  <c r="AZ161" i="6"/>
  <c r="AY161" i="6"/>
  <c r="BK162" i="6" s="1"/>
  <c r="AX161" i="6"/>
  <c r="AW161" i="6"/>
  <c r="AV161" i="6"/>
  <c r="AT161" i="6"/>
  <c r="AR161" i="6"/>
  <c r="AQ161" i="6"/>
  <c r="AP161" i="6"/>
  <c r="BJ162" i="6" s="1"/>
  <c r="AO161" i="6"/>
  <c r="AN161" i="6"/>
  <c r="AM161" i="6"/>
  <c r="AK161" i="6"/>
  <c r="AI161" i="6"/>
  <c r="AH161" i="6"/>
  <c r="AG161" i="6"/>
  <c r="AF161" i="6"/>
  <c r="AE161" i="6"/>
  <c r="AD161" i="6"/>
  <c r="BI161" i="6" s="1"/>
  <c r="AB161" i="6"/>
  <c r="S161" i="6"/>
  <c r="F161" i="6"/>
  <c r="E161" i="6"/>
  <c r="BW160" i="6"/>
  <c r="BX160" i="6" s="1"/>
  <c r="BV160" i="6"/>
  <c r="BU160" i="6"/>
  <c r="BT160" i="6"/>
  <c r="BJ160" i="6"/>
  <c r="BH160" i="6"/>
  <c r="BX159" i="6"/>
  <c r="BW159" i="6"/>
  <c r="BV159" i="6"/>
  <c r="BU159" i="6"/>
  <c r="BT159" i="6"/>
  <c r="BH159" i="6"/>
  <c r="BA159" i="6"/>
  <c r="AZ159" i="6"/>
  <c r="AY159" i="6"/>
  <c r="AX159" i="6"/>
  <c r="AW159" i="6"/>
  <c r="AV159" i="6"/>
  <c r="AT159" i="6"/>
  <c r="AR159" i="6"/>
  <c r="AQ159" i="6"/>
  <c r="AP159" i="6"/>
  <c r="AO159" i="6"/>
  <c r="AN159" i="6"/>
  <c r="AM159" i="6"/>
  <c r="BJ159" i="6" s="1"/>
  <c r="AK159" i="6"/>
  <c r="AI159" i="6"/>
  <c r="AH159" i="6"/>
  <c r="AG159" i="6"/>
  <c r="AF159" i="6"/>
  <c r="AE159" i="6"/>
  <c r="BI159" i="6" s="1"/>
  <c r="AD159" i="6"/>
  <c r="AB159" i="6"/>
  <c r="S159" i="6"/>
  <c r="F159" i="6"/>
  <c r="E159" i="6"/>
  <c r="BW158" i="6"/>
  <c r="BV158" i="6"/>
  <c r="BU158" i="6"/>
  <c r="BT158" i="6"/>
  <c r="BH158" i="6"/>
  <c r="BW157" i="6"/>
  <c r="BV157" i="6"/>
  <c r="BU157" i="6"/>
  <c r="BT157" i="6"/>
  <c r="BX157" i="6" s="1"/>
  <c r="BK157" i="6"/>
  <c r="BH157" i="6"/>
  <c r="BA157" i="6"/>
  <c r="AZ157" i="6"/>
  <c r="AY157" i="6"/>
  <c r="AX157" i="6"/>
  <c r="AW157" i="6"/>
  <c r="AV157" i="6"/>
  <c r="AT157" i="6"/>
  <c r="AR157" i="6"/>
  <c r="AQ157" i="6"/>
  <c r="AP157" i="6"/>
  <c r="BJ157" i="6" s="1"/>
  <c r="AO157" i="6"/>
  <c r="AN157" i="6"/>
  <c r="AM157" i="6"/>
  <c r="BJ158" i="6" s="1"/>
  <c r="AK157" i="6"/>
  <c r="AI157" i="6"/>
  <c r="AH157" i="6"/>
  <c r="AG157" i="6"/>
  <c r="AF157" i="6"/>
  <c r="AE157" i="6"/>
  <c r="AD157" i="6"/>
  <c r="BI158" i="6" s="1"/>
  <c r="AB157" i="6"/>
  <c r="S157" i="6"/>
  <c r="F157" i="6"/>
  <c r="E157" i="6"/>
  <c r="BW156" i="6"/>
  <c r="BV156" i="6"/>
  <c r="BU156" i="6"/>
  <c r="BT156" i="6"/>
  <c r="BH156" i="6"/>
  <c r="BW155" i="6"/>
  <c r="BV155" i="6"/>
  <c r="BU155" i="6"/>
  <c r="BT155" i="6"/>
  <c r="BX155" i="6" s="1"/>
  <c r="BK155" i="6"/>
  <c r="BI155" i="6"/>
  <c r="BH155" i="6"/>
  <c r="BA155" i="6"/>
  <c r="BK156" i="6" s="1"/>
  <c r="AZ155" i="6"/>
  <c r="AY155" i="6"/>
  <c r="AX155" i="6"/>
  <c r="AW155" i="6"/>
  <c r="AV155" i="6"/>
  <c r="AT155" i="6"/>
  <c r="AR155" i="6"/>
  <c r="AQ155" i="6"/>
  <c r="AP155" i="6"/>
  <c r="AO155" i="6"/>
  <c r="AN155" i="6"/>
  <c r="AM155" i="6"/>
  <c r="BJ156" i="6" s="1"/>
  <c r="AK155" i="6"/>
  <c r="AI155" i="6"/>
  <c r="AH155" i="6"/>
  <c r="AG155" i="6"/>
  <c r="AF155" i="6"/>
  <c r="AE155" i="6"/>
  <c r="AD155" i="6"/>
  <c r="BI156" i="6" s="1"/>
  <c r="AB155" i="6"/>
  <c r="S155" i="6"/>
  <c r="F155" i="6"/>
  <c r="E155" i="6"/>
  <c r="BH154" i="6"/>
  <c r="BK153" i="6"/>
  <c r="BW153" i="6" s="1"/>
  <c r="BI153" i="6"/>
  <c r="BU153" i="6" s="1"/>
  <c r="BH153" i="6"/>
  <c r="BT153" i="6" s="1"/>
  <c r="BA153" i="6"/>
  <c r="AZ153" i="6"/>
  <c r="AY153" i="6"/>
  <c r="AX153" i="6"/>
  <c r="AW153" i="6"/>
  <c r="AV153" i="6"/>
  <c r="BK154" i="6" s="1"/>
  <c r="AT153" i="6"/>
  <c r="AR153" i="6"/>
  <c r="AQ153" i="6"/>
  <c r="AP153" i="6"/>
  <c r="AO153" i="6"/>
  <c r="AN153" i="6"/>
  <c r="AM153" i="6"/>
  <c r="AK153" i="6"/>
  <c r="AI153" i="6"/>
  <c r="AH153" i="6"/>
  <c r="AG153" i="6"/>
  <c r="AF153" i="6"/>
  <c r="BI154" i="6" s="1"/>
  <c r="AE153" i="6"/>
  <c r="AB153" i="6"/>
  <c r="S153" i="6"/>
  <c r="F153" i="6"/>
  <c r="E153" i="6"/>
  <c r="BX152" i="6"/>
  <c r="BW152" i="6"/>
  <c r="BV152" i="6"/>
  <c r="BU152" i="6"/>
  <c r="BT152" i="6"/>
  <c r="BP152" i="6"/>
  <c r="BO152" i="6"/>
  <c r="BH152" i="6"/>
  <c r="BW151" i="6"/>
  <c r="BV151" i="6"/>
  <c r="BU151" i="6"/>
  <c r="BT151" i="6"/>
  <c r="BH151" i="6"/>
  <c r="BA151" i="6"/>
  <c r="AZ151" i="6"/>
  <c r="AY151" i="6"/>
  <c r="AX151" i="6"/>
  <c r="BK152" i="6" s="1"/>
  <c r="AW151" i="6"/>
  <c r="AV151" i="6"/>
  <c r="AT151" i="6"/>
  <c r="AR151" i="6"/>
  <c r="AQ151" i="6"/>
  <c r="AP151" i="6"/>
  <c r="AO151" i="6"/>
  <c r="AN151" i="6"/>
  <c r="AM151" i="6"/>
  <c r="BJ152" i="6" s="1"/>
  <c r="AK151" i="6"/>
  <c r="AI151" i="6"/>
  <c r="AH151" i="6"/>
  <c r="BI152" i="6" s="1"/>
  <c r="AG151" i="6"/>
  <c r="AF151" i="6"/>
  <c r="AE151" i="6"/>
  <c r="AD151" i="6"/>
  <c r="AB151" i="6"/>
  <c r="S151" i="6"/>
  <c r="F151" i="6"/>
  <c r="E151" i="6"/>
  <c r="BX146" i="6"/>
  <c r="BW146" i="6"/>
  <c r="BV146" i="6"/>
  <c r="BU146" i="6"/>
  <c r="BT146" i="6"/>
  <c r="BH146" i="6"/>
  <c r="BW145" i="6"/>
  <c r="BV145" i="6"/>
  <c r="BU145" i="6"/>
  <c r="BX145" i="6" s="1"/>
  <c r="BT145" i="6"/>
  <c r="BI145" i="6"/>
  <c r="BH145" i="6"/>
  <c r="BA145" i="6"/>
  <c r="AZ145" i="6"/>
  <c r="AY145" i="6"/>
  <c r="AX145" i="6"/>
  <c r="AW145" i="6"/>
  <c r="AV145" i="6"/>
  <c r="AT145" i="6"/>
  <c r="AR145" i="6"/>
  <c r="AQ145" i="6"/>
  <c r="AP145" i="6"/>
  <c r="AO145" i="6"/>
  <c r="AN145" i="6"/>
  <c r="AM145" i="6"/>
  <c r="BJ145" i="6" s="1"/>
  <c r="AK145" i="6"/>
  <c r="AI145" i="6"/>
  <c r="AH145" i="6"/>
  <c r="AG145" i="6"/>
  <c r="AF145" i="6"/>
  <c r="AE145" i="6"/>
  <c r="BI146" i="6" s="1"/>
  <c r="AD145" i="6"/>
  <c r="AB145" i="6"/>
  <c r="S145" i="6"/>
  <c r="F145" i="6"/>
  <c r="E145" i="6"/>
  <c r="D145" i="6"/>
  <c r="BX144" i="6"/>
  <c r="BW144" i="6"/>
  <c r="BV144" i="6"/>
  <c r="BU144" i="6"/>
  <c r="BT144" i="6"/>
  <c r="BH144" i="6"/>
  <c r="BW143" i="6"/>
  <c r="BV143" i="6"/>
  <c r="BU143" i="6"/>
  <c r="BT143" i="6"/>
  <c r="BX143" i="6" s="1"/>
  <c r="BK143" i="6"/>
  <c r="BI143" i="6"/>
  <c r="BH143" i="6"/>
  <c r="BA143" i="6"/>
  <c r="AZ143" i="6"/>
  <c r="AY143" i="6"/>
  <c r="AX143" i="6"/>
  <c r="AW143" i="6"/>
  <c r="AV143" i="6"/>
  <c r="AT143" i="6"/>
  <c r="AR143" i="6"/>
  <c r="AQ143" i="6"/>
  <c r="AP143" i="6"/>
  <c r="AO143" i="6"/>
  <c r="BJ143" i="6" s="1"/>
  <c r="AN143" i="6"/>
  <c r="AM143" i="6"/>
  <c r="AK143" i="6"/>
  <c r="AI143" i="6"/>
  <c r="AH143" i="6"/>
  <c r="AG143" i="6"/>
  <c r="AF143" i="6"/>
  <c r="AE143" i="6"/>
  <c r="AD143" i="6"/>
  <c r="BI144" i="6" s="1"/>
  <c r="AB143" i="6"/>
  <c r="S143" i="6"/>
  <c r="F143" i="6"/>
  <c r="E143" i="6"/>
  <c r="BW142" i="6"/>
  <c r="BV142" i="6"/>
  <c r="BU142" i="6"/>
  <c r="BT142" i="6"/>
  <c r="BX142" i="6" s="1"/>
  <c r="BJ142" i="6"/>
  <c r="BH142" i="6"/>
  <c r="BW141" i="6"/>
  <c r="BV141" i="6"/>
  <c r="BU141" i="6"/>
  <c r="BT141" i="6"/>
  <c r="BH141" i="6"/>
  <c r="BA141" i="6"/>
  <c r="AZ141" i="6"/>
  <c r="BK142" i="6" s="1"/>
  <c r="AY141" i="6"/>
  <c r="BK141" i="6" s="1"/>
  <c r="AX141" i="6"/>
  <c r="AW141" i="6"/>
  <c r="AV141" i="6"/>
  <c r="AT141" i="6"/>
  <c r="AR141" i="6"/>
  <c r="AQ141" i="6"/>
  <c r="AP141" i="6"/>
  <c r="AO141" i="6"/>
  <c r="AN141" i="6"/>
  <c r="AM141" i="6"/>
  <c r="BJ141" i="6" s="1"/>
  <c r="AK141" i="6"/>
  <c r="AI141" i="6"/>
  <c r="AH141" i="6"/>
  <c r="AG141" i="6"/>
  <c r="AF141" i="6"/>
  <c r="AE141" i="6"/>
  <c r="AB141" i="6"/>
  <c r="S141" i="6"/>
  <c r="F141" i="6"/>
  <c r="E141" i="6"/>
  <c r="BW140" i="6"/>
  <c r="BV140" i="6"/>
  <c r="BX140" i="6" s="1"/>
  <c r="BU140" i="6"/>
  <c r="BT140" i="6"/>
  <c r="BH140" i="6"/>
  <c r="BW139" i="6"/>
  <c r="BV139" i="6"/>
  <c r="BU139" i="6"/>
  <c r="BT139" i="6"/>
  <c r="BX139" i="6" s="1"/>
  <c r="BH139" i="6"/>
  <c r="BA139" i="6"/>
  <c r="AZ139" i="6"/>
  <c r="AY139" i="6"/>
  <c r="AX139" i="6"/>
  <c r="AW139" i="6"/>
  <c r="AV139" i="6"/>
  <c r="BK139" i="6" s="1"/>
  <c r="AT139" i="6"/>
  <c r="AR139" i="6"/>
  <c r="AQ139" i="6"/>
  <c r="AP139" i="6"/>
  <c r="AO139" i="6"/>
  <c r="AN139" i="6"/>
  <c r="AM139" i="6"/>
  <c r="BJ139" i="6" s="1"/>
  <c r="AK139" i="6"/>
  <c r="AI139" i="6"/>
  <c r="AH139" i="6"/>
  <c r="AG139" i="6"/>
  <c r="AF139" i="6"/>
  <c r="AE139" i="6"/>
  <c r="BI140" i="6" s="1"/>
  <c r="AD139" i="6"/>
  <c r="AB139" i="6"/>
  <c r="S139" i="6"/>
  <c r="F139" i="6"/>
  <c r="E139" i="6"/>
  <c r="BW138" i="6"/>
  <c r="BV138" i="6"/>
  <c r="BU138" i="6"/>
  <c r="BT138" i="6"/>
  <c r="BH138" i="6"/>
  <c r="BW137" i="6"/>
  <c r="BV137" i="6"/>
  <c r="BU137" i="6"/>
  <c r="BX137" i="6" s="1"/>
  <c r="BT137" i="6"/>
  <c r="BI137" i="6"/>
  <c r="BH137" i="6"/>
  <c r="BA137" i="6"/>
  <c r="AZ137" i="6"/>
  <c r="AY137" i="6"/>
  <c r="AX137" i="6"/>
  <c r="AW137" i="6"/>
  <c r="AV137" i="6"/>
  <c r="BK138" i="6" s="1"/>
  <c r="AT137" i="6"/>
  <c r="AR137" i="6"/>
  <c r="AQ137" i="6"/>
  <c r="AP137" i="6"/>
  <c r="AO137" i="6"/>
  <c r="AN137" i="6"/>
  <c r="BJ137" i="6" s="1"/>
  <c r="AM137" i="6"/>
  <c r="BJ138" i="6" s="1"/>
  <c r="AK137" i="6"/>
  <c r="AI137" i="6"/>
  <c r="AH137" i="6"/>
  <c r="AG137" i="6"/>
  <c r="AF137" i="6"/>
  <c r="AE137" i="6"/>
  <c r="AD137" i="6"/>
  <c r="AB137" i="6"/>
  <c r="S137" i="6"/>
  <c r="F137" i="6"/>
  <c r="E137" i="6"/>
  <c r="BW136" i="6"/>
  <c r="BV136" i="6"/>
  <c r="BU136" i="6"/>
  <c r="BT136" i="6"/>
  <c r="BH136" i="6"/>
  <c r="BW135" i="6"/>
  <c r="BV135" i="6"/>
  <c r="BU135" i="6"/>
  <c r="BT135" i="6"/>
  <c r="BX135" i="6" s="1"/>
  <c r="BH135" i="6"/>
  <c r="BA135" i="6"/>
  <c r="AZ135" i="6"/>
  <c r="AY135" i="6"/>
  <c r="AX135" i="6"/>
  <c r="AW135" i="6"/>
  <c r="AV135" i="6"/>
  <c r="AT135" i="6"/>
  <c r="AR135" i="6"/>
  <c r="AQ135" i="6"/>
  <c r="AP135" i="6"/>
  <c r="AO135" i="6"/>
  <c r="AN135" i="6"/>
  <c r="AM135" i="6"/>
  <c r="AK135" i="6"/>
  <c r="AI135" i="6"/>
  <c r="AH135" i="6"/>
  <c r="AG135" i="6"/>
  <c r="AF135" i="6"/>
  <c r="AE135" i="6"/>
  <c r="AB135" i="6"/>
  <c r="S135" i="6"/>
  <c r="F135" i="6"/>
  <c r="E135" i="6"/>
  <c r="BW134" i="6"/>
  <c r="BV134" i="6"/>
  <c r="BX134" i="6" s="1"/>
  <c r="BU134" i="6"/>
  <c r="BT134" i="6"/>
  <c r="BK134" i="6"/>
  <c r="BH134" i="6"/>
  <c r="BW133" i="6"/>
  <c r="BV133" i="6"/>
  <c r="BX133" i="6" s="1"/>
  <c r="BU133" i="6"/>
  <c r="BT133" i="6"/>
  <c r="BK133" i="6"/>
  <c r="BI133" i="6"/>
  <c r="BH133" i="6"/>
  <c r="BA133" i="6"/>
  <c r="AZ133" i="6"/>
  <c r="AY133" i="6"/>
  <c r="AX133" i="6"/>
  <c r="AW133" i="6"/>
  <c r="AV133" i="6"/>
  <c r="AT133" i="6"/>
  <c r="AR133" i="6"/>
  <c r="AQ133" i="6"/>
  <c r="AP133" i="6"/>
  <c r="AO133" i="6"/>
  <c r="BJ133" i="6" s="1"/>
  <c r="AN133" i="6"/>
  <c r="AM133" i="6"/>
  <c r="AK133" i="6"/>
  <c r="AI133" i="6"/>
  <c r="AH133" i="6"/>
  <c r="BI134" i="6" s="1"/>
  <c r="AG133" i="6"/>
  <c r="AF133" i="6"/>
  <c r="AE133" i="6"/>
  <c r="AB133" i="6"/>
  <c r="S133" i="6"/>
  <c r="F133" i="6"/>
  <c r="E133" i="6"/>
  <c r="BX132" i="6"/>
  <c r="BW132" i="6"/>
  <c r="BV132" i="6"/>
  <c r="BV147" i="6" s="1"/>
  <c r="BU132" i="6"/>
  <c r="BT132" i="6"/>
  <c r="BH132" i="6"/>
  <c r="BW131" i="6"/>
  <c r="BW149" i="6" s="1"/>
  <c r="BV131" i="6"/>
  <c r="BV149" i="6" s="1"/>
  <c r="BU131" i="6"/>
  <c r="BU149" i="6" s="1"/>
  <c r="BT131" i="6"/>
  <c r="BP131" i="6"/>
  <c r="BO131" i="6"/>
  <c r="BH131" i="6"/>
  <c r="BA131" i="6"/>
  <c r="AZ131" i="6"/>
  <c r="AY131" i="6"/>
  <c r="AX131" i="6"/>
  <c r="AW131" i="6"/>
  <c r="AV131" i="6"/>
  <c r="AT131" i="6"/>
  <c r="AR131" i="6"/>
  <c r="AQ131" i="6"/>
  <c r="AP131" i="6"/>
  <c r="AO131" i="6"/>
  <c r="AN131" i="6"/>
  <c r="AM131" i="6"/>
  <c r="BJ131" i="6" s="1"/>
  <c r="AK131" i="6"/>
  <c r="AI131" i="6"/>
  <c r="AH131" i="6"/>
  <c r="AG131" i="6"/>
  <c r="AF131" i="6"/>
  <c r="AE131" i="6"/>
  <c r="AD131" i="6"/>
  <c r="AB131" i="6"/>
  <c r="S131" i="6"/>
  <c r="F131" i="6"/>
  <c r="E131" i="6"/>
  <c r="AQ122" i="6"/>
  <c r="AG122" i="6"/>
  <c r="AD122" i="6"/>
  <c r="BW118" i="6"/>
  <c r="BV118" i="6"/>
  <c r="BU118" i="6"/>
  <c r="BT118" i="6"/>
  <c r="BX118" i="6" s="1"/>
  <c r="BH118" i="6"/>
  <c r="BW117" i="6"/>
  <c r="BV117" i="6"/>
  <c r="BX117" i="6" s="1"/>
  <c r="BU117" i="6"/>
  <c r="BT117" i="6"/>
  <c r="BI117" i="6"/>
  <c r="BH117" i="6"/>
  <c r="BA117" i="6"/>
  <c r="AZ117" i="6"/>
  <c r="AY117" i="6"/>
  <c r="AX117" i="6"/>
  <c r="AW117" i="6"/>
  <c r="AV117" i="6"/>
  <c r="BK117" i="6" s="1"/>
  <c r="AT117" i="6"/>
  <c r="AR117" i="6"/>
  <c r="AQ117" i="6"/>
  <c r="AP117" i="6"/>
  <c r="AO117" i="6"/>
  <c r="AN117" i="6"/>
  <c r="BJ117" i="6" s="1"/>
  <c r="AM117" i="6"/>
  <c r="BJ118" i="6" s="1"/>
  <c r="AK117" i="6"/>
  <c r="AI117" i="6"/>
  <c r="AH117" i="6"/>
  <c r="AG117" i="6"/>
  <c r="AF117" i="6"/>
  <c r="BI118" i="6" s="1"/>
  <c r="AE117" i="6"/>
  <c r="AD117" i="6"/>
  <c r="AB117" i="6"/>
  <c r="S117" i="6"/>
  <c r="F117" i="6"/>
  <c r="E117" i="6"/>
  <c r="BW116" i="6"/>
  <c r="BV116" i="6"/>
  <c r="BU116" i="6"/>
  <c r="BT116" i="6"/>
  <c r="BX116" i="6" s="1"/>
  <c r="BH116" i="6"/>
  <c r="BW115" i="6"/>
  <c r="BV115" i="6"/>
  <c r="BU115" i="6"/>
  <c r="BT115" i="6"/>
  <c r="BH115" i="6"/>
  <c r="BA115" i="6"/>
  <c r="AZ115" i="6"/>
  <c r="AY115" i="6"/>
  <c r="AX115" i="6"/>
  <c r="AW115" i="6"/>
  <c r="BK115" i="6" s="1"/>
  <c r="AV115" i="6"/>
  <c r="BK116" i="6" s="1"/>
  <c r="AT115" i="6"/>
  <c r="AR115" i="6"/>
  <c r="AQ115" i="6"/>
  <c r="BJ115" i="6" s="1"/>
  <c r="AP115" i="6"/>
  <c r="AO115" i="6"/>
  <c r="AN115" i="6"/>
  <c r="AM115" i="6"/>
  <c r="AK115" i="6"/>
  <c r="AI115" i="6"/>
  <c r="AH115" i="6"/>
  <c r="AG115" i="6"/>
  <c r="AF115" i="6"/>
  <c r="AE115" i="6"/>
  <c r="AD115" i="6"/>
  <c r="AB115" i="6"/>
  <c r="S115" i="6"/>
  <c r="F115" i="6"/>
  <c r="E115" i="6"/>
  <c r="BW114" i="6"/>
  <c r="BV114" i="6"/>
  <c r="BU114" i="6"/>
  <c r="BX114" i="6" s="1"/>
  <c r="BT114" i="6"/>
  <c r="BJ114" i="6"/>
  <c r="BI114" i="6"/>
  <c r="BH114" i="6"/>
  <c r="BW113" i="6"/>
  <c r="BV113" i="6"/>
  <c r="BU113" i="6"/>
  <c r="BT113" i="6"/>
  <c r="BX113" i="6" s="1"/>
  <c r="BI113" i="6"/>
  <c r="BH113" i="6"/>
  <c r="BA113" i="6"/>
  <c r="AZ113" i="6"/>
  <c r="BK113" i="6" s="1"/>
  <c r="AY113" i="6"/>
  <c r="AX113" i="6"/>
  <c r="AW113" i="6"/>
  <c r="AV113" i="6"/>
  <c r="AT113" i="6"/>
  <c r="AR113" i="6"/>
  <c r="AQ113" i="6"/>
  <c r="AP113" i="6"/>
  <c r="AO113" i="6"/>
  <c r="AN113" i="6"/>
  <c r="AM113" i="6"/>
  <c r="BJ113" i="6" s="1"/>
  <c r="AK113" i="6"/>
  <c r="AI113" i="6"/>
  <c r="AH113" i="6"/>
  <c r="AG113" i="6"/>
  <c r="AF113" i="6"/>
  <c r="AE113" i="6"/>
  <c r="AB113" i="6"/>
  <c r="S113" i="6"/>
  <c r="F113" i="6"/>
  <c r="E113" i="6"/>
  <c r="BW112" i="6"/>
  <c r="BX112" i="6" s="1"/>
  <c r="BV112" i="6"/>
  <c r="BU112" i="6"/>
  <c r="BT112" i="6"/>
  <c r="BH112" i="6"/>
  <c r="BW111" i="6"/>
  <c r="BV111" i="6"/>
  <c r="BU111" i="6"/>
  <c r="BX111" i="6" s="1"/>
  <c r="BT111" i="6"/>
  <c r="BI111" i="6"/>
  <c r="BH111" i="6"/>
  <c r="BA111" i="6"/>
  <c r="AZ111" i="6"/>
  <c r="AY111" i="6"/>
  <c r="AX111" i="6"/>
  <c r="AW111" i="6"/>
  <c r="AV111" i="6"/>
  <c r="BK111" i="6" s="1"/>
  <c r="AT111" i="6"/>
  <c r="AR111" i="6"/>
  <c r="AQ111" i="6"/>
  <c r="AP111" i="6"/>
  <c r="AO111" i="6"/>
  <c r="BJ112" i="6" s="1"/>
  <c r="AN111" i="6"/>
  <c r="AM111" i="6"/>
  <c r="AK111" i="6"/>
  <c r="AI111" i="6"/>
  <c r="AH111" i="6"/>
  <c r="AG111" i="6"/>
  <c r="AF111" i="6"/>
  <c r="BI112" i="6" s="1"/>
  <c r="AE111" i="6"/>
  <c r="AD111" i="6"/>
  <c r="AB111" i="6"/>
  <c r="S111" i="6"/>
  <c r="F111" i="6"/>
  <c r="E111" i="6"/>
  <c r="BW110" i="6"/>
  <c r="BV110" i="6"/>
  <c r="BU110" i="6"/>
  <c r="BT110" i="6"/>
  <c r="BX110" i="6" s="1"/>
  <c r="BH110" i="6"/>
  <c r="BH119" i="6" s="1"/>
  <c r="BX109" i="6"/>
  <c r="BW109" i="6"/>
  <c r="BV109" i="6"/>
  <c r="BU109" i="6"/>
  <c r="BT109" i="6"/>
  <c r="BH109" i="6"/>
  <c r="BA109" i="6"/>
  <c r="AZ109" i="6"/>
  <c r="AY109" i="6"/>
  <c r="AX109" i="6"/>
  <c r="AW109" i="6"/>
  <c r="AV109" i="6"/>
  <c r="AT109" i="6"/>
  <c r="AR109" i="6"/>
  <c r="AQ109" i="6"/>
  <c r="AP109" i="6"/>
  <c r="AO109" i="6"/>
  <c r="BJ109" i="6" s="1"/>
  <c r="AN109" i="6"/>
  <c r="AM109" i="6"/>
  <c r="BJ110" i="6" s="1"/>
  <c r="AK109" i="6"/>
  <c r="AI109" i="6"/>
  <c r="AH109" i="6"/>
  <c r="AG109" i="6"/>
  <c r="AF109" i="6"/>
  <c r="AE109" i="6"/>
  <c r="AD109" i="6"/>
  <c r="AB109" i="6"/>
  <c r="S109" i="6"/>
  <c r="F109" i="6"/>
  <c r="E109" i="6"/>
  <c r="BW108" i="6"/>
  <c r="BV108" i="6"/>
  <c r="BV119" i="6" s="1"/>
  <c r="BU108" i="6"/>
  <c r="BU119" i="6" s="1"/>
  <c r="BT108" i="6"/>
  <c r="BX108" i="6" s="1"/>
  <c r="BL108" i="6"/>
  <c r="BK108" i="6"/>
  <c r="BH108" i="6"/>
  <c r="BW107" i="6"/>
  <c r="BV107" i="6"/>
  <c r="BU107" i="6"/>
  <c r="BT107" i="6"/>
  <c r="BX107" i="6" s="1"/>
  <c r="BK107" i="6"/>
  <c r="BI107" i="6"/>
  <c r="BH107" i="6"/>
  <c r="BA107" i="6"/>
  <c r="AZ107" i="6"/>
  <c r="AY107" i="6"/>
  <c r="AX107" i="6"/>
  <c r="AW107" i="6"/>
  <c r="AV107" i="6"/>
  <c r="AT107" i="6"/>
  <c r="AR107" i="6"/>
  <c r="AQ107" i="6"/>
  <c r="AP107" i="6"/>
  <c r="AO107" i="6"/>
  <c r="AN107" i="6"/>
  <c r="BJ107" i="6" s="1"/>
  <c r="AM107" i="6"/>
  <c r="BJ108" i="6" s="1"/>
  <c r="AK107" i="6"/>
  <c r="AI107" i="6"/>
  <c r="AH107" i="6"/>
  <c r="AG107" i="6"/>
  <c r="AF107" i="6"/>
  <c r="AE107" i="6"/>
  <c r="AD107" i="6"/>
  <c r="BI108" i="6" s="1"/>
  <c r="AB107" i="6"/>
  <c r="S107" i="6"/>
  <c r="F107" i="6"/>
  <c r="E107" i="6"/>
  <c r="BW106" i="6"/>
  <c r="BV106" i="6"/>
  <c r="BU106" i="6"/>
  <c r="BT106" i="6"/>
  <c r="BX106" i="6" s="1"/>
  <c r="BK106" i="6"/>
  <c r="BI106" i="6"/>
  <c r="BH106" i="6"/>
  <c r="BW105" i="6"/>
  <c r="BV105" i="6"/>
  <c r="BU105" i="6"/>
  <c r="BT105" i="6"/>
  <c r="BX105" i="6" s="1"/>
  <c r="BK105" i="6"/>
  <c r="BI105" i="6"/>
  <c r="BH105" i="6"/>
  <c r="BA105" i="6"/>
  <c r="AZ105" i="6"/>
  <c r="AY105" i="6"/>
  <c r="AX105" i="6"/>
  <c r="AW105" i="6"/>
  <c r="AV105" i="6"/>
  <c r="AT105" i="6"/>
  <c r="AR105" i="6"/>
  <c r="AQ105" i="6"/>
  <c r="AP105" i="6"/>
  <c r="BJ105" i="6" s="1"/>
  <c r="AO105" i="6"/>
  <c r="AN105" i="6"/>
  <c r="BJ106" i="6" s="1"/>
  <c r="AM105" i="6"/>
  <c r="AK105" i="6"/>
  <c r="AI105" i="6"/>
  <c r="AH105" i="6"/>
  <c r="AG105" i="6"/>
  <c r="AF105" i="6"/>
  <c r="AE105" i="6"/>
  <c r="AD105" i="6"/>
  <c r="AB105" i="6"/>
  <c r="S105" i="6"/>
  <c r="F105" i="6"/>
  <c r="E105" i="6"/>
  <c r="BW104" i="6"/>
  <c r="BV104" i="6"/>
  <c r="BU104" i="6"/>
  <c r="BT104" i="6"/>
  <c r="BX104" i="6" s="1"/>
  <c r="BI104" i="6"/>
  <c r="BH104" i="6"/>
  <c r="BW103" i="6"/>
  <c r="BV103" i="6"/>
  <c r="BU103" i="6"/>
  <c r="BT103" i="6"/>
  <c r="BO103" i="6"/>
  <c r="BI103" i="6"/>
  <c r="BH103" i="6"/>
  <c r="BA103" i="6"/>
  <c r="BK103" i="6" s="1"/>
  <c r="AZ103" i="6"/>
  <c r="AY103" i="6"/>
  <c r="AX103" i="6"/>
  <c r="AW103" i="6"/>
  <c r="AV103" i="6"/>
  <c r="AT103" i="6"/>
  <c r="AR103" i="6"/>
  <c r="AQ103" i="6"/>
  <c r="AP103" i="6"/>
  <c r="AO103" i="6"/>
  <c r="AN103" i="6"/>
  <c r="AM103" i="6"/>
  <c r="BJ103" i="6" s="1"/>
  <c r="AK103" i="6"/>
  <c r="AI103" i="6"/>
  <c r="AH103" i="6"/>
  <c r="AG103" i="6"/>
  <c r="AF103" i="6"/>
  <c r="AE103" i="6"/>
  <c r="AD103" i="6"/>
  <c r="AB103" i="6"/>
  <c r="S103" i="6"/>
  <c r="F103" i="6"/>
  <c r="E103" i="6"/>
  <c r="D103" i="6"/>
  <c r="BX98" i="6"/>
  <c r="BW98" i="6"/>
  <c r="BV98" i="6"/>
  <c r="BU98" i="6"/>
  <c r="BT98" i="6"/>
  <c r="BJ98" i="6"/>
  <c r="BH98" i="6"/>
  <c r="BW97" i="6"/>
  <c r="BV97" i="6"/>
  <c r="BU97" i="6"/>
  <c r="BT97" i="6"/>
  <c r="BH97" i="6"/>
  <c r="BA97" i="6"/>
  <c r="AZ97" i="6"/>
  <c r="AY97" i="6"/>
  <c r="AX97" i="6"/>
  <c r="AW97" i="6"/>
  <c r="AV97" i="6"/>
  <c r="AT97" i="6"/>
  <c r="AR97" i="6"/>
  <c r="AQ97" i="6"/>
  <c r="AP97" i="6"/>
  <c r="AO97" i="6"/>
  <c r="AN97" i="6"/>
  <c r="AM97" i="6"/>
  <c r="BJ97" i="6" s="1"/>
  <c r="AK97" i="6"/>
  <c r="AI97" i="6"/>
  <c r="AH97" i="6"/>
  <c r="AG97" i="6"/>
  <c r="AF97" i="6"/>
  <c r="AE97" i="6"/>
  <c r="AD97" i="6"/>
  <c r="AB97" i="6"/>
  <c r="S97" i="6"/>
  <c r="F97" i="6"/>
  <c r="E97" i="6"/>
  <c r="BW96" i="6"/>
  <c r="BV96" i="6"/>
  <c r="BU96" i="6"/>
  <c r="BT96" i="6"/>
  <c r="BX96" i="6" s="1"/>
  <c r="BI96" i="6"/>
  <c r="BH96" i="6"/>
  <c r="BW95" i="6"/>
  <c r="BV95" i="6"/>
  <c r="BU95" i="6"/>
  <c r="BT95" i="6"/>
  <c r="BX95" i="6" s="1"/>
  <c r="BJ95" i="6"/>
  <c r="BH95" i="6"/>
  <c r="BA95" i="6"/>
  <c r="AZ95" i="6"/>
  <c r="AY95" i="6"/>
  <c r="AX95" i="6"/>
  <c r="BK95" i="6" s="1"/>
  <c r="AW95" i="6"/>
  <c r="AV95" i="6"/>
  <c r="AT95" i="6"/>
  <c r="AR95" i="6"/>
  <c r="AQ95" i="6"/>
  <c r="AP95" i="6"/>
  <c r="AO95" i="6"/>
  <c r="AN95" i="6"/>
  <c r="AM95" i="6"/>
  <c r="BJ96" i="6" s="1"/>
  <c r="AK95" i="6"/>
  <c r="AI95" i="6"/>
  <c r="AH95" i="6"/>
  <c r="AG95" i="6"/>
  <c r="AF95" i="6"/>
  <c r="AE95" i="6"/>
  <c r="AD95" i="6"/>
  <c r="AB95" i="6"/>
  <c r="S95" i="6"/>
  <c r="F95" i="6"/>
  <c r="E95" i="6"/>
  <c r="BW94" i="6"/>
  <c r="BV94" i="6"/>
  <c r="BU94" i="6"/>
  <c r="BX94" i="6" s="1"/>
  <c r="BT94" i="6"/>
  <c r="BH94" i="6"/>
  <c r="BW93" i="6"/>
  <c r="BV93" i="6"/>
  <c r="BU93" i="6"/>
  <c r="BT93" i="6"/>
  <c r="BX93" i="6" s="1"/>
  <c r="BK93" i="6"/>
  <c r="BJ93" i="6"/>
  <c r="BH93" i="6"/>
  <c r="BA93" i="6"/>
  <c r="AZ93" i="6"/>
  <c r="AY93" i="6"/>
  <c r="AX93" i="6"/>
  <c r="AW93" i="6"/>
  <c r="AV93" i="6"/>
  <c r="BK94" i="6" s="1"/>
  <c r="AT93" i="6"/>
  <c r="AR93" i="6"/>
  <c r="AQ93" i="6"/>
  <c r="AP93" i="6"/>
  <c r="BJ94" i="6" s="1"/>
  <c r="AO93" i="6"/>
  <c r="AN93" i="6"/>
  <c r="AM93" i="6"/>
  <c r="AK93" i="6"/>
  <c r="AI93" i="6"/>
  <c r="AH93" i="6"/>
  <c r="AG93" i="6"/>
  <c r="AF93" i="6"/>
  <c r="AE93" i="6"/>
  <c r="AD93" i="6"/>
  <c r="AB93" i="6"/>
  <c r="S93" i="6"/>
  <c r="F93" i="6"/>
  <c r="E93" i="6"/>
  <c r="BW92" i="6"/>
  <c r="BV92" i="6"/>
  <c r="BU92" i="6"/>
  <c r="BT92" i="6"/>
  <c r="BX92" i="6" s="1"/>
  <c r="BK92" i="6"/>
  <c r="BJ92" i="6"/>
  <c r="BH92" i="6"/>
  <c r="BW91" i="6"/>
  <c r="BV91" i="6"/>
  <c r="BU91" i="6"/>
  <c r="BX91" i="6" s="1"/>
  <c r="BT91" i="6"/>
  <c r="BH91" i="6"/>
  <c r="BA91" i="6"/>
  <c r="AZ91" i="6"/>
  <c r="AY91" i="6"/>
  <c r="AX91" i="6"/>
  <c r="AW91" i="6"/>
  <c r="AV91" i="6"/>
  <c r="AT91" i="6"/>
  <c r="AR91" i="6"/>
  <c r="AQ91" i="6"/>
  <c r="AP91" i="6"/>
  <c r="AO91" i="6"/>
  <c r="AN91" i="6"/>
  <c r="AM91" i="6"/>
  <c r="BJ91" i="6" s="1"/>
  <c r="AK91" i="6"/>
  <c r="AI91" i="6"/>
  <c r="BI91" i="6" s="1"/>
  <c r="AH91" i="6"/>
  <c r="AG91" i="6"/>
  <c r="AF91" i="6"/>
  <c r="AE91" i="6"/>
  <c r="AD91" i="6"/>
  <c r="AB91" i="6"/>
  <c r="S91" i="6"/>
  <c r="F91" i="6"/>
  <c r="E91" i="6"/>
  <c r="BW90" i="6"/>
  <c r="BX90" i="6" s="1"/>
  <c r="BV90" i="6"/>
  <c r="BU90" i="6"/>
  <c r="BT90" i="6"/>
  <c r="BH90" i="6"/>
  <c r="BW89" i="6"/>
  <c r="BV89" i="6"/>
  <c r="BU89" i="6"/>
  <c r="BT89" i="6"/>
  <c r="BK89" i="6"/>
  <c r="BH89" i="6"/>
  <c r="BA89" i="6"/>
  <c r="AZ89" i="6"/>
  <c r="AY89" i="6"/>
  <c r="AX89" i="6"/>
  <c r="AW89" i="6"/>
  <c r="AV89" i="6"/>
  <c r="BK90" i="6" s="1"/>
  <c r="AT89" i="6"/>
  <c r="AR89" i="6"/>
  <c r="AQ89" i="6"/>
  <c r="AP89" i="6"/>
  <c r="AO89" i="6"/>
  <c r="AN89" i="6"/>
  <c r="AM89" i="6"/>
  <c r="AK89" i="6"/>
  <c r="AI89" i="6"/>
  <c r="AH89" i="6"/>
  <c r="AG89" i="6"/>
  <c r="AF89" i="6"/>
  <c r="AE89" i="6"/>
  <c r="AD89" i="6"/>
  <c r="AB89" i="6"/>
  <c r="S89" i="6"/>
  <c r="F89" i="6"/>
  <c r="E89" i="6"/>
  <c r="BW88" i="6"/>
  <c r="BV88" i="6"/>
  <c r="BU88" i="6"/>
  <c r="BT88" i="6"/>
  <c r="BX88" i="6" s="1"/>
  <c r="BI88" i="6"/>
  <c r="BH88" i="6"/>
  <c r="BW87" i="6"/>
  <c r="BV87" i="6"/>
  <c r="BU87" i="6"/>
  <c r="BT87" i="6"/>
  <c r="BX87" i="6" s="1"/>
  <c r="BI87" i="6"/>
  <c r="BH87" i="6"/>
  <c r="BA87" i="6"/>
  <c r="AZ87" i="6"/>
  <c r="BK88" i="6" s="1"/>
  <c r="AY87" i="6"/>
  <c r="AX87" i="6"/>
  <c r="AW87" i="6"/>
  <c r="AV87" i="6"/>
  <c r="AT87" i="6"/>
  <c r="AR87" i="6"/>
  <c r="AQ87" i="6"/>
  <c r="AP87" i="6"/>
  <c r="AO87" i="6"/>
  <c r="AN87" i="6"/>
  <c r="AM87" i="6"/>
  <c r="BJ87" i="6" s="1"/>
  <c r="AK87" i="6"/>
  <c r="AI87" i="6"/>
  <c r="AH87" i="6"/>
  <c r="AG87" i="6"/>
  <c r="AF87" i="6"/>
  <c r="AE87" i="6"/>
  <c r="AD87" i="6"/>
  <c r="AB87" i="6"/>
  <c r="S87" i="6"/>
  <c r="F87" i="6"/>
  <c r="E87" i="6"/>
  <c r="D87" i="6"/>
  <c r="BH86" i="6"/>
  <c r="X229" i="6" s="1"/>
  <c r="BU85" i="6"/>
  <c r="BU101" i="6" s="1"/>
  <c r="BT85" i="6"/>
  <c r="BI85" i="6"/>
  <c r="BH85" i="6"/>
  <c r="BA85" i="6"/>
  <c r="AZ85" i="6"/>
  <c r="AY85" i="6"/>
  <c r="AX85" i="6"/>
  <c r="AW85" i="6"/>
  <c r="AV85" i="6"/>
  <c r="AT85" i="6"/>
  <c r="AR85" i="6"/>
  <c r="AQ85" i="6"/>
  <c r="AP85" i="6"/>
  <c r="AO85" i="6"/>
  <c r="AN85" i="6"/>
  <c r="AM85" i="6"/>
  <c r="BJ85" i="6" s="1"/>
  <c r="BV85" i="6" s="1"/>
  <c r="AK85" i="6"/>
  <c r="AI85" i="6"/>
  <c r="AH85" i="6"/>
  <c r="AG85" i="6"/>
  <c r="AF85" i="6"/>
  <c r="AE85" i="6"/>
  <c r="AD85" i="6"/>
  <c r="AB85" i="6"/>
  <c r="S85" i="6"/>
  <c r="F85" i="6"/>
  <c r="E85" i="6"/>
  <c r="BW84" i="6"/>
  <c r="BV84" i="6"/>
  <c r="BU84" i="6"/>
  <c r="BT84" i="6"/>
  <c r="BO84" i="6"/>
  <c r="BH84" i="6"/>
  <c r="X232" i="6" s="1"/>
  <c r="BW83" i="6"/>
  <c r="BV83" i="6"/>
  <c r="BU83" i="6"/>
  <c r="BT83" i="6"/>
  <c r="BT101" i="6" s="1"/>
  <c r="BH83" i="6"/>
  <c r="BA83" i="6"/>
  <c r="AZ83" i="6"/>
  <c r="AY83" i="6"/>
  <c r="AX83" i="6"/>
  <c r="AW83" i="6"/>
  <c r="AV83" i="6"/>
  <c r="AT83" i="6"/>
  <c r="AR83" i="6"/>
  <c r="AQ83" i="6"/>
  <c r="AP83" i="6"/>
  <c r="AO83" i="6"/>
  <c r="AN83" i="6"/>
  <c r="AM83" i="6"/>
  <c r="BJ83" i="6" s="1"/>
  <c r="AK83" i="6"/>
  <c r="AI83" i="6"/>
  <c r="AH83" i="6"/>
  <c r="AG83" i="6"/>
  <c r="AF83" i="6"/>
  <c r="AE83" i="6"/>
  <c r="AD83" i="6"/>
  <c r="AB83" i="6"/>
  <c r="S83" i="6"/>
  <c r="F83" i="6"/>
  <c r="E83" i="6"/>
  <c r="BU79" i="6"/>
  <c r="BW78" i="6"/>
  <c r="BV78" i="6"/>
  <c r="BU78" i="6"/>
  <c r="BT78" i="6"/>
  <c r="BX78" i="6" s="1"/>
  <c r="BK78" i="6"/>
  <c r="BH78" i="6"/>
  <c r="BW77" i="6"/>
  <c r="BV77" i="6"/>
  <c r="BX77" i="6" s="1"/>
  <c r="BU77" i="6"/>
  <c r="BT77" i="6"/>
  <c r="BK77" i="6"/>
  <c r="BI77" i="6"/>
  <c r="BH77" i="6"/>
  <c r="BA77" i="6"/>
  <c r="AZ77" i="6"/>
  <c r="AY77" i="6"/>
  <c r="AX77" i="6"/>
  <c r="AW77" i="6"/>
  <c r="AV77" i="6"/>
  <c r="AT77" i="6"/>
  <c r="AR77" i="6"/>
  <c r="AQ77" i="6"/>
  <c r="AP77" i="6"/>
  <c r="AO77" i="6"/>
  <c r="AN77" i="6"/>
  <c r="BJ77" i="6" s="1"/>
  <c r="AM77" i="6"/>
  <c r="AK77" i="6"/>
  <c r="AI77" i="6"/>
  <c r="AH77" i="6"/>
  <c r="AG77" i="6"/>
  <c r="AF77" i="6"/>
  <c r="BI78" i="6" s="1"/>
  <c r="AE77" i="6"/>
  <c r="AD77" i="6"/>
  <c r="AB77" i="6"/>
  <c r="S77" i="6"/>
  <c r="F77" i="6"/>
  <c r="E77" i="6"/>
  <c r="BW76" i="6"/>
  <c r="BV76" i="6"/>
  <c r="BU76" i="6"/>
  <c r="BT76" i="6"/>
  <c r="BX76" i="6" s="1"/>
  <c r="BJ76" i="6"/>
  <c r="BH76" i="6"/>
  <c r="BW75" i="6"/>
  <c r="BV75" i="6"/>
  <c r="BX75" i="6" s="1"/>
  <c r="BU75" i="6"/>
  <c r="BT75" i="6"/>
  <c r="BH75" i="6"/>
  <c r="BA75" i="6"/>
  <c r="AZ75" i="6"/>
  <c r="AY75" i="6"/>
  <c r="AX75" i="6"/>
  <c r="AW75" i="6"/>
  <c r="AV75" i="6"/>
  <c r="AT75" i="6"/>
  <c r="AR75" i="6"/>
  <c r="AQ75" i="6"/>
  <c r="AP75" i="6"/>
  <c r="AO75" i="6"/>
  <c r="AN75" i="6"/>
  <c r="AM75" i="6"/>
  <c r="BJ75" i="6" s="1"/>
  <c r="AK75" i="6"/>
  <c r="AI75" i="6"/>
  <c r="AH75" i="6"/>
  <c r="AG75" i="6"/>
  <c r="AF75" i="6"/>
  <c r="AE75" i="6"/>
  <c r="AD75" i="6"/>
  <c r="AB75" i="6"/>
  <c r="S75" i="6"/>
  <c r="F75" i="6"/>
  <c r="E75" i="6"/>
  <c r="BW74" i="6"/>
  <c r="BV74" i="6"/>
  <c r="BU74" i="6"/>
  <c r="BT74" i="6"/>
  <c r="BX74" i="6" s="1"/>
  <c r="BH74" i="6"/>
  <c r="BW73" i="6"/>
  <c r="BV73" i="6"/>
  <c r="BU73" i="6"/>
  <c r="BT73" i="6"/>
  <c r="BX73" i="6" s="1"/>
  <c r="BK73" i="6"/>
  <c r="BI73" i="6"/>
  <c r="BH73" i="6"/>
  <c r="BA73" i="6"/>
  <c r="AZ73" i="6"/>
  <c r="AY73" i="6"/>
  <c r="AX73" i="6"/>
  <c r="AW73" i="6"/>
  <c r="AV73" i="6"/>
  <c r="BK74" i="6" s="1"/>
  <c r="AT73" i="6"/>
  <c r="AR73" i="6"/>
  <c r="AQ73" i="6"/>
  <c r="AP73" i="6"/>
  <c r="BJ73" i="6" s="1"/>
  <c r="AO73" i="6"/>
  <c r="AN73" i="6"/>
  <c r="AM73" i="6"/>
  <c r="AK73" i="6"/>
  <c r="AI73" i="6"/>
  <c r="AH73" i="6"/>
  <c r="AG73" i="6"/>
  <c r="AF73" i="6"/>
  <c r="AE73" i="6"/>
  <c r="AD73" i="6"/>
  <c r="BI74" i="6" s="1"/>
  <c r="AB73" i="6"/>
  <c r="S73" i="6"/>
  <c r="F73" i="6"/>
  <c r="E73" i="6"/>
  <c r="BW72" i="6"/>
  <c r="BV72" i="6"/>
  <c r="BU72" i="6"/>
  <c r="BT72" i="6"/>
  <c r="BX72" i="6" s="1"/>
  <c r="BH72" i="6"/>
  <c r="BX71" i="6"/>
  <c r="BW71" i="6"/>
  <c r="BV71" i="6"/>
  <c r="BU71" i="6"/>
  <c r="BT71" i="6"/>
  <c r="BH71" i="6"/>
  <c r="BA71" i="6"/>
  <c r="AZ71" i="6"/>
  <c r="AY71" i="6"/>
  <c r="AX71" i="6"/>
  <c r="AW71" i="6"/>
  <c r="AV71" i="6"/>
  <c r="AT71" i="6"/>
  <c r="AR71" i="6"/>
  <c r="AQ71" i="6"/>
  <c r="AP71" i="6"/>
  <c r="AO71" i="6"/>
  <c r="AN71" i="6"/>
  <c r="AM71" i="6"/>
  <c r="BJ71" i="6" s="1"/>
  <c r="AK71" i="6"/>
  <c r="AI71" i="6"/>
  <c r="BI72" i="6" s="1"/>
  <c r="AH71" i="6"/>
  <c r="AG71" i="6"/>
  <c r="AF71" i="6"/>
  <c r="AE71" i="6"/>
  <c r="AD71" i="6"/>
  <c r="AB71" i="6"/>
  <c r="S71" i="6"/>
  <c r="F71" i="6"/>
  <c r="E71" i="6"/>
  <c r="BW70" i="6"/>
  <c r="BW79" i="6" s="1"/>
  <c r="BV70" i="6"/>
  <c r="BX70" i="6" s="1"/>
  <c r="BU70" i="6"/>
  <c r="BT70" i="6"/>
  <c r="BH70" i="6"/>
  <c r="BW69" i="6"/>
  <c r="BW81" i="6" s="1"/>
  <c r="CC212" i="6" s="1"/>
  <c r="BV69" i="6"/>
  <c r="BU69" i="6"/>
  <c r="BT69" i="6"/>
  <c r="BX69" i="6" s="1"/>
  <c r="BK69" i="6"/>
  <c r="BH69" i="6"/>
  <c r="BA69" i="6"/>
  <c r="AZ69" i="6"/>
  <c r="AY69" i="6"/>
  <c r="AX69" i="6"/>
  <c r="AW69" i="6"/>
  <c r="AV69" i="6"/>
  <c r="BK70" i="6" s="1"/>
  <c r="AT69" i="6"/>
  <c r="AR69" i="6"/>
  <c r="AQ69" i="6"/>
  <c r="AP69" i="6"/>
  <c r="BJ69" i="6" s="1"/>
  <c r="AO69" i="6"/>
  <c r="AN69" i="6"/>
  <c r="AM69" i="6"/>
  <c r="AK69" i="6"/>
  <c r="AI69" i="6"/>
  <c r="AH69" i="6"/>
  <c r="AG69" i="6"/>
  <c r="AF69" i="6"/>
  <c r="AE69" i="6"/>
  <c r="AD69" i="6"/>
  <c r="BI69" i="6" s="1"/>
  <c r="AB69" i="6"/>
  <c r="S69" i="6"/>
  <c r="F69" i="6"/>
  <c r="E69" i="6"/>
  <c r="BW68" i="6"/>
  <c r="BV68" i="6"/>
  <c r="BU68" i="6"/>
  <c r="BT68" i="6"/>
  <c r="BX68" i="6" s="1"/>
  <c r="BI68" i="6"/>
  <c r="BH68" i="6"/>
  <c r="X223" i="6" s="1"/>
  <c r="BW67" i="6"/>
  <c r="BV67" i="6"/>
  <c r="BU67" i="6"/>
  <c r="BT67" i="6"/>
  <c r="BX67" i="6" s="1"/>
  <c r="BI67" i="6"/>
  <c r="BH67" i="6"/>
  <c r="BA67" i="6"/>
  <c r="AZ67" i="6"/>
  <c r="AY67" i="6"/>
  <c r="AX67" i="6"/>
  <c r="AW67" i="6"/>
  <c r="AV67" i="6"/>
  <c r="AT67" i="6"/>
  <c r="AR67" i="6"/>
  <c r="AQ67" i="6"/>
  <c r="AP67" i="6"/>
  <c r="AO67" i="6"/>
  <c r="AN67" i="6"/>
  <c r="AM67" i="6"/>
  <c r="BJ67" i="6" s="1"/>
  <c r="AK67" i="6"/>
  <c r="AI67" i="6"/>
  <c r="AH67" i="6"/>
  <c r="AG67" i="6"/>
  <c r="AF67" i="6"/>
  <c r="AE67" i="6"/>
  <c r="AD67" i="6"/>
  <c r="AB67" i="6"/>
  <c r="S67" i="6"/>
  <c r="F67" i="6"/>
  <c r="E67" i="6"/>
  <c r="D67" i="6"/>
  <c r="BW66" i="6"/>
  <c r="BV66" i="6"/>
  <c r="BU66" i="6"/>
  <c r="BT66" i="6"/>
  <c r="BH66" i="6"/>
  <c r="X222" i="6" s="1"/>
  <c r="BW65" i="6"/>
  <c r="BV65" i="6"/>
  <c r="BV81" i="6" s="1"/>
  <c r="CB212" i="6" s="1"/>
  <c r="BU65" i="6"/>
  <c r="BT65" i="6"/>
  <c r="BH65" i="6"/>
  <c r="BA65" i="6"/>
  <c r="AZ65" i="6"/>
  <c r="AY65" i="6"/>
  <c r="AX65" i="6"/>
  <c r="AW65" i="6"/>
  <c r="AV65" i="6"/>
  <c r="AT65" i="6"/>
  <c r="AR65" i="6"/>
  <c r="AQ65" i="6"/>
  <c r="AP65" i="6"/>
  <c r="AO65" i="6"/>
  <c r="AN65" i="6"/>
  <c r="AM65" i="6"/>
  <c r="BJ65" i="6" s="1"/>
  <c r="AK65" i="6"/>
  <c r="AI65" i="6"/>
  <c r="AH65" i="6"/>
  <c r="AG65" i="6"/>
  <c r="AF65" i="6"/>
  <c r="AE65" i="6"/>
  <c r="AD65" i="6"/>
  <c r="AB65" i="6"/>
  <c r="S65" i="6"/>
  <c r="F65" i="6"/>
  <c r="E65" i="6"/>
  <c r="BW64" i="6"/>
  <c r="BV64" i="6"/>
  <c r="BV79" i="6" s="1"/>
  <c r="BU64" i="6"/>
  <c r="BT64" i="6"/>
  <c r="BH64" i="6"/>
  <c r="BW63" i="6"/>
  <c r="BV63" i="6"/>
  <c r="BU63" i="6"/>
  <c r="BU81" i="6" s="1"/>
  <c r="CA212" i="6" s="1"/>
  <c r="BT63" i="6"/>
  <c r="BT81" i="6" s="1"/>
  <c r="BZ212" i="6" s="1"/>
  <c r="BO63" i="6"/>
  <c r="BH63" i="6"/>
  <c r="BA63" i="6"/>
  <c r="AZ63" i="6"/>
  <c r="AY63" i="6"/>
  <c r="AX63" i="6"/>
  <c r="AW63" i="6"/>
  <c r="AV63" i="6"/>
  <c r="AT63" i="6"/>
  <c r="AR63" i="6"/>
  <c r="AQ63" i="6"/>
  <c r="AP63" i="6"/>
  <c r="AO63" i="6"/>
  <c r="AN63" i="6"/>
  <c r="AM63" i="6"/>
  <c r="BJ64" i="6" s="1"/>
  <c r="AK63" i="6"/>
  <c r="AI63" i="6"/>
  <c r="AH63" i="6"/>
  <c r="AG63" i="6"/>
  <c r="AF63" i="6"/>
  <c r="AE63" i="6"/>
  <c r="AD63" i="6"/>
  <c r="AB63" i="6"/>
  <c r="S63" i="6"/>
  <c r="F63" i="6"/>
  <c r="E63" i="6"/>
  <c r="AQ56" i="6"/>
  <c r="AG56" i="6"/>
  <c r="AD56" i="6"/>
  <c r="D91" i="6"/>
  <c r="F56" i="6"/>
  <c r="F52" i="6"/>
  <c r="E52" i="6"/>
  <c r="F50" i="6"/>
  <c r="E50" i="6"/>
  <c r="F48" i="6"/>
  <c r="E48" i="6"/>
  <c r="F46" i="6"/>
  <c r="E46" i="6"/>
  <c r="F44" i="6"/>
  <c r="E44" i="6"/>
  <c r="D44" i="6"/>
  <c r="F42" i="6"/>
  <c r="E42" i="6"/>
  <c r="F40" i="6"/>
  <c r="E40" i="6"/>
  <c r="F38" i="6"/>
  <c r="E38" i="6"/>
  <c r="D38" i="6"/>
  <c r="F36" i="6"/>
  <c r="E36" i="6"/>
  <c r="F34" i="6"/>
  <c r="E34" i="6"/>
  <c r="D34" i="6"/>
  <c r="F31" i="6"/>
  <c r="E31" i="6"/>
  <c r="F30" i="6"/>
  <c r="E30" i="6"/>
  <c r="F29" i="6"/>
  <c r="E29" i="6"/>
  <c r="D29" i="6"/>
  <c r="F28" i="6"/>
  <c r="E28" i="6"/>
  <c r="F27" i="6"/>
  <c r="E27" i="6"/>
  <c r="F26" i="6"/>
  <c r="E26" i="6"/>
  <c r="D26" i="6"/>
  <c r="F25" i="6"/>
  <c r="E25" i="6"/>
  <c r="F24" i="6"/>
  <c r="E24" i="6"/>
  <c r="F23" i="6"/>
  <c r="E23" i="6"/>
  <c r="F22" i="6"/>
  <c r="E22" i="6"/>
  <c r="F20" i="6"/>
  <c r="E20" i="6"/>
  <c r="F19" i="6"/>
  <c r="E19" i="6"/>
  <c r="F18" i="6"/>
  <c r="E18" i="6"/>
  <c r="F17" i="6"/>
  <c r="E17" i="6"/>
  <c r="BF16" i="6"/>
  <c r="BF17" i="6" s="1"/>
  <c r="BF18" i="6" s="1"/>
  <c r="BF19" i="6" s="1"/>
  <c r="BF20" i="6" s="1"/>
  <c r="BF21" i="6" s="1"/>
  <c r="BF22" i="6" s="1"/>
  <c r="BF23" i="6" s="1"/>
  <c r="BF24" i="6" s="1"/>
  <c r="BF25" i="6" s="1"/>
  <c r="BF26" i="6" s="1"/>
  <c r="BF27" i="6" s="1"/>
  <c r="BF28" i="6" s="1"/>
  <c r="BF29" i="6" s="1"/>
  <c r="BF30" i="6" s="1"/>
  <c r="BF31" i="6" s="1"/>
  <c r="BF32" i="6" s="1"/>
  <c r="BF33" i="6" s="1"/>
  <c r="BF34" i="6" s="1"/>
  <c r="BF35" i="6" s="1"/>
  <c r="BF36" i="6" s="1"/>
  <c r="BF37" i="6" s="1"/>
  <c r="BF38" i="6" s="1"/>
  <c r="BF39" i="6" s="1"/>
  <c r="BF40" i="6" s="1"/>
  <c r="BF41" i="6" s="1"/>
  <c r="BF42" i="6" s="1"/>
  <c r="BF43" i="6" s="1"/>
  <c r="BF44" i="6" s="1"/>
  <c r="BF45" i="6" s="1"/>
  <c r="BF46" i="6" s="1"/>
  <c r="BF47" i="6" s="1"/>
  <c r="BF48" i="6" s="1"/>
  <c r="BF49" i="6" s="1"/>
  <c r="BF50" i="6" s="1"/>
  <c r="BF51" i="6" s="1"/>
  <c r="BF52" i="6" s="1"/>
  <c r="BF53" i="6" s="1"/>
  <c r="F16" i="6"/>
  <c r="E16" i="6"/>
  <c r="BS14" i="6"/>
  <c r="BR14" i="6"/>
  <c r="BQ14" i="6"/>
  <c r="BP14" i="6"/>
  <c r="BO14" i="6"/>
  <c r="BN14" i="6"/>
  <c r="BM14" i="6"/>
  <c r="BL14" i="6"/>
  <c r="BK14" i="6"/>
  <c r="BJ14" i="6"/>
  <c r="BI14" i="6"/>
  <c r="BH14" i="6"/>
  <c r="AG11" i="6"/>
  <c r="AD11" i="6"/>
  <c r="BO307" i="6" l="1"/>
  <c r="BN203" i="6" a="1"/>
  <c r="BN203" i="6" s="1"/>
  <c r="BK67" i="6"/>
  <c r="BK68" i="6"/>
  <c r="BJ200" i="6"/>
  <c r="BJ197" i="6" s="1"/>
  <c r="CG198" i="6" s="1"/>
  <c r="BJ199" i="6"/>
  <c r="BX119" i="6"/>
  <c r="BL152" i="6"/>
  <c r="BJ70" i="6"/>
  <c r="BI89" i="6"/>
  <c r="BI90" i="6"/>
  <c r="BL106" i="6"/>
  <c r="BO104" i="6" s="1"/>
  <c r="AG231" i="6"/>
  <c r="BX97" i="6"/>
  <c r="BI115" i="6"/>
  <c r="BI116" i="6"/>
  <c r="BI119" i="6" s="1"/>
  <c r="BJ135" i="6"/>
  <c r="BF14" i="6"/>
  <c r="BJ74" i="6"/>
  <c r="BL74" i="6" s="1"/>
  <c r="BJ88" i="6"/>
  <c r="AP231" i="6" s="1"/>
  <c r="BI93" i="6"/>
  <c r="BI94" i="6"/>
  <c r="BL94" i="6" s="1"/>
  <c r="BI151" i="6"/>
  <c r="BK151" i="6"/>
  <c r="BU154" i="6"/>
  <c r="D165" i="6"/>
  <c r="BJ165" i="6"/>
  <c r="BJ166" i="6"/>
  <c r="BJ78" i="6"/>
  <c r="BL78" i="6" s="1"/>
  <c r="BI84" i="6"/>
  <c r="BI83" i="6"/>
  <c r="BI92" i="6"/>
  <c r="BL92" i="6" s="1"/>
  <c r="BL98" i="6"/>
  <c r="BJ161" i="6"/>
  <c r="BP306" i="6"/>
  <c r="BO193" i="6" a="1"/>
  <c r="BO193" i="6" s="1"/>
  <c r="BP199" i="6"/>
  <c r="BP200" i="6"/>
  <c r="BP197" i="6" s="1"/>
  <c r="CG199" i="6" s="1"/>
  <c r="BK83" i="6"/>
  <c r="BK84" i="6"/>
  <c r="BI86" i="6"/>
  <c r="BK86" i="6"/>
  <c r="BK85" i="6"/>
  <c r="BW85" i="6" s="1"/>
  <c r="BX85" i="6" s="1"/>
  <c r="BK87" i="6"/>
  <c r="BI97" i="6"/>
  <c r="BI98" i="6"/>
  <c r="BK97" i="6"/>
  <c r="BK98" i="6"/>
  <c r="BI109" i="6"/>
  <c r="BK110" i="6"/>
  <c r="BK109" i="6"/>
  <c r="BK114" i="6"/>
  <c r="BL114" i="6" s="1"/>
  <c r="BI141" i="6"/>
  <c r="BI142" i="6"/>
  <c r="BL142" i="6" s="1"/>
  <c r="BT193" i="6" a="1"/>
  <c r="BT193" i="6" s="1"/>
  <c r="BU203" i="6" a="1"/>
  <c r="BU203" i="6" s="1"/>
  <c r="BV307" i="6"/>
  <c r="BK131" i="6"/>
  <c r="BK132" i="6"/>
  <c r="BX84" i="6"/>
  <c r="BL68" i="6"/>
  <c r="F58" i="6"/>
  <c r="F127" i="6"/>
  <c r="F59" i="6"/>
  <c r="F124" i="6"/>
  <c r="BI65" i="6"/>
  <c r="BI66" i="6"/>
  <c r="AG222" i="6" s="1"/>
  <c r="BK66" i="6"/>
  <c r="AY222" i="6" s="1"/>
  <c r="BK65" i="6"/>
  <c r="BJ68" i="6"/>
  <c r="AP223" i="6" s="1"/>
  <c r="AP247" i="6" s="1"/>
  <c r="BL104" i="6"/>
  <c r="BT147" i="6"/>
  <c r="BX138" i="6"/>
  <c r="BJ146" i="6"/>
  <c r="BL146" i="6" s="1"/>
  <c r="BK159" i="6"/>
  <c r="BK160" i="6"/>
  <c r="BI131" i="6"/>
  <c r="BI132" i="6"/>
  <c r="X246" i="6"/>
  <c r="BK140" i="6"/>
  <c r="BL140" i="6" s="1"/>
  <c r="BI76" i="6"/>
  <c r="BL76" i="6" s="1"/>
  <c r="BV101" i="6"/>
  <c r="BJ89" i="6"/>
  <c r="BJ104" i="6"/>
  <c r="BW119" i="6"/>
  <c r="BJ154" i="6"/>
  <c r="BV154" i="6" s="1"/>
  <c r="BX153" i="6"/>
  <c r="BI160" i="6"/>
  <c r="CA193" i="6" a="1"/>
  <c r="CA193" i="6" s="1"/>
  <c r="CB306" i="6"/>
  <c r="BG203" i="6" a="1"/>
  <c r="BG203" i="6" s="1"/>
  <c r="BH307" i="6"/>
  <c r="BI63" i="6"/>
  <c r="BI64" i="6"/>
  <c r="BL64" i="6" s="1"/>
  <c r="BU189" i="6"/>
  <c r="BU190" i="6"/>
  <c r="BK63" i="6"/>
  <c r="BK64" i="6"/>
  <c r="BI135" i="6"/>
  <c r="BI136" i="6"/>
  <c r="BL136" i="6" s="1"/>
  <c r="D137" i="6"/>
  <c r="D163" i="6"/>
  <c r="D157" i="6"/>
  <c r="D143" i="6"/>
  <c r="F122" i="6"/>
  <c r="D109" i="6"/>
  <c r="D178" i="6"/>
  <c r="D115" i="6"/>
  <c r="D95" i="6"/>
  <c r="D89" i="6"/>
  <c r="D46" i="6"/>
  <c r="D31" i="6"/>
  <c r="D28" i="6"/>
  <c r="D25" i="6"/>
  <c r="D22" i="6"/>
  <c r="D214" i="6"/>
  <c r="D200" i="6"/>
  <c r="D182" i="6"/>
  <c r="D212" i="6"/>
  <c r="D210" i="6"/>
  <c r="D198" i="6"/>
  <c r="D186" i="6"/>
  <c r="D206" i="6"/>
  <c r="D194" i="6"/>
  <c r="D133" i="6"/>
  <c r="D208" i="6"/>
  <c r="D184" i="6"/>
  <c r="D153" i="6"/>
  <c r="D117" i="6"/>
  <c r="D107" i="6"/>
  <c r="D105" i="6"/>
  <c r="D77" i="6"/>
  <c r="D73" i="6"/>
  <c r="D18" i="6"/>
  <c r="D83" i="6"/>
  <c r="D151" i="6"/>
  <c r="D23" i="6"/>
  <c r="D204" i="6"/>
  <c r="D202" i="6"/>
  <c r="D155" i="6"/>
  <c r="D111" i="6"/>
  <c r="D69" i="6"/>
  <c r="D48" i="6"/>
  <c r="D97" i="6"/>
  <c r="D36" i="6"/>
  <c r="D24" i="6"/>
  <c r="D17" i="6"/>
  <c r="D30" i="6"/>
  <c r="D161" i="6"/>
  <c r="D93" i="6"/>
  <c r="D40" i="6"/>
  <c r="D65" i="6"/>
  <c r="D50" i="6"/>
  <c r="D16" i="6"/>
  <c r="D190" i="6"/>
  <c r="D141" i="6"/>
  <c r="D135" i="6"/>
  <c r="D42" i="6"/>
  <c r="D52" i="6"/>
  <c r="D20" i="6"/>
  <c r="D75" i="6"/>
  <c r="D27" i="6"/>
  <c r="D19" i="6"/>
  <c r="D71" i="6"/>
  <c r="D188" i="6"/>
  <c r="D159" i="6"/>
  <c r="D139" i="6"/>
  <c r="D63" i="6"/>
  <c r="D192" i="6"/>
  <c r="D131" i="6"/>
  <c r="D85" i="6"/>
  <c r="D113" i="6"/>
  <c r="BX64" i="6"/>
  <c r="BX79" i="6" s="1"/>
  <c r="BT79" i="6"/>
  <c r="BZ213" i="6" s="1"/>
  <c r="BI71" i="6"/>
  <c r="BK72" i="6"/>
  <c r="BK71" i="6"/>
  <c r="BK76" i="6"/>
  <c r="BK75" i="6"/>
  <c r="BX89" i="6"/>
  <c r="BH99" i="6"/>
  <c r="BK104" i="6"/>
  <c r="BX115" i="6"/>
  <c r="BJ134" i="6"/>
  <c r="BL134" i="6" s="1"/>
  <c r="BO132" i="6" s="1"/>
  <c r="BX158" i="6"/>
  <c r="BL110" i="6"/>
  <c r="BK137" i="6"/>
  <c r="BT154" i="6"/>
  <c r="BI157" i="6"/>
  <c r="BJ86" i="6"/>
  <c r="BL86" i="6" s="1"/>
  <c r="BO83" i="6" s="1"/>
  <c r="BJ132" i="6"/>
  <c r="BK136" i="6"/>
  <c r="BI138" i="6"/>
  <c r="BL138" i="6" s="1"/>
  <c r="BK144" i="6"/>
  <c r="BW154" i="6"/>
  <c r="BL162" i="6"/>
  <c r="BI163" i="6"/>
  <c r="BI164" i="6"/>
  <c r="BJ151" i="6"/>
  <c r="BI306" i="6"/>
  <c r="BH193" i="6" a="1"/>
  <c r="BH193" i="6" s="1"/>
  <c r="BJ72" i="6"/>
  <c r="AP224" i="6" s="1"/>
  <c r="X224" i="6"/>
  <c r="X248" i="6" s="1"/>
  <c r="BH147" i="6"/>
  <c r="BL156" i="6"/>
  <c r="X245" i="6"/>
  <c r="BJ66" i="6"/>
  <c r="AP222" i="6" s="1"/>
  <c r="BH79" i="6"/>
  <c r="BJ84" i="6"/>
  <c r="BL84" i="6" s="1"/>
  <c r="BO86" i="6" s="1"/>
  <c r="BI95" i="6"/>
  <c r="BJ116" i="6"/>
  <c r="BT119" i="6"/>
  <c r="BK165" i="6"/>
  <c r="BL166" i="6"/>
  <c r="BJ136" i="6"/>
  <c r="BI70" i="6"/>
  <c r="BL70" i="6" s="1"/>
  <c r="BJ90" i="6"/>
  <c r="BL90" i="6" s="1"/>
  <c r="BJ63" i="6"/>
  <c r="BK91" i="6"/>
  <c r="BK112" i="6"/>
  <c r="BL112" i="6" s="1"/>
  <c r="BU147" i="6"/>
  <c r="BX136" i="6"/>
  <c r="BX147" i="6" s="1"/>
  <c r="BK145" i="6"/>
  <c r="BK146" i="6"/>
  <c r="BK158" i="6"/>
  <c r="BL158" i="6" s="1"/>
  <c r="BX162" i="6"/>
  <c r="BX164" i="6"/>
  <c r="CB307" i="6"/>
  <c r="CA203" i="6" a="1"/>
  <c r="CA203" i="6" s="1"/>
  <c r="BX66" i="6"/>
  <c r="BT86" i="6"/>
  <c r="BT99" i="6" s="1"/>
  <c r="BZ215" i="6" s="1"/>
  <c r="BK96" i="6"/>
  <c r="AY231" i="6" s="1"/>
  <c r="BI110" i="6"/>
  <c r="BJ111" i="6"/>
  <c r="BK118" i="6"/>
  <c r="BL118" i="6" s="1"/>
  <c r="BK135" i="6"/>
  <c r="BJ144" i="6"/>
  <c r="BL144" i="6" s="1"/>
  <c r="BJ153" i="6"/>
  <c r="BV153" i="6" s="1"/>
  <c r="BJ155" i="6"/>
  <c r="BK166" i="6"/>
  <c r="BV190" i="6"/>
  <c r="BV187" i="6" s="1"/>
  <c r="BI200" i="6"/>
  <c r="BI199" i="6"/>
  <c r="BX65" i="6"/>
  <c r="BI75" i="6"/>
  <c r="X231" i="6"/>
  <c r="X247" i="6" s="1"/>
  <c r="BT149" i="6"/>
  <c r="BW147" i="6"/>
  <c r="BI139" i="6"/>
  <c r="BX141" i="6"/>
  <c r="BX156" i="6"/>
  <c r="BJ164" i="6"/>
  <c r="BL164" i="6" s="1"/>
  <c r="BJ140" i="6"/>
  <c r="BO87" i="6" l="1"/>
  <c r="BP84" i="6" s="1"/>
  <c r="BO133" i="6"/>
  <c r="BP133" i="6" s="1"/>
  <c r="AY229" i="6"/>
  <c r="BW86" i="6"/>
  <c r="BW99" i="6" s="1"/>
  <c r="X233" i="6"/>
  <c r="X249" i="6"/>
  <c r="AQ273" i="6" s="1"/>
  <c r="BP132" i="6"/>
  <c r="CB190" i="6"/>
  <c r="CB187" i="6" s="1"/>
  <c r="CB189" i="6"/>
  <c r="BL72" i="6"/>
  <c r="BO66" i="6" s="1"/>
  <c r="AG229" i="6"/>
  <c r="BU86" i="6"/>
  <c r="BU99" i="6" s="1"/>
  <c r="BW101" i="6"/>
  <c r="BS193" i="6" a="1"/>
  <c r="BS193" i="6" s="1"/>
  <c r="BT306" i="6"/>
  <c r="BO153" i="6"/>
  <c r="BP153" i="6" s="1"/>
  <c r="BZ193" i="6" a="1"/>
  <c r="BZ193" i="6" s="1"/>
  <c r="CA306" i="6"/>
  <c r="X225" i="6"/>
  <c r="AY232" i="6"/>
  <c r="BK99" i="6"/>
  <c r="BL88" i="6"/>
  <c r="AY223" i="6"/>
  <c r="AY247" i="6" s="1"/>
  <c r="BK119" i="6"/>
  <c r="BL160" i="6"/>
  <c r="BO154" i="6" s="1"/>
  <c r="BP154" i="6" s="1"/>
  <c r="BL132" i="6"/>
  <c r="BO134" i="6" s="1"/>
  <c r="BP134" i="6" s="1"/>
  <c r="BI147" i="6"/>
  <c r="AG232" i="6"/>
  <c r="BI99" i="6"/>
  <c r="BO107" i="6"/>
  <c r="BP103" i="6" s="1"/>
  <c r="BH199" i="6"/>
  <c r="BH200" i="6"/>
  <c r="AG223" i="6"/>
  <c r="AG247" i="6" s="1"/>
  <c r="AY246" i="6"/>
  <c r="AY225" i="6"/>
  <c r="BL116" i="6"/>
  <c r="BO105" i="6" s="1"/>
  <c r="BP105" i="6" s="1"/>
  <c r="AY224" i="6"/>
  <c r="BK79" i="6"/>
  <c r="AG246" i="6"/>
  <c r="BK147" i="6"/>
  <c r="BN307" i="6"/>
  <c r="BM203" i="6" a="1"/>
  <c r="BM203" i="6" s="1"/>
  <c r="BO106" i="6"/>
  <c r="BN193" i="6" a="1"/>
  <c r="BN193" i="6" s="1"/>
  <c r="BO306" i="6"/>
  <c r="BO200" i="6"/>
  <c r="BO199" i="6"/>
  <c r="AP229" i="6"/>
  <c r="BV86" i="6"/>
  <c r="BV99" i="6" s="1"/>
  <c r="BI190" i="6"/>
  <c r="BI189" i="6"/>
  <c r="BJ119" i="6"/>
  <c r="BP190" i="6"/>
  <c r="BP187" i="6" s="1"/>
  <c r="BP189" i="6"/>
  <c r="AP232" i="6"/>
  <c r="AP248" i="6" s="1"/>
  <c r="BJ99" i="6"/>
  <c r="CE212" i="6"/>
  <c r="BF203" i="6" a="1"/>
  <c r="BF203" i="6" s="1"/>
  <c r="BF307" i="6" s="1"/>
  <c r="BG307" i="6"/>
  <c r="BJ147" i="6"/>
  <c r="BL66" i="6"/>
  <c r="BO64" i="6" s="1"/>
  <c r="CA307" i="6"/>
  <c r="BZ203" i="6" a="1"/>
  <c r="BZ203" i="6" s="1"/>
  <c r="BX154" i="6"/>
  <c r="BV200" i="6"/>
  <c r="BV197" i="6" s="1"/>
  <c r="CG200" i="6" s="1"/>
  <c r="BV199" i="6"/>
  <c r="BL154" i="6"/>
  <c r="BO151" i="6" s="1"/>
  <c r="BJ79" i="6"/>
  <c r="BO65" i="6"/>
  <c r="AP246" i="6"/>
  <c r="AP225" i="6"/>
  <c r="BH306" i="6"/>
  <c r="BG193" i="6" a="1"/>
  <c r="BG193" i="6" s="1"/>
  <c r="CB199" i="6"/>
  <c r="CB200" i="6"/>
  <c r="CB197" i="6" s="1"/>
  <c r="CG201" i="6" s="1"/>
  <c r="AG224" i="6"/>
  <c r="AG248" i="6" s="1"/>
  <c r="BI79" i="6"/>
  <c r="BT203" i="6" a="1"/>
  <c r="BT203" i="6" s="1"/>
  <c r="BU307" i="6"/>
  <c r="BL96" i="6"/>
  <c r="CC207" i="6" l="1"/>
  <c r="AZ276" i="6"/>
  <c r="BS203" i="6" a="1"/>
  <c r="BS203" i="6" s="1"/>
  <c r="BT307" i="6"/>
  <c r="BM193" i="6" a="1"/>
  <c r="BM193" i="6" s="1"/>
  <c r="BN306" i="6"/>
  <c r="Y248" i="6"/>
  <c r="BP106" i="6"/>
  <c r="BO85" i="6"/>
  <c r="BP85" i="6" s="1"/>
  <c r="AG245" i="6"/>
  <c r="AG233" i="6"/>
  <c r="AY233" i="6"/>
  <c r="AY245" i="6"/>
  <c r="BP151" i="6"/>
  <c r="BO155" i="6"/>
  <c r="BM307" i="6"/>
  <c r="BL203" i="6" a="1"/>
  <c r="BL203" i="6" s="1"/>
  <c r="BL307" i="6" s="1"/>
  <c r="BZ307" i="6"/>
  <c r="BY203" i="6" a="1"/>
  <c r="BY203" i="6" s="1"/>
  <c r="BN200" i="6"/>
  <c r="BN199" i="6"/>
  <c r="BP86" i="6"/>
  <c r="Y246" i="6"/>
  <c r="BP83" i="6"/>
  <c r="BT190" i="6"/>
  <c r="BT189" i="6"/>
  <c r="BO189" i="6"/>
  <c r="BO190" i="6"/>
  <c r="BG306" i="6"/>
  <c r="BF193" i="6" a="1"/>
  <c r="BF193" i="6" s="1"/>
  <c r="BF306" i="6" s="1"/>
  <c r="BP64" i="6"/>
  <c r="BO67" i="6"/>
  <c r="BP63" i="6" s="1"/>
  <c r="AG225" i="6"/>
  <c r="Y245" i="6"/>
  <c r="BU200" i="6"/>
  <c r="BU199" i="6"/>
  <c r="BZ207" i="6"/>
  <c r="AZ273" i="6"/>
  <c r="BH190" i="6"/>
  <c r="BH189" i="6"/>
  <c r="CA190" i="6"/>
  <c r="CA189" i="6"/>
  <c r="BR193" i="6" a="1"/>
  <c r="BR193" i="6" s="1"/>
  <c r="BR306" i="6" s="1"/>
  <c r="BS306" i="6"/>
  <c r="BA273" i="6"/>
  <c r="BZ208" i="6"/>
  <c r="BP104" i="6"/>
  <c r="AZ275" i="6"/>
  <c r="CB207" i="6"/>
  <c r="BX86" i="6"/>
  <c r="BX99" i="6" s="1"/>
  <c r="AP245" i="6"/>
  <c r="AP233" i="6"/>
  <c r="BY193" i="6" a="1"/>
  <c r="BY193" i="6" s="1"/>
  <c r="BZ306" i="6"/>
  <c r="BO135" i="6"/>
  <c r="Y247" i="6"/>
  <c r="BF199" i="6"/>
  <c r="BF200" i="6"/>
  <c r="CA199" i="6"/>
  <c r="CA200" i="6"/>
  <c r="BG200" i="6"/>
  <c r="BG199" i="6"/>
  <c r="AY248" i="6"/>
  <c r="BY307" i="6" l="1"/>
  <c r="BX203" i="6" a="1"/>
  <c r="BX203" i="6" s="1"/>
  <c r="BX307" i="6" s="1"/>
  <c r="BF190" i="6"/>
  <c r="BF189" i="6"/>
  <c r="BZ199" i="6"/>
  <c r="BZ200" i="6"/>
  <c r="BL200" i="6"/>
  <c r="BL199" i="6"/>
  <c r="BM200" i="6"/>
  <c r="BM199" i="6"/>
  <c r="BN190" i="6"/>
  <c r="BN189" i="6"/>
  <c r="BL193" i="6" a="1"/>
  <c r="BL193" i="6" s="1"/>
  <c r="BL306" i="6" s="1"/>
  <c r="BM306" i="6"/>
  <c r="AP249" i="6"/>
  <c r="BT200" i="6"/>
  <c r="BT199" i="6"/>
  <c r="BR203" i="6" a="1"/>
  <c r="BR203" i="6" s="1"/>
  <c r="BR307" i="6" s="1"/>
  <c r="BS307" i="6"/>
  <c r="BR190" i="6"/>
  <c r="BR189" i="6"/>
  <c r="CC208" i="6"/>
  <c r="BA276" i="6"/>
  <c r="BS190" i="6"/>
  <c r="BS189" i="6"/>
  <c r="AZ245" i="6"/>
  <c r="AY249" i="6"/>
  <c r="BZ189" i="6"/>
  <c r="BZ190" i="6"/>
  <c r="BP65" i="6"/>
  <c r="BA274" i="6"/>
  <c r="BA277" i="6" s="1"/>
  <c r="CA208" i="6"/>
  <c r="BG190" i="6"/>
  <c r="BG189" i="6"/>
  <c r="BY306" i="6"/>
  <c r="BX193" i="6" a="1"/>
  <c r="BX193" i="6" s="1"/>
  <c r="BX306" i="6" s="1"/>
  <c r="AZ274" i="6"/>
  <c r="CA207" i="6"/>
  <c r="AG249" i="6"/>
  <c r="AZ277" i="6"/>
  <c r="AZ248" i="6"/>
  <c r="CB208" i="6"/>
  <c r="BA275" i="6"/>
  <c r="BP66" i="6"/>
  <c r="BS200" i="6" l="1"/>
  <c r="BS199" i="6"/>
  <c r="BR200" i="6"/>
  <c r="BR199" i="6"/>
  <c r="AQ274" i="6"/>
  <c r="AQ277" i="6" s="1"/>
  <c r="AH246" i="6"/>
  <c r="AH248" i="6"/>
  <c r="AH247" i="6"/>
  <c r="AH245" i="6"/>
  <c r="AQ276" i="6"/>
  <c r="AZ246" i="6"/>
  <c r="AZ247" i="6"/>
  <c r="AQ275" i="6"/>
  <c r="AQ247" i="6"/>
  <c r="AQ248" i="6"/>
  <c r="AQ246" i="6"/>
  <c r="AQ245" i="6"/>
  <c r="BX189" i="6"/>
  <c r="BX190" i="6"/>
  <c r="BM190" i="6"/>
  <c r="BM189" i="6"/>
  <c r="BX200" i="6"/>
  <c r="BX199" i="6"/>
  <c r="BY189" i="6"/>
  <c r="BY190" i="6"/>
  <c r="BL189" i="6"/>
  <c r="BL190" i="6"/>
  <c r="BY200" i="6"/>
  <c r="BY199" i="6"/>
</calcChain>
</file>

<file path=xl/sharedStrings.xml><?xml version="1.0" encoding="utf-8"?>
<sst xmlns="http://schemas.openxmlformats.org/spreadsheetml/2006/main" count="2181" uniqueCount="510">
  <si>
    <t>Week 1</t>
  </si>
  <si>
    <t>Week 2</t>
  </si>
  <si>
    <t>Week 3</t>
  </si>
  <si>
    <t>Week 4</t>
  </si>
  <si>
    <t>Week 5</t>
  </si>
  <si>
    <t>Week 6</t>
  </si>
  <si>
    <t>Week 7</t>
  </si>
  <si>
    <t>Week 8</t>
  </si>
  <si>
    <t>Week 9</t>
  </si>
  <si>
    <t>Week 10</t>
  </si>
  <si>
    <t>Week 11</t>
  </si>
  <si>
    <t>Week 12</t>
  </si>
  <si>
    <t>Week 13</t>
  </si>
  <si>
    <t>Week 14</t>
  </si>
  <si>
    <t>Week 15</t>
  </si>
  <si>
    <t>Week 16</t>
  </si>
  <si>
    <t>Week 17</t>
  </si>
  <si>
    <t>Week 18</t>
  </si>
  <si>
    <t>Week 19</t>
  </si>
  <si>
    <t>Week 20</t>
  </si>
  <si>
    <t>Week 21</t>
  </si>
  <si>
    <t>Week 22</t>
  </si>
  <si>
    <t>Week 23</t>
  </si>
  <si>
    <t>Week 24</t>
  </si>
  <si>
    <t>Week 25</t>
  </si>
  <si>
    <t>Week 26</t>
  </si>
  <si>
    <t>Week 27</t>
  </si>
  <si>
    <t>Week 28</t>
  </si>
  <si>
    <t>Week 29</t>
  </si>
  <si>
    <t>Week 30</t>
  </si>
  <si>
    <t>Week 31</t>
  </si>
  <si>
    <t>Week 32</t>
  </si>
  <si>
    <t>Week 33</t>
  </si>
  <si>
    <t>Week 34</t>
  </si>
  <si>
    <t>Week 35</t>
  </si>
  <si>
    <t>Week 36</t>
  </si>
  <si>
    <t>Week 37</t>
  </si>
  <si>
    <t>Week 38</t>
  </si>
  <si>
    <t>Week 39</t>
  </si>
  <si>
    <t>Week 40</t>
  </si>
  <si>
    <t>Week 41</t>
  </si>
  <si>
    <t>Week 42</t>
  </si>
  <si>
    <t>Week 43</t>
  </si>
  <si>
    <t>Week 44</t>
  </si>
  <si>
    <t>Week 45</t>
  </si>
  <si>
    <t>Week 46</t>
  </si>
  <si>
    <t>Week 47</t>
  </si>
  <si>
    <t>Week 48</t>
  </si>
  <si>
    <t>Week 49</t>
  </si>
  <si>
    <t>Week 50</t>
  </si>
  <si>
    <t>Week 51</t>
  </si>
  <si>
    <t>Week 52</t>
  </si>
  <si>
    <t>A</t>
  </si>
  <si>
    <t>B</t>
  </si>
  <si>
    <t>C</t>
  </si>
  <si>
    <t>Prone Row</t>
  </si>
  <si>
    <t>SA DB OH Press</t>
  </si>
  <si>
    <t>SL Swiss Ball Ham Curl</t>
  </si>
  <si>
    <t>Week 0</t>
  </si>
  <si>
    <t>Week -1</t>
  </si>
  <si>
    <t>Week -2</t>
  </si>
  <si>
    <t>Week -8</t>
  </si>
  <si>
    <t>Week -7</t>
  </si>
  <si>
    <t>Week -6</t>
  </si>
  <si>
    <t>Week -5</t>
  </si>
  <si>
    <t>Week -4</t>
  </si>
  <si>
    <t>Week -3</t>
  </si>
  <si>
    <t>Move/Mobilize</t>
  </si>
  <si>
    <t>Activation</t>
  </si>
  <si>
    <t>Potentiation</t>
  </si>
  <si>
    <t>ACLR - YTP</t>
  </si>
  <si>
    <t>Lower 1</t>
  </si>
  <si>
    <t>Lower 2</t>
  </si>
  <si>
    <t>Lower 3</t>
  </si>
  <si>
    <t>Lower 4</t>
  </si>
  <si>
    <t>Hydro 1</t>
  </si>
  <si>
    <t>Hydro 2</t>
  </si>
  <si>
    <t>BFR 1</t>
  </si>
  <si>
    <t>BFR 2</t>
  </si>
  <si>
    <t>Accessory 1</t>
  </si>
  <si>
    <t>Accessory 2</t>
  </si>
  <si>
    <t>Acc. Triplet 1</t>
  </si>
  <si>
    <t>Acc. Triplet 2</t>
  </si>
  <si>
    <t>Acc. Triplet 3</t>
  </si>
  <si>
    <t>Acc. Triplet 4</t>
  </si>
  <si>
    <t>Exercise Planning</t>
  </si>
  <si>
    <t>Non ACLR 1</t>
  </si>
  <si>
    <t>Non ACLR 2</t>
  </si>
  <si>
    <t>Non ACLR 3</t>
  </si>
  <si>
    <t>Seated Russian Twist</t>
  </si>
  <si>
    <t>Accessory 5</t>
  </si>
  <si>
    <t>Accessory 6</t>
  </si>
  <si>
    <t>Accessory 7</t>
  </si>
  <si>
    <t>Accessory 8</t>
  </si>
  <si>
    <t>Cat Camel</t>
  </si>
  <si>
    <t>Side to Side Knee Rolls</t>
  </si>
  <si>
    <t>Heel Slides</t>
  </si>
  <si>
    <t>Leg Swings - small ROM all directions</t>
  </si>
  <si>
    <t>Air Squat</t>
  </si>
  <si>
    <t>SLR RDL + rot. w/ support</t>
  </si>
  <si>
    <t>Split Squats</t>
  </si>
  <si>
    <t>Alt Hip 90-90s</t>
  </si>
  <si>
    <t>3 supersets, do only 2 each day</t>
  </si>
  <si>
    <t>Exercise</t>
  </si>
  <si>
    <t>Tempo</t>
  </si>
  <si>
    <t>5 ISO</t>
  </si>
  <si>
    <t>10 ISO</t>
  </si>
  <si>
    <t>1A</t>
  </si>
  <si>
    <t>1B</t>
  </si>
  <si>
    <t>1C</t>
  </si>
  <si>
    <t>2A</t>
  </si>
  <si>
    <t>2B</t>
  </si>
  <si>
    <t>2C</t>
  </si>
  <si>
    <t>3A</t>
  </si>
  <si>
    <t>3B</t>
  </si>
  <si>
    <t>3C</t>
  </si>
  <si>
    <t>Standing TKE w/ band</t>
  </si>
  <si>
    <t>Standing Hip flexion w/ mb</t>
  </si>
  <si>
    <t>2 ISO</t>
  </si>
  <si>
    <t>Backwards Treadmill Walking</t>
  </si>
  <si>
    <t>2x</t>
  </si>
  <si>
    <t>SL 3-way Step down</t>
  </si>
  <si>
    <t>Lateral MH Step Overs</t>
  </si>
  <si>
    <t>Bird Dog Leg Ext</t>
  </si>
  <si>
    <t>SL Wall Sit</t>
  </si>
  <si>
    <t>Standing Hip ADD w/ cable</t>
  </si>
  <si>
    <t>Alt. Dead Bug Leg Ext (oh band)</t>
  </si>
  <si>
    <t>D</t>
  </si>
  <si>
    <t>E</t>
  </si>
  <si>
    <t>F</t>
  </si>
  <si>
    <t>G</t>
  </si>
  <si>
    <t>H</t>
  </si>
  <si>
    <t>I</t>
  </si>
  <si>
    <t>Heel Sldies</t>
  </si>
  <si>
    <t>Air Squat w/ dowel</t>
  </si>
  <si>
    <t>Manual Patella Mob</t>
  </si>
  <si>
    <t>5m</t>
  </si>
  <si>
    <t>30s</t>
  </si>
  <si>
    <t>Long Duration Passive Leg Ext.</t>
  </si>
  <si>
    <t>Seated SL Ham Stretch</t>
  </si>
  <si>
    <t>Seated Calf Stretch</t>
  </si>
  <si>
    <t>Quad Squeeze - Half Roller</t>
  </si>
  <si>
    <t>Supine ADD Ball Squeeze 90º</t>
  </si>
  <si>
    <t>SL Balance</t>
  </si>
  <si>
    <t>DL Heel Raise</t>
  </si>
  <si>
    <t>Side Lying Clamshell</t>
  </si>
  <si>
    <t>TRX SL Squat</t>
  </si>
  <si>
    <t>Seated SA DB Press</t>
  </si>
  <si>
    <t>Sidelying Stright Leg Hip ABD</t>
  </si>
  <si>
    <t>SL Plank</t>
  </si>
  <si>
    <t>Seated SA Cable Row</t>
  </si>
  <si>
    <t>Arms Only Deadbug w/ plate</t>
  </si>
  <si>
    <t>SL ISO Ham Bridge</t>
  </si>
  <si>
    <t>Pike Seated Paloff Press</t>
  </si>
  <si>
    <t>15s</t>
  </si>
  <si>
    <t>ISO</t>
  </si>
  <si>
    <t>Supported SL Squat off Box</t>
  </si>
  <si>
    <t>SA DB Bench Press - Floor</t>
  </si>
  <si>
    <t>Pike Seated Band Pull Aparts</t>
  </si>
  <si>
    <t>SL Ham Bridge Ups</t>
  </si>
  <si>
    <t>Alt. Rot Crunches - feet on box</t>
  </si>
  <si>
    <t>SL Extensions</t>
  </si>
  <si>
    <t>Cherry Pickers</t>
  </si>
  <si>
    <t>1 time through full circuit</t>
  </si>
  <si>
    <t>DL Squats - Bosu (flat up)</t>
  </si>
  <si>
    <t>ISO Lunge - Eyes closed</t>
  </si>
  <si>
    <t>20s</t>
  </si>
  <si>
    <t>MB Slam - 50% effort</t>
  </si>
  <si>
    <t>Alt. MB Rot Pass - facing wall</t>
  </si>
  <si>
    <t>1/2 Squat + MB Chest Pass</t>
  </si>
  <si>
    <t>Square Balance Board L-R</t>
  </si>
  <si>
    <t>Squats - Bosu (flat up)</t>
  </si>
  <si>
    <t>:30</t>
  </si>
  <si>
    <t>SL Balance - Eyes cloed</t>
  </si>
  <si>
    <t>MB Slam - 70% effort</t>
  </si>
  <si>
    <t>KB Goblet Squat to Box</t>
  </si>
  <si>
    <t>BB Hip Thrust</t>
  </si>
  <si>
    <t>SL RDL w/ KB</t>
  </si>
  <si>
    <t>DL Leg Ext 7 to 3</t>
  </si>
  <si>
    <t>Seated DL Calf Raise</t>
  </si>
  <si>
    <t>"</t>
  </si>
  <si>
    <t>3 ECC</t>
  </si>
  <si>
    <t>Trap Bar Deadlift</t>
  </si>
  <si>
    <t>Side Plank</t>
  </si>
  <si>
    <t>Step Up w/ TRX Support</t>
  </si>
  <si>
    <t>Push-Pull on Keiser</t>
  </si>
  <si>
    <t>DL Calf Raise - BB against rack</t>
  </si>
  <si>
    <t>25s</t>
  </si>
  <si>
    <t>ISO Squat Hold</t>
  </si>
  <si>
    <t>RDL</t>
  </si>
  <si>
    <t>ISO Lunge + Cable Row</t>
  </si>
  <si>
    <t>ISO Leg Ext.</t>
  </si>
  <si>
    <t>Prone Ham Curl 2U1D</t>
  </si>
  <si>
    <t>3 ISO</t>
  </si>
  <si>
    <t>Push Press</t>
  </si>
  <si>
    <t>HK SA Cable Pull Down</t>
  </si>
  <si>
    <t>V-ups w/ pass through</t>
  </si>
  <si>
    <t>DB Bench Press</t>
  </si>
  <si>
    <t>Low-High Cable Rot. Chop</t>
  </si>
  <si>
    <t>Stir the Pot</t>
  </si>
  <si>
    <t>DB Bench - Swiss Ball</t>
  </si>
  <si>
    <t>Hanging Knee Tucks</t>
  </si>
  <si>
    <t>Plank + forward DB tap</t>
  </si>
  <si>
    <t>ISO 45º Sit Up + plate raise OH</t>
  </si>
  <si>
    <t>8&gt;</t>
  </si>
  <si>
    <t>Standing Hip flexion w/ mb + MB OH</t>
  </si>
  <si>
    <t>1 ISO</t>
  </si>
  <si>
    <t>Lateral Hurdle Step Over/Under</t>
  </si>
  <si>
    <t>Bird Dogs</t>
  </si>
  <si>
    <t>15 ISO</t>
  </si>
  <si>
    <t>SL Decline Wall Sit</t>
  </si>
  <si>
    <t>ISO Decline Squat + Lateral Reaches</t>
  </si>
  <si>
    <t>Alt. MB Rot Pass (bosu, face wall)</t>
  </si>
  <si>
    <t>DL Half Squats - Eyes closed</t>
  </si>
  <si>
    <t>MB Slam - 80% effort</t>
  </si>
  <si>
    <t>Lateral Rot. Pass - 50% effort</t>
  </si>
  <si>
    <t>1/2 Squat + Upward Granny Toss</t>
  </si>
  <si>
    <t>Program Objectives</t>
  </si>
  <si>
    <t>Program Rationale</t>
  </si>
  <si>
    <t>Pre/During-Programming Notes</t>
  </si>
  <si>
    <t>Next Steps</t>
  </si>
  <si>
    <t>Date:</t>
  </si>
  <si>
    <t>-</t>
  </si>
  <si>
    <t>Phase:</t>
  </si>
  <si>
    <t>Meso 1</t>
  </si>
  <si>
    <t>Planned</t>
  </si>
  <si>
    <t>Actual</t>
  </si>
  <si>
    <t>Days</t>
  </si>
  <si>
    <t>Ski</t>
  </si>
  <si>
    <t>Mob.</t>
  </si>
  <si>
    <t>Preh</t>
  </si>
  <si>
    <t>Str.</t>
  </si>
  <si>
    <t>Con.</t>
  </si>
  <si>
    <t>Sport</t>
  </si>
  <si>
    <t>Plyo Load</t>
  </si>
  <si>
    <t>Plyo Reps</t>
  </si>
  <si>
    <t>Elevate HR</t>
  </si>
  <si>
    <t>ExerciseCategory</t>
  </si>
  <si>
    <t>SetRepScheme</t>
  </si>
  <si>
    <t>1RM</t>
  </si>
  <si>
    <t>%BM</t>
  </si>
  <si>
    <t>/side</t>
  </si>
  <si>
    <t>Spin Bike</t>
  </si>
  <si>
    <t>Prehab</t>
  </si>
  <si>
    <t>RE</t>
  </si>
  <si>
    <t>Empty</t>
  </si>
  <si>
    <t>Movement and Mobility</t>
  </si>
  <si>
    <t>P-L</t>
  </si>
  <si>
    <t>P-R</t>
  </si>
  <si>
    <t>Leg Swings - small ROM, all directions</t>
  </si>
  <si>
    <t>SL RDL + Rotation w/ support</t>
  </si>
  <si>
    <t>Alt. Hip 90-90s</t>
  </si>
  <si>
    <t>Kneeling Sit Back on Heels (:05 ISO)</t>
  </si>
  <si>
    <t>Standing TKE w/ band (:05 ISO)</t>
  </si>
  <si>
    <t>ISO SL Extension - Test Hold &amp; Push</t>
  </si>
  <si>
    <t>2x :30</t>
  </si>
  <si>
    <t>3x :30</t>
  </si>
  <si>
    <t>Low Lateral Monster Walks w/ mini band</t>
  </si>
  <si>
    <t>Standing Hip Flexion - Green mb (:01 ISO)</t>
  </si>
  <si>
    <t>Standing Hip Flexion - Green mb - MB OH :01 ISO</t>
  </si>
  <si>
    <t>Standing Hip Flexion - Yellow mb (:01 ISO)</t>
  </si>
  <si>
    <t>SL 3-way Step Down, 2 blocks</t>
  </si>
  <si>
    <t>SL 3-way Step Down, 2-3 blocks, red band</t>
  </si>
  <si>
    <t>8/s</t>
  </si>
  <si>
    <t>10/s</t>
  </si>
  <si>
    <t>Lateral MH Step Over/Under</t>
  </si>
  <si>
    <t>6e/s</t>
  </si>
  <si>
    <t>Bird Dog Leg Extensions (:02 ISO)</t>
  </si>
  <si>
    <t>Bird Dogs (Arm &amp; Leg) (:02 ISO)</t>
  </si>
  <si>
    <t>6/s</t>
  </si>
  <si>
    <t>SL Wall Sit (:10 ISO)</t>
  </si>
  <si>
    <t>SL Wall Sit (:15 ISO)</t>
  </si>
  <si>
    <t>2/s</t>
  </si>
  <si>
    <t>SL Decline Wall Sit (:15 ISO) - 90deg?</t>
  </si>
  <si>
    <t>Knee Side Plank + Clamshell</t>
  </si>
  <si>
    <t>Knee Side Plank + opp Straight Leg Raise</t>
  </si>
  <si>
    <t>Alt. Dead Bug Leg Ext. w/ OH band</t>
  </si>
  <si>
    <t>Balance and Proprioception</t>
  </si>
  <si>
    <t>Active SL Balance</t>
  </si>
  <si>
    <t>DL Squats - Bosu (flat up) - plate</t>
  </si>
  <si>
    <t>Alt. MB Rot. Pass- BOSU - Facing Wall</t>
  </si>
  <si>
    <t>ISO Lunge + Eyes Closed</t>
  </si>
  <si>
    <t>:20</t>
  </si>
  <si>
    <t>Active SL Balance - eyes closed</t>
  </si>
  <si>
    <t>DL Half Squats - Balance Board</t>
  </si>
  <si>
    <t>Dynamic</t>
  </si>
  <si>
    <t>MB Slam - 50% Effort</t>
  </si>
  <si>
    <t>MB Slam - 70% Effort</t>
  </si>
  <si>
    <t>MB Slam - R leg bias?</t>
  </si>
  <si>
    <t>Alt. MB Rot. Pass - Facing Wall</t>
  </si>
  <si>
    <t>Lateral Rot. Pass (50% Effort)</t>
  </si>
  <si>
    <t>1/2 Squat + MB Chest Pass - 70% effort</t>
  </si>
  <si>
    <t>BM</t>
  </si>
  <si>
    <t>1/2 BM</t>
  </si>
  <si>
    <t>Lift</t>
  </si>
  <si>
    <t>1/4 BM</t>
  </si>
  <si>
    <t>Lift 1</t>
  </si>
  <si>
    <t>Reps/Sets</t>
  </si>
  <si>
    <t>Micro 1</t>
  </si>
  <si>
    <t>Micro 2</t>
  </si>
  <si>
    <t>Micro 3</t>
  </si>
  <si>
    <t>Micro 4</t>
  </si>
  <si>
    <t>Effort</t>
  </si>
  <si>
    <t>Load</t>
  </si>
  <si>
    <t>%</t>
  </si>
  <si>
    <t>AccessoryLower</t>
  </si>
  <si>
    <t>3x8</t>
  </si>
  <si>
    <t>tap box, do not sit. 15" box</t>
  </si>
  <si>
    <t>Reps</t>
  </si>
  <si>
    <t>PE</t>
  </si>
  <si>
    <t>V-L</t>
  </si>
  <si>
    <t>DE</t>
  </si>
  <si>
    <t>MedBall</t>
  </si>
  <si>
    <t>3x5+1</t>
  </si>
  <si>
    <t>s</t>
  </si>
  <si>
    <t>Alt SL Hamstring Bridge on Bench</t>
  </si>
  <si>
    <t>Heel.. ON .. The .. Bench</t>
  </si>
  <si>
    <t>ME</t>
  </si>
  <si>
    <t>:02 ISO</t>
  </si>
  <si>
    <t>PrimaryUpper</t>
  </si>
  <si>
    <t>try to push the load on these if comfortable</t>
  </si>
  <si>
    <t>Total</t>
  </si>
  <si>
    <t>go light and focus on good posture</t>
  </si>
  <si>
    <t>AccessoryUpper</t>
  </si>
  <si>
    <t>3x7+1</t>
  </si>
  <si>
    <t>DL Leg Extensions - 7 to 3</t>
  </si>
  <si>
    <t>trying to get to 50:50</t>
  </si>
  <si>
    <t>SL Leg Extension - L leg only</t>
  </si>
  <si>
    <t>stay on the machine and try to go kind of heavy with L leg</t>
  </si>
  <si>
    <t>3x12</t>
  </si>
  <si>
    <t>using hamstring machine</t>
  </si>
  <si>
    <t>:03 ECC</t>
  </si>
  <si>
    <t>Lift 2</t>
  </si>
  <si>
    <t>handles up, no blocks</t>
  </si>
  <si>
    <t>Jump</t>
  </si>
  <si>
    <t>3x:15+5</t>
  </si>
  <si>
    <t>Side Plank?</t>
  </si>
  <si>
    <t>3x6</t>
  </si>
  <si>
    <t>Step Up w/ DB Goblet on L</t>
  </si>
  <si>
    <t>stable lower body</t>
  </si>
  <si>
    <t>SL Swiss Ball Hamstring Curl</t>
  </si>
  <si>
    <t>hips high</t>
  </si>
  <si>
    <t>Standing DL Calf Raise - Rack</t>
  </si>
  <si>
    <t>BB</t>
  </si>
  <si>
    <t>get someone to help you set this up safely</t>
  </si>
  <si>
    <t>Lift 3</t>
  </si>
  <si>
    <t>:03 ISO</t>
  </si>
  <si>
    <t>3x:30</t>
  </si>
  <si>
    <t>Force Plates</t>
  </si>
  <si>
    <t>aim for just below knee caps</t>
  </si>
  <si>
    <t>trying to get lower in the lunge, both sides</t>
  </si>
  <si>
    <t>3x3</t>
  </si>
  <si>
    <t>ISO Leg Extensions (setting 3)</t>
  </si>
  <si>
    <t>different load for each leg.  L can help with R if needed.</t>
  </si>
  <si>
    <t>:10 ISO</t>
  </si>
  <si>
    <t>Hamstring Curl Machine (2 up, 1 Down)</t>
  </si>
  <si>
    <t>Specific Warm Up</t>
  </si>
  <si>
    <t>Cardio warm-up and dynamic stretching as needed.  Additionally, perform exercises listed below:</t>
  </si>
  <si>
    <t>Upper 1</t>
  </si>
  <si>
    <t>PrimaryExplosive</t>
  </si>
  <si>
    <t>empty barbell, small dip and 50% effort push</t>
  </si>
  <si>
    <t>1/2 Kneeling SA Cable Pull Down</t>
  </si>
  <si>
    <t>Core</t>
  </si>
  <si>
    <t>V-Ups w/ Pass-through</t>
  </si>
  <si>
    <t>3x9-1</t>
  </si>
  <si>
    <t>Low to High Cable Rotation Chop</t>
  </si>
  <si>
    <t>using lower body a little bit</t>
  </si>
  <si>
    <t>Upper 2</t>
  </si>
  <si>
    <t>3x8&gt;</t>
  </si>
  <si>
    <t>Single Arm DB OH Press</t>
  </si>
  <si>
    <t>3x10</t>
  </si>
  <si>
    <t>Weighted Sit Up + OH Raise w/ plate</t>
  </si>
  <si>
    <t>DB Bench Press - Swiss Ball</t>
  </si>
  <si>
    <t>3x9+1</t>
  </si>
  <si>
    <t>Plank w/ Forward DB touch</t>
  </si>
  <si>
    <t>Accessories</t>
  </si>
  <si>
    <t>Key Lifts</t>
  </si>
  <si>
    <t>Moguls Prehab 1</t>
  </si>
  <si>
    <t>Core 1</t>
  </si>
  <si>
    <t>Back Squat</t>
  </si>
  <si>
    <t>Deadlift</t>
  </si>
  <si>
    <t>Power Clean</t>
  </si>
  <si>
    <t>Snatch</t>
  </si>
  <si>
    <t>3x</t>
  </si>
  <si>
    <t>Best</t>
  </si>
  <si>
    <t>Mobility Tracking</t>
  </si>
  <si>
    <t>Core 2</t>
  </si>
  <si>
    <t>K2W</t>
  </si>
  <si>
    <t>ASLR</t>
  </si>
  <si>
    <t>FABER</t>
  </si>
  <si>
    <t>TPI T-Spine</t>
  </si>
  <si>
    <t>Load Volume</t>
  </si>
  <si>
    <t>Cycle 1</t>
  </si>
  <si>
    <t>Cycle 2</t>
  </si>
  <si>
    <t>Cycle 3</t>
  </si>
  <si>
    <t>Cycle 4</t>
  </si>
  <si>
    <t>Core 3</t>
  </si>
  <si>
    <t>Plyometrics</t>
  </si>
  <si>
    <t>Cycle Total</t>
  </si>
  <si>
    <t>Cyce 3</t>
  </si>
  <si>
    <t>Key Lifts - Helper</t>
  </si>
  <si>
    <t>Lifts</t>
  </si>
  <si>
    <t>Mobility</t>
  </si>
  <si>
    <t>RLESS - 2 DBs (6", active toes)</t>
  </si>
  <si>
    <t>Kb Goblet</t>
  </si>
  <si>
    <t>:03 eccentric, :02 pause at parallel, :01 up</t>
  </si>
  <si>
    <t>3:2:1</t>
  </si>
  <si>
    <t>notes: italic 14</t>
  </si>
  <si>
    <t>Acc. Quad 1</t>
  </si>
  <si>
    <t>Acc. Quad 2</t>
  </si>
  <si>
    <t>Acc. Quad 3</t>
  </si>
  <si>
    <t>Acc. Quad 4</t>
  </si>
  <si>
    <t>PLYO 1</t>
  </si>
  <si>
    <t>PLYO 2</t>
  </si>
  <si>
    <t>PLYO 3</t>
  </si>
  <si>
    <t>SAQ 1</t>
  </si>
  <si>
    <t>SAQ 2</t>
  </si>
  <si>
    <t>ES1</t>
  </si>
  <si>
    <t>ES2</t>
  </si>
  <si>
    <t>ES3</t>
  </si>
  <si>
    <t>6" Squat from MB</t>
  </si>
  <si>
    <t>ISO SL Extension</t>
  </si>
  <si>
    <t>J</t>
  </si>
  <si>
    <t>30 ISO</t>
  </si>
  <si>
    <t xml:space="preserve">Kneeling sit back on Heels </t>
  </si>
  <si>
    <t>SL 3-way Step Down, band TKE</t>
  </si>
  <si>
    <t>Knee Side Plank + Opp Straight Leg Raise</t>
  </si>
  <si>
    <t>Add. V-Ball Squeeze + crunches</t>
  </si>
  <si>
    <t>Knee Copenhagen</t>
  </si>
  <si>
    <t>Split Squat w/ band ADD</t>
  </si>
  <si>
    <t>Standing Hip Flex. Mini band</t>
  </si>
  <si>
    <t>Alt Dead bugs w/ band OH</t>
  </si>
  <si>
    <t>:40</t>
  </si>
  <si>
    <t>:25</t>
  </si>
  <si>
    <t>Add. V-Ball Squeeze + rot. crunches</t>
  </si>
  <si>
    <t>:50</t>
  </si>
  <si>
    <t>:60</t>
  </si>
  <si>
    <t>Bird Dogs (bear crawl pos)</t>
  </si>
  <si>
    <t>Alt Dead bugs w/ band OH, miniband feet</t>
  </si>
  <si>
    <t>Y Balance</t>
  </si>
  <si>
    <t>SL Balance - Mini Tramp</t>
  </si>
  <si>
    <t>Preparation 1</t>
  </si>
  <si>
    <t>Preparation 2</t>
  </si>
  <si>
    <t>A March / Low Slow Back Pedal</t>
  </si>
  <si>
    <t>Butt Kicks / Walk back knee hug</t>
  </si>
  <si>
    <t>Lateral A March - Tall Hurdles</t>
  </si>
  <si>
    <t>20m</t>
  </si>
  <si>
    <t>Staggered Stance MB Slam</t>
  </si>
  <si>
    <t>Lateral Rot. Pass - small step</t>
  </si>
  <si>
    <t>DL Balance Board (AP)</t>
  </si>
  <si>
    <t>1D</t>
  </si>
  <si>
    <t>DL Balance Board (ML)</t>
  </si>
  <si>
    <t>Back squat to Box</t>
  </si>
  <si>
    <t>Alt. SL Ham Bridge on Bench</t>
  </si>
  <si>
    <t>ISO Split Squat w/ band ADD</t>
  </si>
  <si>
    <t>DL Leg Ext. 7 to 3</t>
  </si>
  <si>
    <t>SL Leg Ext. - Inj only</t>
  </si>
  <si>
    <t>Seated SL Calf Raise</t>
  </si>
  <si>
    <t>2 supersets, do only 1 each day</t>
  </si>
  <si>
    <t>Trap Bar Deadlift (blocks)</t>
  </si>
  <si>
    <t>TrapBar Deadlift</t>
  </si>
  <si>
    <t>Side Plank w/ DB Reach</t>
  </si>
  <si>
    <t>Step Up w/ TRX support</t>
  </si>
  <si>
    <t>Split Stance Push-Pull</t>
  </si>
  <si>
    <t>Sled Push + Sled Pull</t>
  </si>
  <si>
    <t>DL Calf Raise - BB on rack</t>
  </si>
  <si>
    <t>Belt Squat</t>
  </si>
  <si>
    <t>IMTP</t>
  </si>
  <si>
    <t>SL ECC. Squat to Box</t>
  </si>
  <si>
    <t>SL RDL - 1 DB</t>
  </si>
  <si>
    <t>ISO SL Extensions</t>
  </si>
  <si>
    <t>SL Prone Ham Curl</t>
  </si>
  <si>
    <t>Standing SL Calf Raise</t>
  </si>
  <si>
    <t>2:2:2</t>
  </si>
  <si>
    <t>Pull Up</t>
  </si>
  <si>
    <t>SA DB Bench Press</t>
  </si>
  <si>
    <t>SA DB OH Push Press</t>
  </si>
  <si>
    <t>Weighted Sit Up + OH Raise 1 DB</t>
  </si>
  <si>
    <t>Plank + Forward DB Touch</t>
  </si>
  <si>
    <t>1/2 Kneel SA Cable Row</t>
  </si>
  <si>
    <t>Split Stance Landmine Press</t>
  </si>
  <si>
    <t>Stir the Pot - Feet on Bench</t>
  </si>
  <si>
    <t>Hollow Body Hold w/ dowel + hip touches</t>
  </si>
  <si>
    <t>6&gt;</t>
  </si>
  <si>
    <t>F/B Walking</t>
  </si>
  <si>
    <t>Side Steps</t>
  </si>
  <si>
    <t>Crossover Side Steps</t>
  </si>
  <si>
    <t>Squats</t>
  </si>
  <si>
    <t>Calf Raises</t>
  </si>
  <si>
    <t>Tread Water</t>
  </si>
  <si>
    <t>SL Balance + Head Movement</t>
  </si>
  <si>
    <t>SL 1/4 Squats</t>
  </si>
  <si>
    <t>SL Calf Raises</t>
  </si>
  <si>
    <t>10m</t>
  </si>
  <si>
    <t>Side Shuffles</t>
  </si>
  <si>
    <t>F/B Walking - High Knees</t>
  </si>
  <si>
    <t>Carioca</t>
  </si>
  <si>
    <t>DL Mini Hops Forward</t>
  </si>
  <si>
    <t>Dl Mini Hops Sideways</t>
  </si>
  <si>
    <t>BFR Bike</t>
  </si>
  <si>
    <t>1/2 Squat</t>
  </si>
  <si>
    <t>30,15,15,15</t>
  </si>
  <si>
    <t>DL Hamstring Bridge Up</t>
  </si>
  <si>
    <t>1:1:1</t>
  </si>
  <si>
    <t>Inj Leg Straight Leg Raise</t>
  </si>
  <si>
    <t>Seated Calf Raise</t>
  </si>
  <si>
    <t>SB Wall Squat to Parallel</t>
  </si>
  <si>
    <t>Glute Bridge</t>
  </si>
  <si>
    <t>Prone Ham Curl</t>
  </si>
  <si>
    <t>DL Leg Extension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</si>
</sst>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d"/>
    <numFmt numFmtId="165" formatCode="mmm/dd"/>
    <numFmt numFmtId="166" formatCode="ddd/mmm/dd"/>
    <numFmt numFmtId="167" formatCode="0.0"/>
  </numFmts>
  <fonts count="64">
    <font>
      <sz val="12"/>
      <color theme="1"/>
      <name val="Aptos Narrow"/>
      <family val="2"/>
      <scheme val="minor"/>
    </font>
    <font>
      <sz val="11"/>
      <color theme="1"/>
      <name val="Aptos Narrow"/>
      <family val="2"/>
      <scheme val="minor"/>
    </font>
    <font>
      <b/>
      <sz val="28"/>
      <color rgb="FFFF0000"/>
      <name val="Aptos Narrow"/>
      <family val="2"/>
      <scheme val="minor"/>
    </font>
    <font>
      <b/>
      <u/>
      <sz val="36"/>
      <color rgb="FFFF0000"/>
      <name val="Aptos Narrow"/>
      <family val="2"/>
      <scheme val="minor"/>
    </font>
    <font>
      <b/>
      <u/>
      <sz val="24"/>
      <color rgb="FFFF0000"/>
      <name val="Aptos Narrow"/>
      <family val="2"/>
      <scheme val="minor"/>
    </font>
    <font>
      <b/>
      <sz val="24"/>
      <name val="Aptos Narrow"/>
      <family val="2"/>
      <scheme val="minor"/>
    </font>
    <font>
      <sz val="20"/>
      <name val="Aptos Narrow"/>
      <family val="2"/>
      <scheme val="minor"/>
    </font>
    <font>
      <b/>
      <sz val="26"/>
      <color rgb="FFFF0000"/>
      <name val="Aptos Narrow"/>
      <family val="2"/>
      <scheme val="minor"/>
    </font>
    <font>
      <b/>
      <sz val="16"/>
      <color theme="0"/>
      <name val="Aptos Narrow"/>
      <family val="2"/>
      <scheme val="minor"/>
    </font>
    <font>
      <b/>
      <sz val="14"/>
      <color theme="0"/>
      <name val="Aptos Narrow"/>
      <family val="2"/>
      <scheme val="minor"/>
    </font>
    <font>
      <sz val="16"/>
      <color theme="1"/>
      <name val="Aptos Narrow"/>
      <family val="2"/>
      <scheme val="minor"/>
    </font>
    <font>
      <sz val="14"/>
      <color theme="1"/>
      <name val="Aptos Narrow"/>
      <family val="2"/>
      <scheme val="minor"/>
    </font>
    <font>
      <sz val="20"/>
      <color theme="1"/>
      <name val="Aptos Narrow"/>
      <family val="2"/>
      <scheme val="minor"/>
    </font>
    <font>
      <sz val="18"/>
      <color theme="1"/>
      <name val="Aptos Narrow"/>
      <family val="2"/>
      <scheme val="minor"/>
    </font>
    <font>
      <sz val="8"/>
      <name val="Aptos Narrow"/>
      <family val="2"/>
      <scheme val="minor"/>
    </font>
    <font>
      <i/>
      <sz val="16"/>
      <color rgb="FFFF0000"/>
      <name val="Aptos Narrow"/>
      <scheme val="minor"/>
    </font>
    <font>
      <b/>
      <sz val="20"/>
      <color rgb="FFFF0000"/>
      <name val="Aptos Narrow"/>
      <scheme val="minor"/>
    </font>
    <font>
      <sz val="16"/>
      <color rgb="FFFF0000"/>
      <name val="Aptos Narrow"/>
      <scheme val="minor"/>
    </font>
    <font>
      <sz val="18"/>
      <color rgb="FFFF0000"/>
      <name val="Aptos Narrow"/>
      <scheme val="minor"/>
    </font>
    <font>
      <sz val="20"/>
      <color rgb="FFFF0000"/>
      <name val="Aptos Narrow"/>
      <scheme val="minor"/>
    </font>
    <font>
      <sz val="11"/>
      <color rgb="FFFF0000"/>
      <name val="Aptos Narrow"/>
      <scheme val="minor"/>
    </font>
    <font>
      <b/>
      <sz val="12"/>
      <color theme="1"/>
      <name val="Aptos Narrow"/>
      <scheme val="minor"/>
    </font>
    <font>
      <b/>
      <sz val="12"/>
      <color theme="0"/>
      <name val="Aptos Narrow"/>
      <scheme val="minor"/>
    </font>
    <font>
      <sz val="12"/>
      <color theme="1"/>
      <name val="Aptos Narrow"/>
      <family val="2"/>
      <scheme val="minor"/>
    </font>
    <font>
      <b/>
      <sz val="12"/>
      <color theme="1"/>
      <name val="Aptos Narrow"/>
      <family val="2"/>
      <scheme val="minor"/>
    </font>
    <font>
      <b/>
      <sz val="18"/>
      <color theme="0"/>
      <name val="Aptos Narrow"/>
      <family val="2"/>
      <scheme val="minor"/>
    </font>
    <font>
      <b/>
      <sz val="14"/>
      <color theme="1"/>
      <name val="Aptos Narrow"/>
      <family val="2"/>
      <scheme val="minor"/>
    </font>
    <font>
      <b/>
      <sz val="36"/>
      <color theme="1"/>
      <name val="Aptos Narrow"/>
      <family val="2"/>
      <scheme val="minor"/>
    </font>
    <font>
      <b/>
      <sz val="20"/>
      <color theme="1"/>
      <name val="Aptos Narrow"/>
      <family val="2"/>
      <scheme val="minor"/>
    </font>
    <font>
      <sz val="24"/>
      <color theme="1"/>
      <name val="Aptos Narrow"/>
      <family val="2"/>
      <scheme val="minor"/>
    </font>
    <font>
      <sz val="11"/>
      <color theme="0"/>
      <name val="Aptos Narrow"/>
      <family val="2"/>
      <scheme val="minor"/>
    </font>
    <font>
      <b/>
      <sz val="36"/>
      <color theme="0"/>
      <name val="Aptos Narrow"/>
      <family val="2"/>
      <scheme val="minor"/>
    </font>
    <font>
      <sz val="18"/>
      <color theme="0"/>
      <name val="Aptos Narrow"/>
      <family val="2"/>
      <scheme val="minor"/>
    </font>
    <font>
      <b/>
      <i/>
      <sz val="20"/>
      <color theme="1"/>
      <name val="Aptos Narrow"/>
      <family val="2"/>
      <scheme val="minor"/>
    </font>
    <font>
      <b/>
      <sz val="24"/>
      <color theme="1"/>
      <name val="Aptos Narrow"/>
      <family val="2"/>
      <scheme val="minor"/>
    </font>
    <font>
      <b/>
      <sz val="22"/>
      <color theme="1"/>
      <name val="Aptos Narrow"/>
      <family val="2"/>
      <scheme val="minor"/>
    </font>
    <font>
      <b/>
      <sz val="22"/>
      <color rgb="FFFF0000"/>
      <name val="Aptos Narrow"/>
      <family val="2"/>
      <scheme val="minor"/>
    </font>
    <font>
      <b/>
      <sz val="18"/>
      <color theme="1"/>
      <name val="Aptos Narrow"/>
      <family val="2"/>
      <scheme val="minor"/>
    </font>
    <font>
      <b/>
      <sz val="36"/>
      <color rgb="FFFF0000"/>
      <name val="Aptos Narrow"/>
      <family val="2"/>
      <scheme val="minor"/>
    </font>
    <font>
      <b/>
      <sz val="20"/>
      <color theme="0"/>
      <name val="Aptos Narrow"/>
      <family val="2"/>
      <scheme val="minor"/>
    </font>
    <font>
      <sz val="26"/>
      <color theme="1"/>
      <name val="Aptos Narrow"/>
      <family val="2"/>
      <scheme val="minor"/>
    </font>
    <font>
      <b/>
      <i/>
      <sz val="18"/>
      <color theme="1"/>
      <name val="Aptos Narrow"/>
      <family val="2"/>
      <scheme val="minor"/>
    </font>
    <font>
      <i/>
      <sz val="18"/>
      <color theme="1"/>
      <name val="Aptos Narrow"/>
      <family val="2"/>
      <scheme val="minor"/>
    </font>
    <font>
      <b/>
      <sz val="11"/>
      <color theme="1"/>
      <name val="Aptos Narrow"/>
      <family val="2"/>
      <scheme val="minor"/>
    </font>
    <font>
      <b/>
      <sz val="16"/>
      <color theme="1"/>
      <name val="Aptos Narrow"/>
      <family val="2"/>
      <scheme val="minor"/>
    </font>
    <font>
      <b/>
      <sz val="48"/>
      <color rgb="FFFF0000"/>
      <name val="Aptos Narrow"/>
      <family val="2"/>
      <scheme val="minor"/>
    </font>
    <font>
      <b/>
      <sz val="20"/>
      <name val="Aptos Narrow"/>
      <family val="2"/>
      <scheme val="minor"/>
    </font>
    <font>
      <b/>
      <i/>
      <sz val="20"/>
      <color rgb="FF000000"/>
      <name val="Aptos Narrow"/>
      <family val="2"/>
      <scheme val="minor"/>
    </font>
    <font>
      <sz val="22"/>
      <color theme="1"/>
      <name val="Aptos Narrow"/>
      <family val="2"/>
      <scheme val="minor"/>
    </font>
    <font>
      <b/>
      <u/>
      <sz val="48"/>
      <color theme="0"/>
      <name val="Aptos Narrow"/>
      <family val="2"/>
      <scheme val="minor"/>
    </font>
    <font>
      <b/>
      <i/>
      <sz val="26"/>
      <color theme="1"/>
      <name val="Aptos Narrow"/>
      <family val="2"/>
      <scheme val="minor"/>
    </font>
    <font>
      <i/>
      <sz val="20"/>
      <color theme="1"/>
      <name val="Aptos Narrow"/>
      <family val="2"/>
      <scheme val="minor"/>
    </font>
    <font>
      <sz val="18"/>
      <color rgb="FFFF0000"/>
      <name val="Aptos Narrow"/>
      <family val="2"/>
      <scheme val="minor"/>
    </font>
    <font>
      <b/>
      <sz val="18"/>
      <color rgb="FFFF0000"/>
      <name val="Aptos Narrow"/>
      <family val="2"/>
      <scheme val="minor"/>
    </font>
    <font>
      <i/>
      <sz val="14"/>
      <color theme="1" tint="0.34998626667073579"/>
      <name val="Aptos Narrow"/>
      <family val="2"/>
      <scheme val="minor"/>
    </font>
    <font>
      <sz val="16"/>
      <color rgb="FFFF0000"/>
      <name val="Aptos Narrow"/>
      <family val="2"/>
      <scheme val="minor"/>
    </font>
    <font>
      <sz val="8"/>
      <color theme="0"/>
      <name val="Aptos Narrow"/>
      <family val="2"/>
      <scheme val="minor"/>
    </font>
    <font>
      <b/>
      <u/>
      <sz val="24"/>
      <color theme="0"/>
      <name val="Aptos Narrow"/>
      <family val="2"/>
      <scheme val="minor"/>
    </font>
    <font>
      <b/>
      <sz val="16"/>
      <color rgb="FFFF0000"/>
      <name val="Aptos Narrow"/>
      <family val="2"/>
      <scheme val="minor"/>
    </font>
    <font>
      <b/>
      <sz val="16"/>
      <color theme="2" tint="-0.499984740745262"/>
      <name val="Aptos Narrow"/>
      <family val="2"/>
      <scheme val="minor"/>
    </font>
    <font>
      <b/>
      <sz val="16"/>
      <color theme="0" tint="-0.249977111117893"/>
      <name val="Aptos Narrow"/>
      <family val="2"/>
      <scheme val="minor"/>
    </font>
    <font>
      <b/>
      <sz val="11"/>
      <color rgb="FFFF0000"/>
      <name val="Aptos Narrow"/>
      <family val="2"/>
      <scheme val="minor"/>
    </font>
    <font>
      <b/>
      <sz val="11"/>
      <color theme="0"/>
      <name val="Aptos Narrow"/>
      <family val="2"/>
      <scheme val="minor"/>
    </font>
    <font>
      <i/>
      <sz val="14"/>
      <color theme="1"/>
      <name val="Aptos Narrow"/>
      <family val="2"/>
      <scheme val="minor"/>
    </font>
  </fonts>
  <fills count="20">
    <fill>
      <patternFill patternType="none"/>
    </fill>
    <fill>
      <patternFill patternType="gray125"/>
    </fill>
    <fill>
      <patternFill patternType="solid">
        <fgColor theme="0" tint="-4.9989318521683403E-2"/>
        <bgColor indexed="64"/>
      </patternFill>
    </fill>
    <fill>
      <patternFill patternType="solid">
        <fgColor theme="1" tint="0.499984740745262"/>
        <bgColor indexed="64"/>
      </patternFill>
    </fill>
    <fill>
      <patternFill patternType="solid">
        <fgColor theme="0" tint="-0.14999847407452621"/>
        <bgColor indexed="64"/>
      </patternFill>
    </fill>
    <fill>
      <patternFill patternType="solid">
        <fgColor theme="7" tint="0.59999389629810485"/>
        <bgColor indexed="64"/>
      </patternFill>
    </fill>
    <fill>
      <patternFill patternType="solid">
        <fgColor theme="0" tint="-0.499984740745262"/>
        <bgColor indexed="64"/>
      </patternFill>
    </fill>
    <fill>
      <patternFill patternType="solid">
        <fgColor theme="9" tint="0.39997558519241921"/>
        <bgColor indexed="64"/>
      </patternFill>
    </fill>
    <fill>
      <patternFill patternType="solid">
        <fgColor theme="1"/>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theme="1" tint="0.249977111117893"/>
        <bgColor indexed="64"/>
      </patternFill>
    </fill>
    <fill>
      <patternFill patternType="solid">
        <fgColor theme="0" tint="-0.249977111117893"/>
        <bgColor indexed="64"/>
      </patternFill>
    </fill>
    <fill>
      <patternFill patternType="solid">
        <fgColor theme="0"/>
        <bgColor indexed="64"/>
      </patternFill>
    </fill>
    <fill>
      <patternFill patternType="solid">
        <fgColor theme="4" tint="0.39997558519241921"/>
        <bgColor indexed="64"/>
      </patternFill>
    </fill>
    <fill>
      <patternFill patternType="solid">
        <fgColor rgb="FFF2F2F2"/>
        <bgColor rgb="FF000000"/>
      </patternFill>
    </fill>
    <fill>
      <patternFill patternType="solid">
        <fgColor theme="2"/>
        <bgColor indexed="64"/>
      </patternFill>
    </fill>
    <fill>
      <patternFill patternType="solid">
        <fgColor theme="2" tint="-9.9978637043366805E-2"/>
        <bgColor indexed="64"/>
      </patternFill>
    </fill>
    <fill>
      <patternFill patternType="solid">
        <fgColor theme="3" tint="0.89999084444715716"/>
        <bgColor indexed="64"/>
      </patternFill>
    </fill>
  </fills>
  <borders count="89">
    <border>
      <left/>
      <right/>
      <top/>
      <bottom/>
      <diagonal/>
    </border>
    <border>
      <left style="medium">
        <color indexed="64"/>
      </left>
      <right/>
      <top style="medium">
        <color indexed="64"/>
      </top>
      <bottom/>
      <diagonal/>
    </border>
    <border>
      <left/>
      <right/>
      <top style="medium">
        <color auto="1"/>
      </top>
      <bottom/>
      <diagonal/>
    </border>
    <border>
      <left style="medium">
        <color auto="1"/>
      </left>
      <right/>
      <top/>
      <bottom/>
      <diagonal/>
    </border>
    <border>
      <left style="thin">
        <color indexed="64"/>
      </left>
      <right/>
      <top style="thin">
        <color indexed="64"/>
      </top>
      <bottom/>
      <diagonal/>
    </border>
    <border>
      <left/>
      <right/>
      <top style="thin">
        <color indexed="64"/>
      </top>
      <bottom/>
      <diagonal/>
    </border>
    <border>
      <left/>
      <right style="thin">
        <color auto="1"/>
      </right>
      <top style="thin">
        <color indexed="64"/>
      </top>
      <bottom/>
      <diagonal/>
    </border>
    <border>
      <left/>
      <right style="medium">
        <color indexed="64"/>
      </right>
      <top style="thin">
        <color indexed="64"/>
      </top>
      <bottom/>
      <diagonal/>
    </border>
    <border>
      <left style="thin">
        <color auto="1"/>
      </left>
      <right style="thin">
        <color auto="1"/>
      </right>
      <top/>
      <bottom/>
      <diagonal/>
    </border>
    <border>
      <left style="thin">
        <color auto="1"/>
      </left>
      <right/>
      <top/>
      <bottom/>
      <diagonal/>
    </border>
    <border>
      <left/>
      <right style="thin">
        <color indexed="64"/>
      </right>
      <top/>
      <bottom/>
      <diagonal/>
    </border>
    <border>
      <left/>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style="thin">
        <color indexed="64"/>
      </right>
      <top/>
      <bottom style="thin">
        <color indexed="64"/>
      </bottom>
      <diagonal/>
    </border>
    <border>
      <left/>
      <right/>
      <top/>
      <bottom style="medium">
        <color indexed="64"/>
      </bottom>
      <diagonal/>
    </border>
    <border>
      <left/>
      <right style="medium">
        <color indexed="64"/>
      </right>
      <top style="medium">
        <color indexed="64"/>
      </top>
      <bottom/>
      <diagonal/>
    </border>
    <border>
      <left style="medium">
        <color auto="1"/>
      </left>
      <right/>
      <top style="thin">
        <color indexed="64"/>
      </top>
      <bottom/>
      <diagonal/>
    </border>
    <border>
      <left/>
      <right style="thin">
        <color auto="1"/>
      </right>
      <top style="thin">
        <color auto="1"/>
      </top>
      <bottom style="thin">
        <color auto="1"/>
      </bottom>
      <diagonal/>
    </border>
    <border>
      <left style="thin">
        <color auto="1"/>
      </left>
      <right style="thin">
        <color indexed="64"/>
      </right>
      <top style="thin">
        <color indexed="64"/>
      </top>
      <bottom style="thin">
        <color auto="1"/>
      </bottom>
      <diagonal/>
    </border>
    <border>
      <left style="thin">
        <color auto="1"/>
      </left>
      <right style="medium">
        <color indexed="64"/>
      </right>
      <top style="thin">
        <color auto="1"/>
      </top>
      <bottom style="thin">
        <color auto="1"/>
      </bottom>
      <diagonal/>
    </border>
    <border>
      <left style="thin">
        <color indexed="64"/>
      </left>
      <right/>
      <top style="thin">
        <color indexed="64"/>
      </top>
      <bottom style="thin">
        <color indexed="64"/>
      </bottom>
      <diagonal/>
    </border>
    <border>
      <left style="medium">
        <color auto="1"/>
      </left>
      <right/>
      <top/>
      <bottom style="thin">
        <color indexed="64"/>
      </bottom>
      <diagonal/>
    </border>
    <border>
      <left style="thin">
        <color indexed="64"/>
      </left>
      <right style="thin">
        <color indexed="64"/>
      </right>
      <top style="thin">
        <color indexed="64"/>
      </top>
      <bottom/>
      <diagonal/>
    </border>
    <border>
      <left/>
      <right style="medium">
        <color auto="1"/>
      </right>
      <top/>
      <bottom/>
      <diagonal/>
    </border>
    <border>
      <left style="thin">
        <color auto="1"/>
      </left>
      <right style="thin">
        <color auto="1"/>
      </right>
      <top/>
      <bottom style="thin">
        <color auto="1"/>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right/>
      <top style="medium">
        <color auto="1"/>
      </top>
      <bottom style="thin">
        <color auto="1"/>
      </bottom>
      <diagonal/>
    </border>
    <border>
      <left/>
      <right style="medium">
        <color indexed="64"/>
      </right>
      <top style="medium">
        <color indexed="64"/>
      </top>
      <bottom style="thin">
        <color indexed="64"/>
      </bottom>
      <diagonal/>
    </border>
    <border>
      <left/>
      <right/>
      <top style="thin">
        <color auto="1"/>
      </top>
      <bottom style="medium">
        <color indexed="64"/>
      </bottom>
      <diagonal/>
    </border>
    <border>
      <left/>
      <right style="medium">
        <color indexed="64"/>
      </right>
      <top style="thin">
        <color auto="1"/>
      </top>
      <bottom style="medium">
        <color indexed="64"/>
      </bottom>
      <diagonal/>
    </border>
    <border>
      <left style="medium">
        <color auto="1"/>
      </left>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style="medium">
        <color auto="1"/>
      </left>
      <right/>
      <top/>
      <bottom style="thin">
        <color theme="1" tint="0.499984740745262"/>
      </bottom>
      <diagonal/>
    </border>
    <border>
      <left/>
      <right/>
      <top/>
      <bottom style="thin">
        <color theme="1" tint="0.499984740745262"/>
      </bottom>
      <diagonal/>
    </border>
    <border>
      <left/>
      <right style="thin">
        <color theme="1" tint="0.499984740745262"/>
      </right>
      <top/>
      <bottom style="thin">
        <color theme="1" tint="0.499984740745262"/>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medium">
        <color indexed="64"/>
      </left>
      <right/>
      <top style="medium">
        <color indexed="64"/>
      </top>
      <bottom style="thin">
        <color theme="0" tint="-0.34998626667073579"/>
      </bottom>
      <diagonal/>
    </border>
    <border>
      <left/>
      <right/>
      <top style="medium">
        <color indexed="64"/>
      </top>
      <bottom style="thin">
        <color theme="0" tint="-0.34998626667073579"/>
      </bottom>
      <diagonal/>
    </border>
    <border>
      <left/>
      <right style="thin">
        <color auto="1"/>
      </right>
      <top style="medium">
        <color indexed="64"/>
      </top>
      <bottom style="thin">
        <color theme="0" tint="-0.34998626667073579"/>
      </bottom>
      <diagonal/>
    </border>
    <border>
      <left style="thin">
        <color auto="1"/>
      </left>
      <right style="thin">
        <color theme="0" tint="-0.34998626667073579"/>
      </right>
      <top style="medium">
        <color auto="1"/>
      </top>
      <bottom style="thin">
        <color theme="0" tint="-0.34998626667073579"/>
      </bottom>
      <diagonal/>
    </border>
    <border>
      <left style="thin">
        <color theme="0" tint="-0.34998626667073579"/>
      </left>
      <right style="thin">
        <color theme="0" tint="-0.34998626667073579"/>
      </right>
      <top style="medium">
        <color auto="1"/>
      </top>
      <bottom style="thin">
        <color theme="0" tint="-0.34998626667073579"/>
      </bottom>
      <diagonal/>
    </border>
    <border>
      <left style="thin">
        <color theme="0" tint="-0.34998626667073579"/>
      </left>
      <right/>
      <top style="medium">
        <color auto="1"/>
      </top>
      <bottom style="thin">
        <color theme="0" tint="-0.34998626667073579"/>
      </bottom>
      <diagonal/>
    </border>
    <border>
      <left/>
      <right style="thin">
        <color theme="0" tint="-0.34998626667073579"/>
      </right>
      <top style="medium">
        <color auto="1"/>
      </top>
      <bottom style="thin">
        <color theme="0" tint="-0.34998626667073579"/>
      </bottom>
      <diagonal/>
    </border>
    <border>
      <left style="thin">
        <color theme="0" tint="-0.34998626667073579"/>
      </left>
      <right style="medium">
        <color indexed="64"/>
      </right>
      <top style="medium">
        <color auto="1"/>
      </top>
      <bottom style="thin">
        <color theme="0" tint="-0.34998626667073579"/>
      </bottom>
      <diagonal/>
    </border>
    <border>
      <left style="medium">
        <color auto="1"/>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auto="1"/>
      </right>
      <top style="thin">
        <color theme="0" tint="-0.34998626667073579"/>
      </top>
      <bottom style="thin">
        <color theme="0" tint="-0.34998626667073579"/>
      </bottom>
      <diagonal/>
    </border>
    <border>
      <left style="thin">
        <color auto="1"/>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style="medium">
        <color indexed="64"/>
      </right>
      <top style="thin">
        <color theme="0" tint="-0.34998626667073579"/>
      </top>
      <bottom style="thin">
        <color theme="0" tint="-0.34998626667073579"/>
      </bottom>
      <diagonal/>
    </border>
    <border>
      <left style="medium">
        <color auto="1"/>
      </left>
      <right/>
      <top style="thin">
        <color theme="0" tint="-0.34998626667073579"/>
      </top>
      <bottom/>
      <diagonal/>
    </border>
    <border>
      <left/>
      <right/>
      <top style="thin">
        <color theme="0" tint="-0.34998626667073579"/>
      </top>
      <bottom/>
      <diagonal/>
    </border>
    <border>
      <left/>
      <right style="thin">
        <color auto="1"/>
      </right>
      <top style="thin">
        <color theme="0" tint="-0.34998626667073579"/>
      </top>
      <bottom/>
      <diagonal/>
    </border>
    <border>
      <left style="thin">
        <color auto="1"/>
      </left>
      <right style="thin">
        <color theme="0" tint="-0.34998626667073579"/>
      </right>
      <top style="thin">
        <color theme="0" tint="-0.34998626667073579"/>
      </top>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style="medium">
        <color indexed="64"/>
      </right>
      <top style="thin">
        <color theme="0" tint="-0.34998626667073579"/>
      </top>
      <bottom/>
      <diagonal/>
    </border>
    <border>
      <left style="medium">
        <color indexed="64"/>
      </left>
      <right/>
      <top style="thin">
        <color theme="0" tint="-0.34998626667073579"/>
      </top>
      <bottom style="medium">
        <color indexed="64"/>
      </bottom>
      <diagonal/>
    </border>
    <border>
      <left/>
      <right/>
      <top style="thin">
        <color theme="0" tint="-0.34998626667073579"/>
      </top>
      <bottom style="medium">
        <color indexed="64"/>
      </bottom>
      <diagonal/>
    </border>
    <border>
      <left/>
      <right style="thin">
        <color auto="1"/>
      </right>
      <top style="thin">
        <color theme="0" tint="-0.34998626667073579"/>
      </top>
      <bottom style="medium">
        <color indexed="64"/>
      </bottom>
      <diagonal/>
    </border>
    <border>
      <left style="thin">
        <color auto="1"/>
      </left>
      <right style="thin">
        <color theme="0" tint="-0.34998626667073579"/>
      </right>
      <top style="thin">
        <color theme="0" tint="-0.34998626667073579"/>
      </top>
      <bottom style="medium">
        <color indexed="64"/>
      </bottom>
      <diagonal/>
    </border>
    <border>
      <left style="thin">
        <color theme="0" tint="-0.34998626667073579"/>
      </left>
      <right style="thin">
        <color theme="0" tint="-0.34998626667073579"/>
      </right>
      <top style="thin">
        <color theme="0" tint="-0.34998626667073579"/>
      </top>
      <bottom style="medium">
        <color indexed="64"/>
      </bottom>
      <diagonal/>
    </border>
    <border>
      <left style="thin">
        <color theme="0" tint="-0.34998626667073579"/>
      </left>
      <right/>
      <top style="thin">
        <color theme="0" tint="-0.34998626667073579"/>
      </top>
      <bottom style="medium">
        <color indexed="64"/>
      </bottom>
      <diagonal/>
    </border>
    <border>
      <left/>
      <right style="thin">
        <color theme="0" tint="-0.34998626667073579"/>
      </right>
      <top style="thin">
        <color theme="0" tint="-0.34998626667073579"/>
      </top>
      <bottom style="medium">
        <color indexed="64"/>
      </bottom>
      <diagonal/>
    </border>
    <border>
      <left style="thin">
        <color theme="0" tint="-0.34998626667073579"/>
      </left>
      <right style="medium">
        <color indexed="64"/>
      </right>
      <top style="thin">
        <color theme="0" tint="-0.34998626667073579"/>
      </top>
      <bottom style="medium">
        <color indexed="64"/>
      </bottom>
      <diagonal/>
    </border>
    <border>
      <left/>
      <right style="thin">
        <color indexed="64"/>
      </right>
      <top style="medium">
        <color indexed="64"/>
      </top>
      <bottom/>
      <diagonal/>
    </border>
    <border>
      <left style="thin">
        <color theme="0" tint="-0.34998626667073579"/>
      </left>
      <right/>
      <top style="medium">
        <color indexed="64"/>
      </top>
      <bottom/>
      <diagonal/>
    </border>
    <border>
      <left/>
      <right style="thin">
        <color theme="0" tint="-0.34998626667073579"/>
      </right>
      <top style="medium">
        <color auto="1"/>
      </top>
      <bottom/>
      <diagonal/>
    </border>
    <border>
      <left style="thin">
        <color theme="0" tint="-0.34998626667073579"/>
      </left>
      <right style="thin">
        <color theme="0" tint="-0.34998626667073579"/>
      </right>
      <top style="thin">
        <color theme="0" tint="-0.34998626667073579"/>
      </top>
      <bottom style="thin">
        <color auto="1"/>
      </bottom>
      <diagonal/>
    </border>
    <border>
      <left style="thin">
        <color theme="0" tint="-0.34998626667073579"/>
      </left>
      <right style="medium">
        <color indexed="64"/>
      </right>
      <top style="thin">
        <color theme="0" tint="-0.34998626667073579"/>
      </top>
      <bottom style="thin">
        <color indexed="64"/>
      </bottom>
      <diagonal/>
    </border>
    <border>
      <left style="thin">
        <color theme="0" tint="-0.34998626667073579"/>
      </left>
      <right/>
      <top style="thin">
        <color indexed="64"/>
      </top>
      <bottom/>
      <diagonal/>
    </border>
    <border>
      <left/>
      <right style="thin">
        <color theme="0" tint="-0.34998626667073579"/>
      </right>
      <top style="thin">
        <color indexed="64"/>
      </top>
      <bottom/>
      <diagonal/>
    </border>
    <border>
      <left style="thin">
        <color theme="0" tint="-0.34998626667073579"/>
      </left>
      <right style="thin">
        <color theme="0" tint="-0.34998626667073579"/>
      </right>
      <top style="thin">
        <color indexed="64"/>
      </top>
      <bottom style="thin">
        <color theme="0" tint="-0.34998626667073579"/>
      </bottom>
      <diagonal/>
    </border>
    <border>
      <left style="thin">
        <color theme="0" tint="-0.34998626667073579"/>
      </left>
      <right style="medium">
        <color indexed="64"/>
      </right>
      <top style="thin">
        <color indexed="64"/>
      </top>
      <bottom style="thin">
        <color theme="0" tint="-0.34998626667073579"/>
      </bottom>
      <diagonal/>
    </border>
    <border>
      <left style="thin">
        <color theme="0" tint="-0.34998626667073579"/>
      </left>
      <right/>
      <top style="thin">
        <color indexed="64"/>
      </top>
      <bottom style="thin">
        <color theme="0" tint="-0.34998626667073579"/>
      </bottom>
      <diagonal/>
    </border>
    <border>
      <left/>
      <right/>
      <top style="thin">
        <color indexed="64"/>
      </top>
      <bottom style="thin">
        <color theme="0" tint="-0.34998626667073579"/>
      </bottom>
      <diagonal/>
    </border>
    <border>
      <left/>
      <right style="thin">
        <color theme="0" tint="-0.34998626667073579"/>
      </right>
      <top style="thin">
        <color indexed="64"/>
      </top>
      <bottom style="thin">
        <color theme="0" tint="-0.34998626667073579"/>
      </bottom>
      <diagonal/>
    </border>
    <border>
      <left style="thin">
        <color auto="1"/>
      </left>
      <right style="thin">
        <color auto="1"/>
      </right>
      <top style="medium">
        <color indexed="64"/>
      </top>
      <bottom style="thin">
        <color auto="1"/>
      </bottom>
      <diagonal/>
    </border>
  </borders>
  <cellStyleXfs count="4">
    <xf numFmtId="0" fontId="0" fillId="0" borderId="0"/>
    <xf numFmtId="0" fontId="1" fillId="0" borderId="0"/>
    <xf numFmtId="0" fontId="23" fillId="0" borderId="0"/>
    <xf numFmtId="9" fontId="23" fillId="0" borderId="0" applyFont="0" applyFill="0" applyBorder="0" applyAlignment="0" applyProtection="0"/>
  </cellStyleXfs>
  <cellXfs count="477">
    <xf numFmtId="0" fontId="0" fillId="0" borderId="0" xfId="0"/>
    <xf numFmtId="0" fontId="13" fillId="0" borderId="0" xfId="1" applyFont="1" applyAlignment="1">
      <alignment horizontal="center" vertical="center" shrinkToFit="1"/>
    </xf>
    <xf numFmtId="164" fontId="1" fillId="2" borderId="8" xfId="1" applyNumberFormat="1" applyFill="1" applyBorder="1" applyAlignment="1">
      <alignment horizontal="center" vertical="center" shrinkToFit="1"/>
    </xf>
    <xf numFmtId="164" fontId="1" fillId="2" borderId="9" xfId="1" applyNumberFormat="1" applyFill="1" applyBorder="1" applyAlignment="1">
      <alignment horizontal="center" vertical="center" shrinkToFit="1"/>
    </xf>
    <xf numFmtId="165" fontId="10" fillId="6" borderId="0" xfId="1" applyNumberFormat="1" applyFont="1" applyFill="1" applyAlignment="1">
      <alignment horizontal="center" vertical="center" shrinkToFit="1"/>
    </xf>
    <xf numFmtId="165" fontId="11" fillId="6" borderId="0" xfId="1" applyNumberFormat="1" applyFont="1" applyFill="1" applyAlignment="1">
      <alignment horizontal="center" vertical="center" shrinkToFit="1"/>
    </xf>
    <xf numFmtId="0" fontId="16" fillId="4" borderId="0" xfId="1" applyFont="1" applyFill="1" applyAlignment="1">
      <alignment horizontal="center" vertical="center" shrinkToFit="1"/>
    </xf>
    <xf numFmtId="0" fontId="13" fillId="0" borderId="9" xfId="1" applyFont="1" applyBorder="1" applyAlignment="1">
      <alignment horizontal="center" vertical="center" shrinkToFit="1"/>
    </xf>
    <xf numFmtId="0" fontId="13" fillId="0" borderId="10" xfId="1" applyFont="1" applyBorder="1" applyAlignment="1">
      <alignment horizontal="center" vertical="center" shrinkToFit="1"/>
    </xf>
    <xf numFmtId="20" fontId="13" fillId="0" borderId="10" xfId="1" applyNumberFormat="1" applyFont="1" applyBorder="1" applyAlignment="1">
      <alignment horizontal="center" vertical="center" shrinkToFit="1"/>
    </xf>
    <xf numFmtId="0" fontId="15" fillId="4" borderId="0" xfId="1" applyFont="1" applyFill="1" applyAlignment="1">
      <alignment horizontal="center" vertical="center" shrinkToFit="1"/>
    </xf>
    <xf numFmtId="0" fontId="17" fillId="4" borderId="0" xfId="1" applyFont="1" applyFill="1" applyAlignment="1">
      <alignment horizontal="center" vertical="center" wrapText="1" shrinkToFit="1"/>
    </xf>
    <xf numFmtId="0" fontId="0" fillId="0" borderId="0" xfId="0" applyAlignment="1">
      <alignment horizontal="center" vertical="center"/>
    </xf>
    <xf numFmtId="0" fontId="21" fillId="0" borderId="0" xfId="0" applyFont="1" applyAlignment="1">
      <alignment horizontal="center" vertical="center"/>
    </xf>
    <xf numFmtId="0" fontId="21" fillId="7" borderId="0" xfId="0" applyFont="1" applyFill="1" applyAlignment="1">
      <alignment horizontal="center" vertical="center"/>
    </xf>
    <xf numFmtId="0" fontId="21" fillId="5" borderId="0" xfId="0" applyFont="1" applyFill="1" applyAlignment="1">
      <alignment horizontal="center" vertical="center"/>
    </xf>
    <xf numFmtId="0" fontId="22" fillId="8" borderId="0" xfId="0" applyFont="1" applyFill="1" applyAlignment="1">
      <alignment horizontal="center" vertical="center"/>
    </xf>
    <xf numFmtId="0" fontId="22" fillId="0" borderId="0" xfId="0" applyFont="1" applyAlignment="1">
      <alignment horizontal="center" vertical="center"/>
    </xf>
    <xf numFmtId="0" fontId="0" fillId="0" borderId="10" xfId="0" applyBorder="1" applyAlignment="1">
      <alignment horizontal="center" vertical="center"/>
    </xf>
    <xf numFmtId="0" fontId="13" fillId="0" borderId="0" xfId="1" applyFont="1" applyAlignment="1">
      <alignment horizontal="center" vertical="center" shrinkToFit="1"/>
    </xf>
    <xf numFmtId="0" fontId="15" fillId="4" borderId="0" xfId="1" applyFont="1" applyFill="1" applyAlignment="1">
      <alignment horizontal="center" vertical="center" shrinkToFit="1"/>
    </xf>
    <xf numFmtId="0" fontId="13" fillId="0" borderId="0" xfId="1" applyFont="1" applyAlignment="1">
      <alignment horizontal="center" vertical="center" wrapText="1" shrinkToFit="1"/>
    </xf>
    <xf numFmtId="0" fontId="6" fillId="2" borderId="4" xfId="1" applyFont="1" applyFill="1" applyBorder="1" applyAlignment="1">
      <alignment horizontal="center" vertical="center" shrinkToFit="1"/>
    </xf>
    <xf numFmtId="0" fontId="6" fillId="2" borderId="5" xfId="1" applyFont="1" applyFill="1" applyBorder="1" applyAlignment="1">
      <alignment horizontal="center" vertical="center" shrinkToFit="1"/>
    </xf>
    <xf numFmtId="0" fontId="6" fillId="2" borderId="6" xfId="1" applyFont="1" applyFill="1" applyBorder="1" applyAlignment="1">
      <alignment horizontal="center" vertical="center" shrinkToFit="1"/>
    </xf>
    <xf numFmtId="0" fontId="6" fillId="2" borderId="7" xfId="1" applyFont="1" applyFill="1" applyBorder="1" applyAlignment="1">
      <alignment horizontal="center" vertical="center" shrinkToFit="1"/>
    </xf>
    <xf numFmtId="0" fontId="18" fillId="4" borderId="0" xfId="1" applyFont="1" applyFill="1" applyAlignment="1">
      <alignment horizontal="center" vertical="center" shrinkToFit="1"/>
    </xf>
    <xf numFmtId="0" fontId="17" fillId="4" borderId="0" xfId="1" applyFont="1" applyFill="1" applyAlignment="1">
      <alignment horizontal="center" vertical="center" wrapText="1" shrinkToFit="1"/>
    </xf>
    <xf numFmtId="0" fontId="18" fillId="4" borderId="0" xfId="1" applyFont="1" applyFill="1" applyAlignment="1">
      <alignment horizontal="center" vertical="center" wrapText="1" shrinkToFit="1"/>
    </xf>
    <xf numFmtId="0" fontId="0" fillId="9" borderId="0" xfId="0" applyFill="1" applyAlignment="1">
      <alignment horizontal="center" vertical="center"/>
    </xf>
    <xf numFmtId="0" fontId="0" fillId="10" borderId="0" xfId="0" applyFill="1" applyAlignment="1">
      <alignment horizontal="center" vertical="center"/>
    </xf>
    <xf numFmtId="0" fontId="0" fillId="10" borderId="10" xfId="0" applyFill="1" applyBorder="1" applyAlignment="1">
      <alignment horizontal="center" vertical="center"/>
    </xf>
    <xf numFmtId="0" fontId="0" fillId="11" borderId="0" xfId="0" applyFill="1" applyAlignment="1">
      <alignment horizontal="center" vertical="center"/>
    </xf>
    <xf numFmtId="0" fontId="0" fillId="11" borderId="10" xfId="0" applyFill="1" applyBorder="1" applyAlignment="1">
      <alignment horizontal="center" vertical="center"/>
    </xf>
    <xf numFmtId="0" fontId="1" fillId="4" borderId="0" xfId="1" applyFill="1"/>
    <xf numFmtId="0" fontId="1" fillId="4" borderId="0" xfId="1" applyFill="1" applyAlignment="1">
      <alignment horizontal="center" vertical="center"/>
    </xf>
    <xf numFmtId="0" fontId="1" fillId="0" borderId="0" xfId="1"/>
    <xf numFmtId="0" fontId="25" fillId="8" borderId="4" xfId="1" applyFont="1" applyFill="1" applyBorder="1" applyAlignment="1">
      <alignment horizontal="center" vertical="center"/>
    </xf>
    <xf numFmtId="0" fontId="25" fillId="8" borderId="5" xfId="1" applyFont="1" applyFill="1" applyBorder="1" applyAlignment="1">
      <alignment horizontal="center" vertical="center"/>
    </xf>
    <xf numFmtId="0" fontId="25" fillId="8" borderId="11" xfId="1" applyFont="1" applyFill="1" applyBorder="1" applyAlignment="1">
      <alignment horizontal="center" vertical="center"/>
    </xf>
    <xf numFmtId="0" fontId="25" fillId="8" borderId="6" xfId="1" applyFont="1" applyFill="1" applyBorder="1" applyAlignment="1">
      <alignment horizontal="center" vertical="center"/>
    </xf>
    <xf numFmtId="0" fontId="13" fillId="4" borderId="4" xfId="1" applyFont="1" applyFill="1" applyBorder="1" applyAlignment="1">
      <alignment horizontal="center" vertical="center"/>
    </xf>
    <xf numFmtId="0" fontId="13" fillId="4" borderId="5" xfId="1" applyFont="1" applyFill="1" applyBorder="1" applyAlignment="1">
      <alignment horizontal="center" vertical="center"/>
    </xf>
    <xf numFmtId="0" fontId="13" fillId="4" borderId="9" xfId="1" applyFont="1" applyFill="1" applyBorder="1" applyAlignment="1">
      <alignment horizontal="left" vertical="center"/>
    </xf>
    <xf numFmtId="0" fontId="13" fillId="4" borderId="0" xfId="1" applyFont="1" applyFill="1" applyAlignment="1">
      <alignment horizontal="left" vertical="center"/>
    </xf>
    <xf numFmtId="0" fontId="13" fillId="4" borderId="4" xfId="1" applyFont="1" applyFill="1" applyBorder="1" applyAlignment="1">
      <alignment horizontal="center" vertical="center"/>
    </xf>
    <xf numFmtId="0" fontId="13" fillId="4" borderId="6" xfId="1" applyFont="1" applyFill="1" applyBorder="1" applyAlignment="1">
      <alignment horizontal="center" vertical="center"/>
    </xf>
    <xf numFmtId="0" fontId="13" fillId="4" borderId="0" xfId="1" applyFont="1" applyFill="1" applyAlignment="1">
      <alignment vertical="center"/>
    </xf>
    <xf numFmtId="0" fontId="13" fillId="4" borderId="5" xfId="1" applyFont="1" applyFill="1" applyBorder="1" applyAlignment="1">
      <alignment horizontal="left" vertical="center"/>
    </xf>
    <xf numFmtId="0" fontId="13" fillId="4" borderId="6" xfId="1" applyFont="1" applyFill="1" applyBorder="1" applyAlignment="1">
      <alignment horizontal="left" vertical="center"/>
    </xf>
    <xf numFmtId="0" fontId="13" fillId="4" borderId="9" xfId="1" applyFont="1" applyFill="1" applyBorder="1" applyAlignment="1">
      <alignment horizontal="center" vertical="center"/>
    </xf>
    <xf numFmtId="0" fontId="13" fillId="4" borderId="0" xfId="1" applyFont="1" applyFill="1" applyAlignment="1">
      <alignment horizontal="center" vertical="center"/>
    </xf>
    <xf numFmtId="0" fontId="13" fillId="4" borderId="9" xfId="1" applyFont="1" applyFill="1" applyBorder="1" applyAlignment="1">
      <alignment horizontal="center" vertical="center"/>
    </xf>
    <xf numFmtId="0" fontId="13" fillId="4" borderId="10" xfId="1" applyFont="1" applyFill="1" applyBorder="1" applyAlignment="1">
      <alignment horizontal="center" vertical="center"/>
    </xf>
    <xf numFmtId="0" fontId="13" fillId="4" borderId="10" xfId="1" applyFont="1" applyFill="1" applyBorder="1" applyAlignment="1">
      <alignment horizontal="left" vertical="center"/>
    </xf>
    <xf numFmtId="0" fontId="13" fillId="4" borderId="12" xfId="1" applyFont="1" applyFill="1" applyBorder="1" applyAlignment="1">
      <alignment horizontal="center" vertical="center"/>
    </xf>
    <xf numFmtId="0" fontId="13" fillId="4" borderId="13" xfId="1" applyFont="1" applyFill="1" applyBorder="1" applyAlignment="1">
      <alignment horizontal="center" vertical="center"/>
    </xf>
    <xf numFmtId="0" fontId="13" fillId="4" borderId="12" xfId="1" applyFont="1" applyFill="1" applyBorder="1" applyAlignment="1">
      <alignment horizontal="left" vertical="center"/>
    </xf>
    <xf numFmtId="0" fontId="13" fillId="4" borderId="13" xfId="1" applyFont="1" applyFill="1" applyBorder="1" applyAlignment="1">
      <alignment horizontal="left" vertical="center"/>
    </xf>
    <xf numFmtId="0" fontId="13" fillId="4" borderId="12" xfId="1" applyFont="1" applyFill="1" applyBorder="1" applyAlignment="1">
      <alignment horizontal="center" vertical="center"/>
    </xf>
    <xf numFmtId="0" fontId="13" fillId="4" borderId="14" xfId="1" applyFont="1" applyFill="1" applyBorder="1" applyAlignment="1">
      <alignment horizontal="center" vertical="center"/>
    </xf>
    <xf numFmtId="0" fontId="13" fillId="4" borderId="14" xfId="1" applyFont="1" applyFill="1" applyBorder="1" applyAlignment="1">
      <alignment horizontal="left" vertical="center"/>
    </xf>
    <xf numFmtId="0" fontId="26" fillId="0" borderId="0" xfId="1" applyFont="1" applyAlignment="1">
      <alignment horizontal="center" vertical="center"/>
    </xf>
    <xf numFmtId="0" fontId="27" fillId="0" borderId="0" xfId="1" applyFont="1" applyAlignment="1">
      <alignment horizontal="center" vertical="center"/>
    </xf>
    <xf numFmtId="0" fontId="11" fillId="0" borderId="0" xfId="1" applyFont="1"/>
    <xf numFmtId="0" fontId="28" fillId="0" borderId="0" xfId="1" applyFont="1" applyAlignment="1">
      <alignment horizontal="center" vertical="center"/>
    </xf>
    <xf numFmtId="14" fontId="12" fillId="0" borderId="0" xfId="1" applyNumberFormat="1" applyFont="1" applyAlignment="1">
      <alignment horizontal="center" vertical="center"/>
    </xf>
    <xf numFmtId="0" fontId="12" fillId="0" borderId="0" xfId="1" applyFont="1" applyAlignment="1">
      <alignment horizontal="center" vertical="center"/>
    </xf>
    <xf numFmtId="14" fontId="12" fillId="0" borderId="0" xfId="1" applyNumberFormat="1" applyFont="1" applyAlignment="1">
      <alignment vertical="center"/>
    </xf>
    <xf numFmtId="0" fontId="12" fillId="0" borderId="0" xfId="1" applyFont="1"/>
    <xf numFmtId="0" fontId="28" fillId="0" borderId="0" xfId="1" applyFont="1" applyAlignment="1">
      <alignment vertical="center"/>
    </xf>
    <xf numFmtId="0" fontId="29" fillId="0" borderId="0" xfId="1" applyFont="1" applyAlignment="1">
      <alignment horizontal="center" vertical="center"/>
    </xf>
    <xf numFmtId="0" fontId="29" fillId="0" borderId="0" xfId="1" applyFont="1" applyAlignment="1">
      <alignment vertical="center"/>
    </xf>
    <xf numFmtId="0" fontId="30" fillId="4" borderId="0" xfId="1" applyFont="1" applyFill="1"/>
    <xf numFmtId="0" fontId="31" fillId="8" borderId="0" xfId="1" applyFont="1" applyFill="1" applyAlignment="1">
      <alignment horizontal="center" vertical="center"/>
    </xf>
    <xf numFmtId="0" fontId="31" fillId="12" borderId="0" xfId="1" applyFont="1" applyFill="1" applyAlignment="1">
      <alignment horizontal="center" vertical="center"/>
    </xf>
    <xf numFmtId="0" fontId="31" fillId="8" borderId="15" xfId="1" applyFont="1" applyFill="1" applyBorder="1" applyAlignment="1">
      <alignment horizontal="center" vertical="center"/>
    </xf>
    <xf numFmtId="0" fontId="31" fillId="12" borderId="15" xfId="1" applyFont="1" applyFill="1" applyBorder="1" applyAlignment="1">
      <alignment horizontal="center" vertical="center"/>
    </xf>
    <xf numFmtId="0" fontId="31" fillId="6" borderId="0" xfId="1" applyFont="1" applyFill="1" applyAlignment="1">
      <alignment horizontal="center" vertical="center"/>
    </xf>
    <xf numFmtId="0" fontId="1" fillId="6" borderId="0" xfId="1" applyFill="1"/>
    <xf numFmtId="0" fontId="32" fillId="8" borderId="1" xfId="1" applyFont="1" applyFill="1" applyBorder="1" applyAlignment="1">
      <alignment horizontal="center" vertical="center"/>
    </xf>
    <xf numFmtId="0" fontId="32" fillId="8" borderId="2" xfId="1" applyFont="1" applyFill="1" applyBorder="1" applyAlignment="1">
      <alignment horizontal="center" vertical="center"/>
    </xf>
    <xf numFmtId="0" fontId="25" fillId="8" borderId="2" xfId="1" applyFont="1" applyFill="1" applyBorder="1" applyAlignment="1">
      <alignment horizontal="center" vertical="center"/>
    </xf>
    <xf numFmtId="0" fontId="25" fillId="8" borderId="16" xfId="1" applyFont="1" applyFill="1" applyBorder="1" applyAlignment="1">
      <alignment horizontal="center" vertical="center"/>
    </xf>
    <xf numFmtId="0" fontId="25" fillId="12" borderId="2" xfId="1" applyFont="1" applyFill="1" applyBorder="1" applyAlignment="1">
      <alignment horizontal="center" vertical="center"/>
    </xf>
    <xf numFmtId="0" fontId="25" fillId="12" borderId="16" xfId="1" applyFont="1" applyFill="1" applyBorder="1" applyAlignment="1">
      <alignment horizontal="center" vertical="center"/>
    </xf>
    <xf numFmtId="0" fontId="10" fillId="4" borderId="0" xfId="1" applyFont="1" applyFill="1"/>
    <xf numFmtId="0" fontId="8" fillId="8" borderId="0" xfId="1" applyFont="1" applyFill="1" applyAlignment="1">
      <alignment horizontal="center" vertical="center" wrapText="1"/>
    </xf>
    <xf numFmtId="0" fontId="2" fillId="2" borderId="13" xfId="1" applyFont="1" applyFill="1" applyBorder="1" applyAlignment="1">
      <alignment horizontal="center" vertical="center"/>
    </xf>
    <xf numFmtId="0" fontId="33" fillId="2" borderId="0" xfId="1" applyFont="1" applyFill="1" applyAlignment="1">
      <alignment horizontal="center" vertical="center" wrapText="1"/>
    </xf>
    <xf numFmtId="0" fontId="1" fillId="6" borderId="0" xfId="1" applyFill="1" applyAlignment="1">
      <alignment horizontal="center" vertical="center"/>
    </xf>
    <xf numFmtId="0" fontId="2" fillId="2" borderId="0" xfId="1" applyFont="1" applyFill="1" applyAlignment="1">
      <alignment horizontal="center" vertical="center"/>
    </xf>
    <xf numFmtId="0" fontId="33" fillId="2" borderId="0" xfId="1" applyFont="1" applyFill="1" applyAlignment="1">
      <alignment horizontal="center" vertical="center" wrapText="1"/>
    </xf>
    <xf numFmtId="0" fontId="27" fillId="13" borderId="17" xfId="1" applyFont="1" applyFill="1" applyBorder="1" applyAlignment="1">
      <alignment horizontal="center" vertical="center"/>
    </xf>
    <xf numFmtId="0" fontId="27" fillId="13" borderId="6" xfId="1" applyFont="1" applyFill="1" applyBorder="1" applyAlignment="1">
      <alignment horizontal="center" vertical="center"/>
    </xf>
    <xf numFmtId="0" fontId="27" fillId="4" borderId="18" xfId="1" applyFont="1" applyFill="1" applyBorder="1" applyAlignment="1">
      <alignment horizontal="center" vertical="center"/>
    </xf>
    <xf numFmtId="0" fontId="27" fillId="4" borderId="19" xfId="1" applyFont="1" applyFill="1" applyBorder="1" applyAlignment="1">
      <alignment horizontal="center" vertical="center"/>
    </xf>
    <xf numFmtId="0" fontId="27" fillId="4" borderId="20" xfId="1" applyFont="1" applyFill="1" applyBorder="1" applyAlignment="1">
      <alignment horizontal="center" vertical="center"/>
    </xf>
    <xf numFmtId="0" fontId="27" fillId="2" borderId="18" xfId="1" applyFont="1" applyFill="1" applyBorder="1" applyAlignment="1">
      <alignment horizontal="center" vertical="center"/>
    </xf>
    <xf numFmtId="0" fontId="27" fillId="2" borderId="19" xfId="1" applyFont="1" applyFill="1" applyBorder="1" applyAlignment="1">
      <alignment horizontal="center" vertical="center"/>
    </xf>
    <xf numFmtId="0" fontId="27" fillId="2" borderId="20" xfId="1" applyFont="1" applyFill="1" applyBorder="1" applyAlignment="1">
      <alignment horizontal="center" vertical="center"/>
    </xf>
    <xf numFmtId="0" fontId="8" fillId="8" borderId="21" xfId="1" applyFont="1" applyFill="1" applyBorder="1" applyAlignment="1">
      <alignment horizontal="center" vertical="center"/>
    </xf>
    <xf numFmtId="0" fontId="8" fillId="8" borderId="18" xfId="1" applyFont="1" applyFill="1" applyBorder="1" applyAlignment="1">
      <alignment horizontal="center" vertical="center"/>
    </xf>
    <xf numFmtId="0" fontId="8" fillId="8" borderId="19" xfId="1" applyFont="1" applyFill="1" applyBorder="1" applyAlignment="1">
      <alignment horizontal="center" vertical="center"/>
    </xf>
    <xf numFmtId="0" fontId="8" fillId="8" borderId="13" xfId="1" applyFont="1" applyFill="1" applyBorder="1" applyAlignment="1">
      <alignment horizontal="center" vertical="center" wrapText="1"/>
    </xf>
    <xf numFmtId="0" fontId="12" fillId="0" borderId="19" xfId="1" applyFont="1" applyBorder="1" applyAlignment="1">
      <alignment horizontal="center" vertical="center"/>
    </xf>
    <xf numFmtId="0" fontId="12" fillId="0" borderId="19" xfId="1" applyFont="1" applyBorder="1" applyAlignment="1">
      <alignment horizontal="center" vertical="center"/>
    </xf>
    <xf numFmtId="0" fontId="27" fillId="13" borderId="22" xfId="1" applyFont="1" applyFill="1" applyBorder="1" applyAlignment="1">
      <alignment horizontal="center" vertical="center"/>
    </xf>
    <xf numFmtId="0" fontId="27" fillId="13" borderId="14" xfId="1" applyFont="1" applyFill="1" applyBorder="1" applyAlignment="1">
      <alignment horizontal="center" vertical="center"/>
    </xf>
    <xf numFmtId="0" fontId="13" fillId="4" borderId="23" xfId="1" applyFont="1" applyFill="1" applyBorder="1" applyAlignment="1">
      <alignment horizontal="center" vertical="center"/>
    </xf>
    <xf numFmtId="0" fontId="13" fillId="4" borderId="19" xfId="1" applyFont="1" applyFill="1" applyBorder="1" applyAlignment="1">
      <alignment horizontal="center" vertical="center"/>
    </xf>
    <xf numFmtId="0" fontId="1" fillId="0" borderId="0" xfId="1" applyAlignment="1">
      <alignment horizontal="center" vertical="center"/>
    </xf>
    <xf numFmtId="166" fontId="10" fillId="13" borderId="3" xfId="1" applyNumberFormat="1" applyFont="1" applyFill="1" applyBorder="1" applyAlignment="1">
      <alignment horizontal="center" vertical="center"/>
    </xf>
    <xf numFmtId="166" fontId="10" fillId="13" borderId="0" xfId="1" applyNumberFormat="1" applyFont="1" applyFill="1" applyAlignment="1">
      <alignment horizontal="center" vertical="center"/>
    </xf>
    <xf numFmtId="0" fontId="10" fillId="4" borderId="0" xfId="1" applyFont="1" applyFill="1" applyAlignment="1">
      <alignment horizontal="center" vertical="center"/>
    </xf>
    <xf numFmtId="0" fontId="10" fillId="4" borderId="24" xfId="1" applyFont="1" applyFill="1" applyBorder="1" applyAlignment="1">
      <alignment horizontal="center" vertical="center"/>
    </xf>
    <xf numFmtId="0" fontId="10" fillId="2" borderId="0" xfId="1" applyFont="1" applyFill="1" applyAlignment="1">
      <alignment horizontal="center" vertical="center"/>
    </xf>
    <xf numFmtId="0" fontId="10" fillId="2" borderId="24" xfId="1" applyFont="1" applyFill="1" applyBorder="1" applyAlignment="1">
      <alignment horizontal="center" vertical="center"/>
    </xf>
    <xf numFmtId="0" fontId="10" fillId="0" borderId="0" xfId="1" applyFont="1"/>
    <xf numFmtId="0" fontId="12" fillId="4" borderId="19" xfId="1" applyFont="1" applyFill="1" applyBorder="1" applyAlignment="1">
      <alignment horizontal="center" vertical="center"/>
    </xf>
    <xf numFmtId="0" fontId="12" fillId="4" borderId="19" xfId="1" applyFont="1" applyFill="1" applyBorder="1" applyAlignment="1">
      <alignment horizontal="center" vertical="center"/>
    </xf>
    <xf numFmtId="0" fontId="13" fillId="0" borderId="19" xfId="1" applyFont="1" applyBorder="1" applyAlignment="1">
      <alignment horizontal="center" vertical="center"/>
    </xf>
    <xf numFmtId="0" fontId="13" fillId="0" borderId="19" xfId="1" applyFont="1" applyBorder="1" applyAlignment="1">
      <alignment horizontal="center" vertical="center"/>
    </xf>
    <xf numFmtId="20" fontId="12" fillId="0" borderId="19" xfId="1" applyNumberFormat="1" applyFont="1" applyBorder="1" applyAlignment="1">
      <alignment horizontal="center" vertical="center"/>
    </xf>
    <xf numFmtId="20" fontId="12" fillId="0" borderId="19" xfId="1" applyNumberFormat="1" applyFont="1" applyBorder="1" applyAlignment="1">
      <alignment horizontal="center" vertical="center"/>
    </xf>
    <xf numFmtId="0" fontId="8" fillId="8" borderId="5" xfId="1" applyFont="1" applyFill="1" applyBorder="1" applyAlignment="1">
      <alignment horizontal="center" vertical="center"/>
    </xf>
    <xf numFmtId="0" fontId="8" fillId="8" borderId="13" xfId="1" applyFont="1" applyFill="1" applyBorder="1" applyAlignment="1">
      <alignment horizontal="center" vertical="center"/>
    </xf>
    <xf numFmtId="0" fontId="13" fillId="4" borderId="23" xfId="1" applyFont="1" applyFill="1" applyBorder="1" applyAlignment="1">
      <alignment horizontal="center" vertical="center"/>
    </xf>
    <xf numFmtId="0" fontId="13" fillId="4" borderId="19" xfId="1" applyFont="1" applyFill="1" applyBorder="1" applyAlignment="1">
      <alignment horizontal="center" vertical="center"/>
    </xf>
    <xf numFmtId="0" fontId="13" fillId="4" borderId="25" xfId="1" applyFont="1" applyFill="1" applyBorder="1" applyAlignment="1">
      <alignment horizontal="center" vertical="center"/>
    </xf>
    <xf numFmtId="0" fontId="25" fillId="8" borderId="26" xfId="1" applyFont="1" applyFill="1" applyBorder="1" applyAlignment="1">
      <alignment vertical="center"/>
    </xf>
    <xf numFmtId="0" fontId="8" fillId="8" borderId="15" xfId="1" applyFont="1" applyFill="1" applyBorder="1"/>
    <xf numFmtId="0" fontId="8" fillId="8" borderId="27" xfId="1" applyFont="1" applyFill="1" applyBorder="1"/>
    <xf numFmtId="0" fontId="1" fillId="0" borderId="0" xfId="1" applyAlignment="1">
      <alignment horizontal="center"/>
    </xf>
    <xf numFmtId="0" fontId="34" fillId="4" borderId="0" xfId="1" applyFont="1" applyFill="1" applyAlignment="1">
      <alignment horizontal="center" vertical="center"/>
    </xf>
    <xf numFmtId="0" fontId="35" fillId="4" borderId="28" xfId="1" applyFont="1" applyFill="1" applyBorder="1" applyAlignment="1">
      <alignment horizontal="center" vertical="center"/>
    </xf>
    <xf numFmtId="0" fontId="1" fillId="14" borderId="0" xfId="1" applyFill="1"/>
    <xf numFmtId="0" fontId="11" fillId="4" borderId="0" xfId="1" applyFont="1" applyFill="1" applyAlignment="1">
      <alignment horizontal="right" vertical="center"/>
    </xf>
    <xf numFmtId="1" fontId="13" fillId="4" borderId="19" xfId="1" applyNumberFormat="1" applyFont="1" applyFill="1" applyBorder="1" applyAlignment="1">
      <alignment horizontal="center" vertical="center"/>
    </xf>
    <xf numFmtId="0" fontId="36" fillId="2" borderId="1" xfId="1" applyFont="1" applyFill="1" applyBorder="1" applyAlignment="1">
      <alignment horizontal="center" vertical="center"/>
    </xf>
    <xf numFmtId="0" fontId="37" fillId="2" borderId="2" xfId="1" applyFont="1" applyFill="1" applyBorder="1" applyAlignment="1">
      <alignment horizontal="center" vertical="center"/>
    </xf>
    <xf numFmtId="0" fontId="11" fillId="0" borderId="29" xfId="1" applyFont="1" applyBorder="1" applyAlignment="1">
      <alignment horizontal="center" vertical="center"/>
    </xf>
    <xf numFmtId="0" fontId="11" fillId="0" borderId="30" xfId="1" applyFont="1" applyBorder="1" applyAlignment="1">
      <alignment horizontal="center" vertical="center"/>
    </xf>
    <xf numFmtId="0" fontId="37" fillId="2" borderId="2" xfId="1" applyFont="1" applyFill="1" applyBorder="1" applyAlignment="1">
      <alignment vertical="center"/>
    </xf>
    <xf numFmtId="0" fontId="10" fillId="0" borderId="29" xfId="1" applyFont="1" applyBorder="1" applyAlignment="1">
      <alignment horizontal="center" vertical="center"/>
    </xf>
    <xf numFmtId="0" fontId="10" fillId="0" borderId="30" xfId="1" applyFont="1" applyBorder="1" applyAlignment="1">
      <alignment horizontal="center" vertical="center"/>
    </xf>
    <xf numFmtId="0" fontId="2" fillId="2" borderId="26" xfId="1" applyFont="1" applyFill="1" applyBorder="1" applyAlignment="1">
      <alignment horizontal="center" vertical="center"/>
    </xf>
    <xf numFmtId="0" fontId="37" fillId="2" borderId="15" xfId="1" applyFont="1" applyFill="1" applyBorder="1" applyAlignment="1">
      <alignment horizontal="center" vertical="center"/>
    </xf>
    <xf numFmtId="0" fontId="10" fillId="0" borderId="31" xfId="1" applyFont="1" applyBorder="1" applyAlignment="1">
      <alignment horizontal="center" vertical="center"/>
    </xf>
    <xf numFmtId="0" fontId="10" fillId="0" borderId="15" xfId="1" applyFont="1" applyBorder="1" applyAlignment="1">
      <alignment horizontal="center" vertical="center"/>
    </xf>
    <xf numFmtId="0" fontId="10" fillId="0" borderId="27" xfId="1" applyFont="1" applyBorder="1" applyAlignment="1">
      <alignment horizontal="center" vertical="center"/>
    </xf>
    <xf numFmtId="0" fontId="37" fillId="2" borderId="15" xfId="1" applyFont="1" applyFill="1" applyBorder="1" applyAlignment="1">
      <alignment vertical="center"/>
    </xf>
    <xf numFmtId="0" fontId="10" fillId="0" borderId="32" xfId="1" applyFont="1" applyBorder="1" applyAlignment="1">
      <alignment horizontal="center" vertical="center"/>
    </xf>
    <xf numFmtId="0" fontId="38" fillId="2" borderId="1" xfId="1" applyFont="1" applyFill="1" applyBorder="1" applyAlignment="1">
      <alignment horizontal="center" vertical="center"/>
    </xf>
    <xf numFmtId="0" fontId="38" fillId="2" borderId="2" xfId="1" applyFont="1" applyFill="1" applyBorder="1" applyAlignment="1">
      <alignment horizontal="center" vertical="center"/>
    </xf>
    <xf numFmtId="0" fontId="12" fillId="2" borderId="2" xfId="1" applyFont="1" applyFill="1" applyBorder="1" applyAlignment="1">
      <alignment horizontal="center"/>
    </xf>
    <xf numFmtId="0" fontId="12" fillId="2" borderId="2" xfId="1" applyFont="1" applyFill="1" applyBorder="1" applyAlignment="1">
      <alignment horizontal="center" vertical="center"/>
    </xf>
    <xf numFmtId="0" fontId="28" fillId="2" borderId="2" xfId="1" applyFont="1" applyFill="1" applyBorder="1" applyAlignment="1">
      <alignment horizontal="left" vertical="center"/>
    </xf>
    <xf numFmtId="165" fontId="12" fillId="2" borderId="2" xfId="1" applyNumberFormat="1" applyFont="1" applyFill="1" applyBorder="1" applyAlignment="1">
      <alignment horizontal="center" vertical="center"/>
    </xf>
    <xf numFmtId="0" fontId="28" fillId="2" borderId="2" xfId="1" applyFont="1" applyFill="1" applyBorder="1" applyAlignment="1">
      <alignment horizontal="right" vertical="center"/>
    </xf>
    <xf numFmtId="167" fontId="12" fillId="2" borderId="2" xfId="1" applyNumberFormat="1" applyFont="1" applyFill="1" applyBorder="1" applyAlignment="1">
      <alignment horizontal="center" vertical="center"/>
    </xf>
    <xf numFmtId="0" fontId="10" fillId="2" borderId="16" xfId="1" applyFont="1" applyFill="1" applyBorder="1" applyAlignment="1">
      <alignment horizontal="center" vertical="center"/>
    </xf>
    <xf numFmtId="0" fontId="38" fillId="2" borderId="3" xfId="1" applyFont="1" applyFill="1" applyBorder="1" applyAlignment="1">
      <alignment horizontal="center" vertical="center"/>
    </xf>
    <xf numFmtId="0" fontId="38" fillId="2" borderId="0" xfId="1" applyFont="1" applyFill="1" applyAlignment="1">
      <alignment horizontal="center" vertical="center"/>
    </xf>
    <xf numFmtId="0" fontId="12" fillId="3" borderId="0" xfId="1" applyFont="1" applyFill="1" applyAlignment="1">
      <alignment horizontal="center"/>
    </xf>
    <xf numFmtId="0" fontId="12" fillId="3" borderId="0" xfId="1" applyFont="1" applyFill="1" applyAlignment="1">
      <alignment horizontal="center" vertical="center"/>
    </xf>
    <xf numFmtId="0" fontId="39" fillId="3" borderId="0" xfId="1" applyFont="1" applyFill="1" applyAlignment="1">
      <alignment horizontal="left"/>
    </xf>
    <xf numFmtId="0" fontId="39" fillId="3" borderId="0" xfId="1" applyFont="1" applyFill="1" applyAlignment="1">
      <alignment horizontal="left"/>
    </xf>
    <xf numFmtId="0" fontId="10" fillId="3" borderId="24" xfId="1" applyFont="1" applyFill="1" applyBorder="1" applyAlignment="1">
      <alignment horizontal="center" vertical="center"/>
    </xf>
    <xf numFmtId="0" fontId="10" fillId="4" borderId="6" xfId="1" applyFont="1" applyFill="1" applyBorder="1" applyAlignment="1">
      <alignment horizontal="center" vertical="center"/>
    </xf>
    <xf numFmtId="0" fontId="40" fillId="0" borderId="33" xfId="1" applyFont="1" applyBorder="1" applyAlignment="1">
      <alignment horizontal="center" vertical="center"/>
    </xf>
    <xf numFmtId="0" fontId="28" fillId="0" borderId="34" xfId="1" applyFont="1" applyBorder="1" applyAlignment="1">
      <alignment horizontal="center" vertical="center" wrapText="1"/>
    </xf>
    <xf numFmtId="0" fontId="28" fillId="0" borderId="35" xfId="1" applyFont="1" applyBorder="1" applyAlignment="1">
      <alignment horizontal="center" vertical="center" wrapText="1"/>
    </xf>
    <xf numFmtId="0" fontId="41" fillId="0" borderId="36" xfId="1" applyFont="1" applyBorder="1" applyAlignment="1">
      <alignment horizontal="center" vertical="center"/>
    </xf>
    <xf numFmtId="0" fontId="41" fillId="0" borderId="37" xfId="1" applyFont="1" applyBorder="1" applyAlignment="1">
      <alignment horizontal="center" vertical="center"/>
    </xf>
    <xf numFmtId="0" fontId="1" fillId="3" borderId="0" xfId="1" applyFill="1" applyAlignment="1">
      <alignment horizontal="center" vertical="center"/>
    </xf>
    <xf numFmtId="0" fontId="42" fillId="0" borderId="0" xfId="1" applyFont="1" applyAlignment="1">
      <alignment horizontal="center" vertical="center" wrapText="1"/>
    </xf>
    <xf numFmtId="0" fontId="42" fillId="0" borderId="0" xfId="1" applyFont="1" applyAlignment="1">
      <alignment horizontal="center" vertical="center"/>
    </xf>
    <xf numFmtId="0" fontId="13" fillId="0" borderId="0" xfId="1" applyFont="1" applyAlignment="1">
      <alignment horizontal="center" vertical="center"/>
    </xf>
    <xf numFmtId="0" fontId="13" fillId="3" borderId="0" xfId="1" applyFont="1" applyFill="1" applyAlignment="1">
      <alignment horizontal="center" vertical="center"/>
    </xf>
    <xf numFmtId="0" fontId="1" fillId="0" borderId="24" xfId="1" applyBorder="1" applyAlignment="1">
      <alignment horizontal="center" vertical="center"/>
    </xf>
    <xf numFmtId="0" fontId="1" fillId="4" borderId="0" xfId="1" applyFill="1" applyAlignment="1">
      <alignment horizontal="right" vertical="center"/>
    </xf>
    <xf numFmtId="0" fontId="11" fillId="4" borderId="19" xfId="1" applyFont="1" applyFill="1" applyBorder="1" applyAlignment="1">
      <alignment horizontal="center" vertical="center"/>
    </xf>
    <xf numFmtId="0" fontId="11" fillId="4" borderId="0" xfId="1" applyFont="1" applyFill="1" applyAlignment="1">
      <alignment horizontal="center" vertical="center"/>
    </xf>
    <xf numFmtId="0" fontId="11" fillId="4" borderId="0" xfId="1" applyFont="1" applyFill="1"/>
    <xf numFmtId="1" fontId="11" fillId="4" borderId="19" xfId="1" applyNumberFormat="1" applyFont="1" applyFill="1" applyBorder="1" applyAlignment="1">
      <alignment horizontal="center" vertical="center"/>
    </xf>
    <xf numFmtId="0" fontId="13" fillId="4" borderId="0" xfId="1" applyFont="1" applyFill="1" applyAlignment="1">
      <alignment horizontal="center" vertical="center"/>
    </xf>
    <xf numFmtId="0" fontId="13" fillId="15" borderId="10" xfId="1" applyFont="1" applyFill="1" applyBorder="1" applyAlignment="1">
      <alignment horizontal="center" vertical="center"/>
    </xf>
    <xf numFmtId="0" fontId="40" fillId="0" borderId="38" xfId="1" applyFont="1" applyBorder="1" applyAlignment="1">
      <alignment horizontal="center" vertical="center"/>
    </xf>
    <xf numFmtId="0" fontId="28" fillId="0" borderId="39" xfId="1" applyFont="1" applyBorder="1" applyAlignment="1">
      <alignment horizontal="center" vertical="center" wrapText="1"/>
    </xf>
    <xf numFmtId="0" fontId="28" fillId="0" borderId="40" xfId="1" applyFont="1" applyBorder="1" applyAlignment="1">
      <alignment horizontal="center" vertical="center" wrapText="1"/>
    </xf>
    <xf numFmtId="21" fontId="41" fillId="0" borderId="36" xfId="1" quotePrefix="1" applyNumberFormat="1" applyFont="1" applyBorder="1" applyAlignment="1">
      <alignment horizontal="center" vertical="center"/>
    </xf>
    <xf numFmtId="21" fontId="41" fillId="0" borderId="37" xfId="1" quotePrefix="1" applyNumberFormat="1" applyFont="1" applyBorder="1" applyAlignment="1">
      <alignment horizontal="center" vertical="center"/>
    </xf>
    <xf numFmtId="0" fontId="1" fillId="3" borderId="0" xfId="1" applyFill="1"/>
    <xf numFmtId="0" fontId="13" fillId="3" borderId="0" xfId="1" applyFont="1" applyFill="1"/>
    <xf numFmtId="0" fontId="11" fillId="15" borderId="19" xfId="1" applyFont="1" applyFill="1" applyBorder="1" applyAlignment="1">
      <alignment horizontal="center" vertical="center"/>
    </xf>
    <xf numFmtId="0" fontId="40" fillId="4" borderId="33" xfId="1" applyFont="1" applyFill="1" applyBorder="1" applyAlignment="1">
      <alignment horizontal="center" vertical="center"/>
    </xf>
    <xf numFmtId="0" fontId="28" fillId="4" borderId="34" xfId="1" applyFont="1" applyFill="1" applyBorder="1" applyAlignment="1">
      <alignment horizontal="center" vertical="center" wrapText="1"/>
    </xf>
    <xf numFmtId="0" fontId="28" fillId="4" borderId="35" xfId="1" applyFont="1" applyFill="1" applyBorder="1" applyAlignment="1">
      <alignment horizontal="center" vertical="center" wrapText="1"/>
    </xf>
    <xf numFmtId="0" fontId="41" fillId="4" borderId="36" xfId="1" applyFont="1" applyFill="1" applyBorder="1" applyAlignment="1">
      <alignment horizontal="center" vertical="center"/>
    </xf>
    <xf numFmtId="0" fontId="41" fillId="4" borderId="37" xfId="1" applyFont="1" applyFill="1" applyBorder="1" applyAlignment="1">
      <alignment horizontal="center" vertical="center"/>
    </xf>
    <xf numFmtId="0" fontId="40" fillId="4" borderId="38" xfId="1" applyFont="1" applyFill="1" applyBorder="1" applyAlignment="1">
      <alignment horizontal="center" vertical="center"/>
    </xf>
    <xf numFmtId="0" fontId="28" fillId="4" borderId="39" xfId="1" applyFont="1" applyFill="1" applyBorder="1" applyAlignment="1">
      <alignment horizontal="center" vertical="center" wrapText="1"/>
    </xf>
    <xf numFmtId="0" fontId="28" fillId="4" borderId="40" xfId="1" applyFont="1" applyFill="1" applyBorder="1" applyAlignment="1">
      <alignment horizontal="center" vertical="center" wrapText="1"/>
    </xf>
    <xf numFmtId="21" fontId="41" fillId="4" borderId="36" xfId="1" quotePrefix="1" applyNumberFormat="1" applyFont="1" applyFill="1" applyBorder="1" applyAlignment="1">
      <alignment horizontal="center" vertical="center"/>
    </xf>
    <xf numFmtId="21" fontId="41" fillId="4" borderId="37" xfId="1" quotePrefix="1" applyNumberFormat="1" applyFont="1" applyFill="1" applyBorder="1" applyAlignment="1">
      <alignment horizontal="center" vertical="center"/>
    </xf>
    <xf numFmtId="0" fontId="1" fillId="0" borderId="26" xfId="1" applyBorder="1" applyAlignment="1">
      <alignment horizontal="center" vertical="center"/>
    </xf>
    <xf numFmtId="0" fontId="26" fillId="0" borderId="15" xfId="1" applyFont="1" applyBorder="1" applyAlignment="1">
      <alignment horizontal="center" vertical="center"/>
    </xf>
    <xf numFmtId="0" fontId="1" fillId="3" borderId="15" xfId="1" applyFill="1" applyBorder="1"/>
    <xf numFmtId="0" fontId="1" fillId="0" borderId="15" xfId="1" applyBorder="1"/>
    <xf numFmtId="0" fontId="1" fillId="0" borderId="27" xfId="1" applyBorder="1"/>
    <xf numFmtId="0" fontId="11" fillId="15" borderId="23" xfId="1" applyFont="1" applyFill="1" applyBorder="1" applyAlignment="1">
      <alignment horizontal="center" vertical="center"/>
    </xf>
    <xf numFmtId="0" fontId="13" fillId="15" borderId="23" xfId="1" applyFont="1" applyFill="1" applyBorder="1" applyAlignment="1">
      <alignment horizontal="center" vertical="center"/>
    </xf>
    <xf numFmtId="0" fontId="1" fillId="14" borderId="0" xfId="1" applyFill="1" applyAlignment="1">
      <alignment horizontal="center" vertical="center"/>
    </xf>
    <xf numFmtId="0" fontId="11" fillId="15" borderId="25" xfId="1" applyFont="1" applyFill="1" applyBorder="1" applyAlignment="1">
      <alignment horizontal="center" vertical="center"/>
    </xf>
    <xf numFmtId="0" fontId="13" fillId="15" borderId="25" xfId="1" applyFont="1" applyFill="1" applyBorder="1" applyAlignment="1">
      <alignment horizontal="center" vertical="center"/>
    </xf>
    <xf numFmtId="0" fontId="10" fillId="4" borderId="0" xfId="1" applyFont="1" applyFill="1" applyAlignment="1">
      <alignment horizontal="center"/>
    </xf>
    <xf numFmtId="0" fontId="28" fillId="2" borderId="2" xfId="1" applyFont="1" applyFill="1" applyBorder="1" applyAlignment="1">
      <alignment vertical="top"/>
    </xf>
    <xf numFmtId="0" fontId="12" fillId="2" borderId="2" xfId="1" applyFont="1" applyFill="1" applyBorder="1" applyAlignment="1">
      <alignment horizontal="center" vertical="top"/>
    </xf>
    <xf numFmtId="0" fontId="10" fillId="4" borderId="0" xfId="1" applyFont="1" applyFill="1" applyAlignment="1">
      <alignment horizontal="center" vertical="top"/>
    </xf>
    <xf numFmtId="0" fontId="10" fillId="0" borderId="0" xfId="1" applyFont="1" applyAlignment="1">
      <alignment horizontal="center" vertical="center"/>
    </xf>
    <xf numFmtId="0" fontId="39" fillId="3" borderId="0" xfId="1" applyFont="1" applyFill="1" applyAlignment="1">
      <alignment horizontal="left" vertical="center"/>
    </xf>
    <xf numFmtId="0" fontId="12" fillId="3" borderId="0" xfId="1" applyFont="1" applyFill="1" applyAlignment="1">
      <alignment horizontal="left" vertical="center"/>
    </xf>
    <xf numFmtId="0" fontId="39" fillId="3" borderId="0" xfId="1" applyFont="1" applyFill="1" applyAlignment="1">
      <alignment horizontal="left" vertical="center"/>
    </xf>
    <xf numFmtId="0" fontId="43" fillId="0" borderId="15" xfId="1" applyFont="1" applyBorder="1" applyAlignment="1">
      <alignment horizontal="center" vertical="center"/>
    </xf>
    <xf numFmtId="0" fontId="13" fillId="15" borderId="4" xfId="1" applyFont="1" applyFill="1" applyBorder="1" applyAlignment="1">
      <alignment horizontal="center" vertical="center"/>
    </xf>
    <xf numFmtId="0" fontId="13" fillId="15" borderId="12" xfId="1" applyFont="1" applyFill="1" applyBorder="1" applyAlignment="1">
      <alignment horizontal="center" vertical="center"/>
    </xf>
    <xf numFmtId="0" fontId="43" fillId="0" borderId="0" xfId="1" applyFont="1" applyAlignment="1">
      <alignment horizontal="center" vertical="center"/>
    </xf>
    <xf numFmtId="0" fontId="36" fillId="0" borderId="0" xfId="1" applyFont="1" applyAlignment="1">
      <alignment vertical="center"/>
    </xf>
    <xf numFmtId="0" fontId="36" fillId="2" borderId="1" xfId="1" applyFont="1" applyFill="1" applyBorder="1" applyAlignment="1">
      <alignment horizontal="center" vertical="center"/>
    </xf>
    <xf numFmtId="0" fontId="36" fillId="2" borderId="2" xfId="1" applyFont="1" applyFill="1" applyBorder="1" applyAlignment="1">
      <alignment horizontal="center" vertical="center"/>
    </xf>
    <xf numFmtId="0" fontId="36" fillId="2" borderId="16" xfId="1" applyFont="1" applyFill="1" applyBorder="1" applyAlignment="1">
      <alignment horizontal="center" vertical="center"/>
    </xf>
    <xf numFmtId="0" fontId="44" fillId="0" borderId="0" xfId="1" applyFont="1" applyAlignment="1">
      <alignment vertical="center"/>
    </xf>
    <xf numFmtId="0" fontId="44" fillId="2" borderId="3" xfId="1" applyFont="1" applyFill="1" applyBorder="1" applyAlignment="1">
      <alignment horizontal="center" vertical="center"/>
    </xf>
    <xf numFmtId="0" fontId="44" fillId="2" borderId="0" xfId="1" applyFont="1" applyFill="1" applyAlignment="1">
      <alignment horizontal="center" vertical="center"/>
    </xf>
    <xf numFmtId="0" fontId="44" fillId="2" borderId="24" xfId="1" applyFont="1" applyFill="1" applyBorder="1" applyAlignment="1">
      <alignment horizontal="center" vertical="center"/>
    </xf>
    <xf numFmtId="0" fontId="37" fillId="0" borderId="0" xfId="1" applyFont="1" applyAlignment="1">
      <alignment vertical="center"/>
    </xf>
    <xf numFmtId="0" fontId="37" fillId="2" borderId="3" xfId="1" applyFont="1" applyFill="1" applyBorder="1" applyAlignment="1">
      <alignment horizontal="center" vertical="center"/>
    </xf>
    <xf numFmtId="0" fontId="37" fillId="2" borderId="0" xfId="1" applyFont="1" applyFill="1" applyAlignment="1">
      <alignment horizontal="center" vertical="center"/>
    </xf>
    <xf numFmtId="0" fontId="10" fillId="0" borderId="0" xfId="1" applyFont="1" applyAlignment="1">
      <alignment horizontal="center" vertical="center"/>
    </xf>
    <xf numFmtId="0" fontId="10" fillId="0" borderId="24" xfId="1" applyFont="1" applyBorder="1" applyAlignment="1">
      <alignment horizontal="center" vertical="center"/>
    </xf>
    <xf numFmtId="0" fontId="10" fillId="0" borderId="0" xfId="1" applyFont="1" applyAlignment="1">
      <alignment vertical="center"/>
    </xf>
    <xf numFmtId="0" fontId="37" fillId="2" borderId="26" xfId="1" applyFont="1" applyFill="1" applyBorder="1" applyAlignment="1">
      <alignment horizontal="center" vertical="center"/>
    </xf>
    <xf numFmtId="0" fontId="38" fillId="2" borderId="38" xfId="1" applyFont="1" applyFill="1" applyBorder="1" applyAlignment="1">
      <alignment horizontal="center" vertical="center"/>
    </xf>
    <xf numFmtId="0" fontId="38" fillId="2" borderId="39" xfId="1" applyFont="1" applyFill="1" applyBorder="1" applyAlignment="1">
      <alignment horizontal="center" vertical="center"/>
    </xf>
    <xf numFmtId="0" fontId="1" fillId="2" borderId="0" xfId="1" applyFill="1"/>
    <xf numFmtId="0" fontId="45" fillId="13" borderId="1" xfId="1" applyFont="1" applyFill="1" applyBorder="1" applyAlignment="1">
      <alignment vertical="center"/>
    </xf>
    <xf numFmtId="0" fontId="3" fillId="13" borderId="2" xfId="1" applyFont="1" applyFill="1" applyBorder="1" applyAlignment="1">
      <alignment vertical="center"/>
    </xf>
    <xf numFmtId="0" fontId="4" fillId="13" borderId="2" xfId="1" applyFont="1" applyFill="1" applyBorder="1" applyAlignment="1">
      <alignment vertical="center"/>
    </xf>
    <xf numFmtId="0" fontId="3" fillId="13" borderId="16" xfId="1" applyFont="1" applyFill="1" applyBorder="1" applyAlignment="1">
      <alignment vertical="center"/>
    </xf>
    <xf numFmtId="0" fontId="3" fillId="2" borderId="0" xfId="1" applyFont="1" applyFill="1" applyAlignment="1">
      <alignment vertical="center"/>
    </xf>
    <xf numFmtId="0" fontId="46" fillId="2" borderId="0" xfId="1" applyFont="1" applyFill="1" applyAlignment="1">
      <alignment horizontal="center" vertical="center"/>
    </xf>
    <xf numFmtId="0" fontId="47" fillId="16" borderId="0" xfId="1" applyFont="1" applyFill="1" applyAlignment="1">
      <alignment horizontal="center" vertical="center" wrapText="1"/>
    </xf>
    <xf numFmtId="0" fontId="47" fillId="16" borderId="24" xfId="1" applyFont="1" applyFill="1" applyBorder="1" applyAlignment="1">
      <alignment horizontal="center" vertical="center" wrapText="1"/>
    </xf>
    <xf numFmtId="0" fontId="47" fillId="0" borderId="0" xfId="1" applyFont="1" applyAlignment="1">
      <alignment vertical="center" wrapText="1"/>
    </xf>
    <xf numFmtId="0" fontId="38" fillId="2" borderId="0" xfId="1" applyFont="1" applyFill="1" applyAlignment="1">
      <alignment vertical="center"/>
    </xf>
    <xf numFmtId="165" fontId="10" fillId="2" borderId="41" xfId="1" applyNumberFormat="1" applyFont="1" applyFill="1" applyBorder="1" applyAlignment="1">
      <alignment horizontal="center" vertical="center"/>
    </xf>
    <xf numFmtId="165" fontId="10" fillId="2" borderId="42" xfId="1" applyNumberFormat="1" applyFont="1" applyFill="1" applyBorder="1" applyAlignment="1">
      <alignment horizontal="center" vertical="center"/>
    </xf>
    <xf numFmtId="165" fontId="10" fillId="2" borderId="43" xfId="1" applyNumberFormat="1" applyFont="1" applyFill="1" applyBorder="1" applyAlignment="1">
      <alignment horizontal="center" vertical="center"/>
    </xf>
    <xf numFmtId="165" fontId="10" fillId="2" borderId="15" xfId="1" applyNumberFormat="1" applyFont="1" applyFill="1" applyBorder="1" applyAlignment="1">
      <alignment horizontal="center" vertical="center"/>
    </xf>
    <xf numFmtId="165" fontId="10" fillId="2" borderId="41" xfId="1" applyNumberFormat="1" applyFont="1" applyFill="1" applyBorder="1" applyAlignment="1">
      <alignment horizontal="center" vertical="center"/>
    </xf>
    <xf numFmtId="165" fontId="10" fillId="2" borderId="27" xfId="1" applyNumberFormat="1" applyFont="1" applyFill="1" applyBorder="1" applyAlignment="1">
      <alignment vertical="center"/>
    </xf>
    <xf numFmtId="165" fontId="10" fillId="0" borderId="0" xfId="1" applyNumberFormat="1" applyFont="1" applyAlignment="1">
      <alignment vertical="center"/>
    </xf>
    <xf numFmtId="0" fontId="48" fillId="0" borderId="44" xfId="1" applyFont="1" applyBorder="1" applyAlignment="1">
      <alignment horizontal="center" vertical="center"/>
    </xf>
    <xf numFmtId="0" fontId="12" fillId="0" borderId="45" xfId="1" applyFont="1" applyBorder="1" applyAlignment="1">
      <alignment horizontal="center" vertical="center"/>
    </xf>
    <xf numFmtId="0" fontId="12" fillId="0" borderId="46" xfId="1" applyFont="1" applyBorder="1" applyAlignment="1">
      <alignment horizontal="center" vertical="center"/>
    </xf>
    <xf numFmtId="0" fontId="13" fillId="0" borderId="47" xfId="1" applyFont="1" applyBorder="1" applyAlignment="1">
      <alignment horizontal="center" vertical="center" wrapText="1"/>
    </xf>
    <xf numFmtId="0" fontId="13" fillId="0" borderId="48" xfId="1" applyFont="1" applyBorder="1" applyAlignment="1">
      <alignment horizontal="center" vertical="center" wrapText="1"/>
    </xf>
    <xf numFmtId="0" fontId="13" fillId="0" borderId="49" xfId="1" applyFont="1" applyBorder="1" applyAlignment="1">
      <alignment horizontal="center" vertical="center" wrapText="1"/>
    </xf>
    <xf numFmtId="0" fontId="13" fillId="0" borderId="49" xfId="1" applyFont="1" applyBorder="1" applyAlignment="1">
      <alignment horizontal="center" vertical="center" wrapText="1"/>
    </xf>
    <xf numFmtId="0" fontId="13" fillId="0" borderId="45" xfId="1" applyFont="1" applyBorder="1" applyAlignment="1">
      <alignment horizontal="center" vertical="center" wrapText="1"/>
    </xf>
    <xf numFmtId="0" fontId="13" fillId="0" borderId="50" xfId="1" applyFont="1" applyBorder="1" applyAlignment="1">
      <alignment horizontal="center" vertical="center" wrapText="1"/>
    </xf>
    <xf numFmtId="0" fontId="13" fillId="0" borderId="50" xfId="1" applyFont="1" applyBorder="1" applyAlignment="1">
      <alignment horizontal="center" vertical="center" wrapText="1"/>
    </xf>
    <xf numFmtId="0" fontId="13" fillId="0" borderId="51" xfId="1" applyFont="1" applyBorder="1" applyAlignment="1">
      <alignment horizontal="center" vertical="center" wrapText="1"/>
    </xf>
    <xf numFmtId="0" fontId="13" fillId="0" borderId="0" xfId="1" applyFont="1" applyAlignment="1">
      <alignment horizontal="center" vertical="center" wrapText="1"/>
    </xf>
    <xf numFmtId="0" fontId="48" fillId="0" borderId="52" xfId="1" applyFont="1" applyBorder="1" applyAlignment="1">
      <alignment horizontal="center" vertical="center"/>
    </xf>
    <xf numFmtId="0" fontId="12" fillId="0" borderId="53" xfId="1" applyFont="1" applyBorder="1" applyAlignment="1">
      <alignment horizontal="center" vertical="center"/>
    </xf>
    <xf numFmtId="0" fontId="12" fillId="0" borderId="54" xfId="1" applyFont="1" applyBorder="1" applyAlignment="1">
      <alignment horizontal="center" vertical="center"/>
    </xf>
    <xf numFmtId="0" fontId="13" fillId="0" borderId="55" xfId="1" applyFont="1" applyBorder="1" applyAlignment="1">
      <alignment horizontal="center" vertical="center" wrapText="1"/>
    </xf>
    <xf numFmtId="0" fontId="13" fillId="0" borderId="56" xfId="1" applyFont="1" applyBorder="1" applyAlignment="1">
      <alignment horizontal="center" vertical="center" wrapText="1"/>
    </xf>
    <xf numFmtId="0" fontId="13" fillId="0" borderId="57" xfId="1" applyFont="1" applyBorder="1" applyAlignment="1">
      <alignment horizontal="center" vertical="center" wrapText="1"/>
    </xf>
    <xf numFmtId="0" fontId="13" fillId="0" borderId="57" xfId="1" applyFont="1" applyBorder="1" applyAlignment="1">
      <alignment horizontal="center" vertical="center" wrapText="1"/>
    </xf>
    <xf numFmtId="0" fontId="13" fillId="0" borderId="53" xfId="1" applyFont="1" applyBorder="1" applyAlignment="1">
      <alignment horizontal="center" vertical="center" wrapText="1"/>
    </xf>
    <xf numFmtId="0" fontId="13" fillId="0" borderId="58" xfId="1" applyFont="1" applyBorder="1" applyAlignment="1">
      <alignment horizontal="center" vertical="center" wrapText="1"/>
    </xf>
    <xf numFmtId="0" fontId="13" fillId="0" borderId="58" xfId="1" applyFont="1" applyBorder="1" applyAlignment="1">
      <alignment horizontal="center" vertical="center" wrapText="1"/>
    </xf>
    <xf numFmtId="0" fontId="13" fillId="0" borderId="59" xfId="1" applyFont="1" applyBorder="1" applyAlignment="1">
      <alignment vertical="center" wrapText="1"/>
    </xf>
    <xf numFmtId="0" fontId="13" fillId="0" borderId="0" xfId="1" applyFont="1" applyAlignment="1">
      <alignment vertical="center" wrapText="1"/>
    </xf>
    <xf numFmtId="0" fontId="48" fillId="0" borderId="60" xfId="1" applyFont="1" applyBorder="1" applyAlignment="1">
      <alignment horizontal="center" vertical="center"/>
    </xf>
    <xf numFmtId="0" fontId="12" fillId="0" borderId="61" xfId="1" applyFont="1" applyBorder="1" applyAlignment="1">
      <alignment horizontal="center" vertical="center"/>
    </xf>
    <xf numFmtId="0" fontId="12" fillId="0" borderId="62" xfId="1" applyFont="1" applyBorder="1" applyAlignment="1">
      <alignment horizontal="center" vertical="center"/>
    </xf>
    <xf numFmtId="0" fontId="13" fillId="0" borderId="63" xfId="1" applyFont="1" applyBorder="1" applyAlignment="1">
      <alignment horizontal="center" vertical="center" wrapText="1"/>
    </xf>
    <xf numFmtId="0" fontId="13" fillId="0" borderId="64" xfId="1" applyFont="1" applyBorder="1" applyAlignment="1">
      <alignment horizontal="center" vertical="center" wrapText="1"/>
    </xf>
    <xf numFmtId="0" fontId="13" fillId="0" borderId="65" xfId="1" applyFont="1" applyBorder="1" applyAlignment="1">
      <alignment horizontal="center" vertical="center" wrapText="1"/>
    </xf>
    <xf numFmtId="0" fontId="13" fillId="0" borderId="65" xfId="1" applyFont="1" applyBorder="1" applyAlignment="1">
      <alignment horizontal="center" vertical="center" wrapText="1"/>
    </xf>
    <xf numFmtId="0" fontId="13" fillId="0" borderId="61" xfId="1" applyFont="1" applyBorder="1" applyAlignment="1">
      <alignment horizontal="center" vertical="center" wrapText="1"/>
    </xf>
    <xf numFmtId="0" fontId="13" fillId="0" borderId="66" xfId="1" applyFont="1" applyBorder="1" applyAlignment="1">
      <alignment horizontal="center" vertical="center" wrapText="1"/>
    </xf>
    <xf numFmtId="0" fontId="13" fillId="0" borderId="66" xfId="1" applyFont="1" applyBorder="1" applyAlignment="1">
      <alignment horizontal="center" vertical="center" wrapText="1"/>
    </xf>
    <xf numFmtId="0" fontId="13" fillId="0" borderId="67" xfId="1" applyFont="1" applyBorder="1" applyAlignment="1">
      <alignment vertical="center" wrapText="1"/>
    </xf>
    <xf numFmtId="0" fontId="10" fillId="2" borderId="0" xfId="1" applyFont="1" applyFill="1"/>
    <xf numFmtId="0" fontId="13" fillId="0" borderId="51" xfId="1" applyFont="1" applyBorder="1" applyAlignment="1">
      <alignment vertical="center" wrapText="1"/>
    </xf>
    <xf numFmtId="0" fontId="48" fillId="0" borderId="68" xfId="1" applyFont="1" applyBorder="1" applyAlignment="1">
      <alignment horizontal="center" vertical="center"/>
    </xf>
    <xf numFmtId="0" fontId="12" fillId="0" borderId="69" xfId="1" applyFont="1" applyBorder="1" applyAlignment="1">
      <alignment horizontal="center" vertical="center"/>
    </xf>
    <xf numFmtId="0" fontId="12" fillId="0" borderId="70" xfId="1" applyFont="1" applyBorder="1" applyAlignment="1">
      <alignment horizontal="center" vertical="center"/>
    </xf>
    <xf numFmtId="0" fontId="13" fillId="0" borderId="71" xfId="1" applyFont="1" applyBorder="1" applyAlignment="1">
      <alignment horizontal="center" vertical="center" wrapText="1"/>
    </xf>
    <xf numFmtId="0" fontId="13" fillId="0" borderId="72" xfId="1" applyFont="1" applyBorder="1" applyAlignment="1">
      <alignment horizontal="center" vertical="center" wrapText="1"/>
    </xf>
    <xf numFmtId="0" fontId="13" fillId="0" borderId="73" xfId="1" applyFont="1" applyBorder="1" applyAlignment="1">
      <alignment horizontal="center" vertical="center" wrapText="1"/>
    </xf>
    <xf numFmtId="0" fontId="13" fillId="0" borderId="73" xfId="1" applyFont="1" applyBorder="1" applyAlignment="1">
      <alignment horizontal="center" vertical="center" wrapText="1"/>
    </xf>
    <xf numFmtId="0" fontId="13" fillId="0" borderId="69" xfId="1" applyFont="1" applyBorder="1" applyAlignment="1">
      <alignment horizontal="center" vertical="center" wrapText="1"/>
    </xf>
    <xf numFmtId="0" fontId="13" fillId="0" borderId="74" xfId="1" applyFont="1" applyBorder="1" applyAlignment="1">
      <alignment horizontal="center" vertical="center" wrapText="1"/>
    </xf>
    <xf numFmtId="0" fontId="13" fillId="0" borderId="74" xfId="1" applyFont="1" applyBorder="1" applyAlignment="1">
      <alignment horizontal="center" vertical="center" wrapText="1"/>
    </xf>
    <xf numFmtId="0" fontId="13" fillId="0" borderId="75" xfId="1" applyFont="1" applyBorder="1" applyAlignment="1">
      <alignment vertical="center" wrapText="1"/>
    </xf>
    <xf numFmtId="0" fontId="49" fillId="3" borderId="1" xfId="1" applyFont="1" applyFill="1" applyBorder="1" applyAlignment="1">
      <alignment horizontal="center" vertical="center"/>
    </xf>
    <xf numFmtId="0" fontId="49" fillId="3" borderId="2" xfId="1" applyFont="1" applyFill="1" applyBorder="1" applyAlignment="1">
      <alignment horizontal="center" vertical="center"/>
    </xf>
    <xf numFmtId="0" fontId="49" fillId="3" borderId="16" xfId="1" applyFont="1" applyFill="1" applyBorder="1" applyAlignment="1">
      <alignment horizontal="center" vertical="center"/>
    </xf>
    <xf numFmtId="0" fontId="49" fillId="3" borderId="3" xfId="1" applyFont="1" applyFill="1" applyBorder="1" applyAlignment="1">
      <alignment horizontal="center" vertical="center"/>
    </xf>
    <xf numFmtId="0" fontId="49" fillId="3" borderId="0" xfId="1" applyFont="1" applyFill="1" applyAlignment="1">
      <alignment horizontal="center" vertical="center"/>
    </xf>
    <xf numFmtId="0" fontId="49" fillId="3" borderId="15" xfId="1" applyFont="1" applyFill="1" applyBorder="1" applyAlignment="1">
      <alignment horizontal="center" vertical="center"/>
    </xf>
    <xf numFmtId="0" fontId="49" fillId="3" borderId="27" xfId="1" applyFont="1" applyFill="1" applyBorder="1" applyAlignment="1">
      <alignment horizontal="center" vertical="center"/>
    </xf>
    <xf numFmtId="0" fontId="38" fillId="2" borderId="2" xfId="1" applyFont="1" applyFill="1" applyBorder="1" applyAlignment="1">
      <alignment vertical="center"/>
    </xf>
    <xf numFmtId="0" fontId="38" fillId="2" borderId="16" xfId="1" applyFont="1" applyFill="1" applyBorder="1" applyAlignment="1">
      <alignment vertical="center"/>
    </xf>
    <xf numFmtId="0" fontId="38" fillId="0" borderId="0" xfId="1" applyFont="1" applyAlignment="1">
      <alignment vertical="center"/>
    </xf>
    <xf numFmtId="0" fontId="27" fillId="0" borderId="1" xfId="1" applyFont="1" applyBorder="1" applyAlignment="1">
      <alignment horizontal="center" vertical="center"/>
    </xf>
    <xf numFmtId="0" fontId="27" fillId="0" borderId="2" xfId="1" applyFont="1" applyBorder="1" applyAlignment="1">
      <alignment horizontal="center" vertical="center"/>
    </xf>
    <xf numFmtId="1" fontId="27" fillId="0" borderId="2" xfId="1" applyNumberFormat="1" applyFont="1" applyBorder="1" applyAlignment="1">
      <alignment horizontal="center" vertical="center"/>
    </xf>
    <xf numFmtId="1" fontId="27" fillId="0" borderId="16" xfId="1" applyNumberFormat="1" applyFont="1" applyBorder="1" applyAlignment="1">
      <alignment horizontal="center" vertical="center"/>
    </xf>
    <xf numFmtId="1" fontId="1" fillId="2" borderId="0" xfId="1" applyNumberFormat="1" applyFill="1"/>
    <xf numFmtId="0" fontId="28" fillId="2" borderId="0" xfId="1" applyFont="1" applyFill="1" applyAlignment="1">
      <alignment horizontal="center" vertical="center"/>
    </xf>
    <xf numFmtId="0" fontId="28" fillId="2" borderId="0" xfId="1" applyFont="1" applyFill="1" applyAlignment="1">
      <alignment horizontal="center" vertical="center"/>
    </xf>
    <xf numFmtId="0" fontId="28" fillId="2" borderId="24" xfId="1" applyFont="1" applyFill="1" applyBorder="1" applyAlignment="1">
      <alignment horizontal="center" vertical="center"/>
    </xf>
    <xf numFmtId="0" fontId="27" fillId="0" borderId="3" xfId="1" applyFont="1" applyBorder="1" applyAlignment="1">
      <alignment horizontal="center" vertical="center"/>
    </xf>
    <xf numFmtId="1" fontId="27" fillId="0" borderId="0" xfId="1" applyNumberFormat="1" applyFont="1" applyAlignment="1">
      <alignment horizontal="center" vertical="center"/>
    </xf>
    <xf numFmtId="1" fontId="27" fillId="0" borderId="24" xfId="1" applyNumberFormat="1" applyFont="1" applyBorder="1" applyAlignment="1">
      <alignment horizontal="center" vertical="center"/>
    </xf>
    <xf numFmtId="0" fontId="38" fillId="2" borderId="26" xfId="1" applyFont="1" applyFill="1" applyBorder="1" applyAlignment="1">
      <alignment horizontal="center" vertical="center"/>
    </xf>
    <xf numFmtId="0" fontId="50" fillId="2" borderId="15" xfId="1" applyFont="1" applyFill="1" applyBorder="1" applyAlignment="1">
      <alignment horizontal="center" vertical="center"/>
    </xf>
    <xf numFmtId="0" fontId="51" fillId="2" borderId="15" xfId="1" applyFont="1" applyFill="1" applyBorder="1" applyAlignment="1">
      <alignment horizontal="center" vertical="center"/>
    </xf>
    <xf numFmtId="0" fontId="51" fillId="2" borderId="15" xfId="1" applyFont="1" applyFill="1" applyBorder="1" applyAlignment="1">
      <alignment horizontal="center" vertical="center"/>
    </xf>
    <xf numFmtId="0" fontId="51" fillId="2" borderId="27" xfId="1" applyFont="1" applyFill="1" applyBorder="1" applyAlignment="1">
      <alignment horizontal="center" vertical="center"/>
    </xf>
    <xf numFmtId="0" fontId="13" fillId="0" borderId="3" xfId="1" applyFont="1" applyBorder="1" applyAlignment="1">
      <alignment horizontal="center" vertical="center"/>
    </xf>
    <xf numFmtId="0" fontId="52" fillId="0" borderId="24" xfId="1" applyFont="1" applyBorder="1" applyAlignment="1">
      <alignment horizontal="center" vertical="center"/>
    </xf>
    <xf numFmtId="0" fontId="53" fillId="0" borderId="24" xfId="1" applyFont="1" applyBorder="1" applyAlignment="1">
      <alignment horizontal="center" vertical="center"/>
    </xf>
    <xf numFmtId="0" fontId="48" fillId="0" borderId="1" xfId="1" applyFont="1" applyBorder="1" applyAlignment="1">
      <alignment horizontal="center" vertical="center"/>
    </xf>
    <xf numFmtId="0" fontId="12" fillId="0" borderId="2" xfId="1" applyFont="1" applyBorder="1" applyAlignment="1">
      <alignment horizontal="center" vertical="center"/>
    </xf>
    <xf numFmtId="0" fontId="12" fillId="0" borderId="76" xfId="1" applyFont="1" applyBorder="1" applyAlignment="1">
      <alignment horizontal="center" vertical="center"/>
    </xf>
    <xf numFmtId="0" fontId="13" fillId="0" borderId="77" xfId="1" applyFont="1" applyBorder="1" applyAlignment="1">
      <alignment horizontal="center" vertical="center" wrapText="1"/>
    </xf>
    <xf numFmtId="0" fontId="13" fillId="0" borderId="2" xfId="1" applyFont="1" applyBorder="1" applyAlignment="1">
      <alignment horizontal="center" vertical="center" wrapText="1"/>
    </xf>
    <xf numFmtId="0" fontId="13" fillId="0" borderId="78" xfId="1" applyFont="1" applyBorder="1" applyAlignment="1">
      <alignment horizontal="center" vertical="center" wrapText="1"/>
    </xf>
    <xf numFmtId="0" fontId="37" fillId="0" borderId="3" xfId="1" applyFont="1" applyBorder="1" applyAlignment="1">
      <alignment horizontal="center" vertical="center"/>
    </xf>
    <xf numFmtId="0" fontId="37" fillId="0" borderId="0" xfId="1" applyFont="1" applyAlignment="1">
      <alignment horizontal="center" vertical="center"/>
    </xf>
    <xf numFmtId="0" fontId="48" fillId="0" borderId="22" xfId="1" applyFont="1" applyBorder="1" applyAlignment="1">
      <alignment horizontal="center" vertical="center"/>
    </xf>
    <xf numFmtId="0" fontId="54" fillId="0" borderId="13" xfId="1" applyFont="1" applyBorder="1" applyAlignment="1">
      <alignment horizontal="center" vertical="center"/>
    </xf>
    <xf numFmtId="0" fontId="54" fillId="0" borderId="14" xfId="1" applyFont="1" applyBorder="1" applyAlignment="1">
      <alignment horizontal="center" vertical="center"/>
    </xf>
    <xf numFmtId="0" fontId="13" fillId="0" borderId="79" xfId="1" applyFont="1" applyBorder="1" applyAlignment="1">
      <alignment horizontal="center" vertical="center" wrapText="1"/>
    </xf>
    <xf numFmtId="0" fontId="13" fillId="0" borderId="80" xfId="1" applyFont="1" applyBorder="1" applyAlignment="1">
      <alignment horizontal="center" vertical="center" wrapText="1"/>
    </xf>
    <xf numFmtId="0" fontId="13" fillId="0" borderId="67" xfId="1" applyFont="1" applyBorder="1" applyAlignment="1">
      <alignment horizontal="center" vertical="center" wrapText="1"/>
    </xf>
    <xf numFmtId="0" fontId="1" fillId="0" borderId="3" xfId="1" applyBorder="1" applyAlignment="1">
      <alignment horizontal="center"/>
    </xf>
    <xf numFmtId="0" fontId="1" fillId="0" borderId="0" xfId="1" applyAlignment="1">
      <alignment horizontal="center"/>
    </xf>
    <xf numFmtId="0" fontId="1" fillId="0" borderId="24" xfId="1" applyBorder="1" applyAlignment="1">
      <alignment horizontal="center"/>
    </xf>
    <xf numFmtId="0" fontId="48" fillId="0" borderId="17" xfId="1" applyFont="1" applyBorder="1" applyAlignment="1">
      <alignment horizontal="center" vertical="center"/>
    </xf>
    <xf numFmtId="0" fontId="12" fillId="0" borderId="5" xfId="1" applyFont="1" applyBorder="1" applyAlignment="1">
      <alignment horizontal="center" vertical="center"/>
    </xf>
    <xf numFmtId="0" fontId="12" fillId="0" borderId="6" xfId="1" applyFont="1" applyBorder="1" applyAlignment="1">
      <alignment horizontal="center" vertical="center"/>
    </xf>
    <xf numFmtId="0" fontId="13" fillId="0" borderId="81" xfId="1" applyFont="1" applyBorder="1" applyAlignment="1">
      <alignment horizontal="center" vertical="center" wrapText="1"/>
    </xf>
    <xf numFmtId="0" fontId="13" fillId="0" borderId="5" xfId="1" applyFont="1" applyBorder="1" applyAlignment="1">
      <alignment horizontal="center" vertical="center" wrapText="1"/>
    </xf>
    <xf numFmtId="0" fontId="13" fillId="0" borderId="82" xfId="1" applyFont="1" applyBorder="1" applyAlignment="1">
      <alignment horizontal="center" vertical="center" wrapText="1"/>
    </xf>
    <xf numFmtId="0" fontId="13" fillId="0" borderId="83" xfId="1" applyFont="1" applyBorder="1" applyAlignment="1">
      <alignment horizontal="center" vertical="center" wrapText="1"/>
    </xf>
    <xf numFmtId="0" fontId="13" fillId="0" borderId="84" xfId="1" applyFont="1" applyBorder="1" applyAlignment="1">
      <alignment horizontal="center" vertical="center" wrapText="1"/>
    </xf>
    <xf numFmtId="0" fontId="13" fillId="0" borderId="85" xfId="1" applyFont="1" applyBorder="1" applyAlignment="1">
      <alignment horizontal="center" vertical="center" wrapText="1"/>
    </xf>
    <xf numFmtId="0" fontId="13" fillId="0" borderId="86" xfId="1" applyFont="1" applyBorder="1" applyAlignment="1">
      <alignment horizontal="center" vertical="center" wrapText="1"/>
    </xf>
    <xf numFmtId="0" fontId="13" fillId="0" borderId="87" xfId="1" applyFont="1" applyBorder="1" applyAlignment="1">
      <alignment horizontal="center" vertical="center" wrapText="1"/>
    </xf>
    <xf numFmtId="165" fontId="10" fillId="0" borderId="26" xfId="1" applyNumberFormat="1" applyFont="1" applyBorder="1" applyAlignment="1">
      <alignment horizontal="center" vertical="center"/>
    </xf>
    <xf numFmtId="165" fontId="10" fillId="0" borderId="15" xfId="1" applyNumberFormat="1" applyFont="1" applyBorder="1" applyAlignment="1">
      <alignment horizontal="center" vertical="center"/>
    </xf>
    <xf numFmtId="17" fontId="55" fillId="0" borderId="27" xfId="1" applyNumberFormat="1" applyFont="1" applyBorder="1" applyAlignment="1">
      <alignment horizontal="center" vertical="center"/>
    </xf>
    <xf numFmtId="0" fontId="48" fillId="0" borderId="3" xfId="1" applyFont="1" applyBorder="1" applyAlignment="1">
      <alignment horizontal="center" vertical="center"/>
    </xf>
    <xf numFmtId="0" fontId="12" fillId="0" borderId="0" xfId="1" applyFont="1" applyAlignment="1">
      <alignment horizontal="center" vertical="center"/>
    </xf>
    <xf numFmtId="0" fontId="12" fillId="0" borderId="10" xfId="1" applyFont="1" applyBorder="1" applyAlignment="1">
      <alignment horizontal="center" vertical="center"/>
    </xf>
    <xf numFmtId="0" fontId="56" fillId="2" borderId="0" xfId="1" applyFont="1" applyFill="1" applyAlignment="1">
      <alignment horizontal="center" vertical="center"/>
    </xf>
    <xf numFmtId="0" fontId="48" fillId="0" borderId="26" xfId="1" applyFont="1" applyBorder="1" applyAlignment="1">
      <alignment horizontal="center" vertical="center"/>
    </xf>
    <xf numFmtId="0" fontId="54" fillId="0" borderId="15" xfId="1" applyFont="1" applyBorder="1" applyAlignment="1">
      <alignment horizontal="center" vertical="center"/>
    </xf>
    <xf numFmtId="0" fontId="54" fillId="0" borderId="41" xfId="1" applyFont="1" applyBorder="1" applyAlignment="1">
      <alignment horizontal="center" vertical="center"/>
    </xf>
    <xf numFmtId="0" fontId="13" fillId="0" borderId="75" xfId="1" applyFont="1" applyBorder="1" applyAlignment="1">
      <alignment horizontal="center" vertical="center" wrapText="1"/>
    </xf>
    <xf numFmtId="1" fontId="1" fillId="0" borderId="0" xfId="1" applyNumberFormat="1"/>
    <xf numFmtId="0" fontId="8" fillId="8" borderId="1" xfId="2" applyFont="1" applyFill="1" applyBorder="1" applyAlignment="1">
      <alignment horizontal="center" vertical="center"/>
    </xf>
    <xf numFmtId="0" fontId="8" fillId="8" borderId="2" xfId="2" applyFont="1" applyFill="1" applyBorder="1" applyAlignment="1">
      <alignment horizontal="center" vertical="center"/>
    </xf>
    <xf numFmtId="0" fontId="24" fillId="17" borderId="2" xfId="2" applyFont="1" applyFill="1" applyBorder="1" applyAlignment="1">
      <alignment horizontal="center" vertical="center"/>
    </xf>
    <xf numFmtId="0" fontId="24" fillId="17" borderId="88" xfId="2" applyFont="1" applyFill="1" applyBorder="1" applyAlignment="1">
      <alignment horizontal="center" vertical="center"/>
    </xf>
    <xf numFmtId="15" fontId="23" fillId="0" borderId="2" xfId="2" applyNumberFormat="1" applyBorder="1" applyAlignment="1">
      <alignment horizontal="center" vertical="center"/>
    </xf>
    <xf numFmtId="15" fontId="1" fillId="0" borderId="2" xfId="2" applyNumberFormat="1" applyFont="1" applyBorder="1" applyAlignment="1">
      <alignment horizontal="center" vertical="center"/>
    </xf>
    <xf numFmtId="15" fontId="1" fillId="0" borderId="16" xfId="2" applyNumberFormat="1" applyFont="1" applyBorder="1" applyAlignment="1">
      <alignment horizontal="center" vertical="center"/>
    </xf>
    <xf numFmtId="0" fontId="57" fillId="3" borderId="1" xfId="1" applyFont="1" applyFill="1" applyBorder="1" applyAlignment="1">
      <alignment horizontal="left" vertical="center"/>
    </xf>
    <xf numFmtId="0" fontId="57" fillId="3" borderId="2" xfId="1" applyFont="1" applyFill="1" applyBorder="1" applyAlignment="1">
      <alignment horizontal="left" vertical="center"/>
    </xf>
    <xf numFmtId="0" fontId="57" fillId="3" borderId="16" xfId="1" applyFont="1" applyFill="1" applyBorder="1" applyAlignment="1">
      <alignment horizontal="left" vertical="center"/>
    </xf>
    <xf numFmtId="0" fontId="44" fillId="17" borderId="3" xfId="2" applyFont="1" applyFill="1" applyBorder="1" applyAlignment="1">
      <alignment horizontal="center" vertical="center"/>
    </xf>
    <xf numFmtId="0" fontId="44" fillId="17" borderId="0" xfId="2" applyFont="1" applyFill="1" applyAlignment="1">
      <alignment horizontal="center" vertical="center"/>
    </xf>
    <xf numFmtId="0" fontId="44" fillId="0" borderId="0" xfId="2" applyFont="1" applyAlignment="1">
      <alignment horizontal="center" vertical="center"/>
    </xf>
    <xf numFmtId="0" fontId="58" fillId="0" borderId="0" xfId="2" applyFont="1" applyAlignment="1">
      <alignment horizontal="center" vertical="center"/>
    </xf>
    <xf numFmtId="0" fontId="59" fillId="0" borderId="0" xfId="2" applyFont="1" applyAlignment="1">
      <alignment horizontal="center" vertical="center"/>
    </xf>
    <xf numFmtId="0" fontId="60" fillId="0" borderId="24" xfId="2" applyFont="1" applyBorder="1" applyAlignment="1">
      <alignment horizontal="center" vertical="center"/>
    </xf>
    <xf numFmtId="0" fontId="8" fillId="6" borderId="26" xfId="1" applyFont="1" applyFill="1" applyBorder="1"/>
    <xf numFmtId="0" fontId="8" fillId="6" borderId="15" xfId="1" applyFont="1" applyFill="1" applyBorder="1"/>
    <xf numFmtId="0" fontId="8" fillId="6" borderId="15" xfId="1" applyFont="1" applyFill="1" applyBorder="1" applyAlignment="1">
      <alignment horizontal="center" vertical="center"/>
    </xf>
    <xf numFmtId="0" fontId="8" fillId="6" borderId="27" xfId="1" applyFont="1" applyFill="1" applyBorder="1" applyAlignment="1">
      <alignment horizontal="center" vertical="center"/>
    </xf>
    <xf numFmtId="9" fontId="10" fillId="17" borderId="3" xfId="3" applyFont="1" applyFill="1" applyBorder="1" applyAlignment="1">
      <alignment horizontal="center" vertical="center"/>
    </xf>
    <xf numFmtId="0" fontId="10" fillId="17" borderId="0" xfId="2" applyFont="1" applyFill="1" applyAlignment="1">
      <alignment horizontal="center" vertical="center"/>
    </xf>
    <xf numFmtId="2" fontId="10" fillId="0" borderId="0" xfId="2" applyNumberFormat="1" applyFont="1" applyAlignment="1">
      <alignment horizontal="center" vertical="center"/>
    </xf>
    <xf numFmtId="2" fontId="10" fillId="0" borderId="24" xfId="2" applyNumberFormat="1" applyFont="1" applyBorder="1" applyAlignment="1">
      <alignment horizontal="center" vertical="center"/>
    </xf>
    <xf numFmtId="0" fontId="44" fillId="0" borderId="1" xfId="1" applyFont="1" applyBorder="1" applyAlignment="1">
      <alignment horizontal="center" vertical="center"/>
    </xf>
    <xf numFmtId="0" fontId="44" fillId="0" borderId="16" xfId="1" applyFont="1" applyBorder="1" applyAlignment="1">
      <alignment horizontal="center" vertical="center"/>
    </xf>
    <xf numFmtId="0" fontId="10" fillId="0" borderId="24" xfId="1" applyFont="1" applyBorder="1" applyAlignment="1">
      <alignment horizontal="center" vertical="center"/>
    </xf>
    <xf numFmtId="0" fontId="44" fillId="0" borderId="26" xfId="1" applyFont="1" applyBorder="1" applyAlignment="1">
      <alignment horizontal="center" vertical="center"/>
    </xf>
    <xf numFmtId="0" fontId="44" fillId="0" borderId="27" xfId="1" applyFont="1" applyBorder="1" applyAlignment="1">
      <alignment horizontal="center" vertical="center"/>
    </xf>
    <xf numFmtId="0" fontId="10" fillId="0" borderId="15" xfId="1" applyFont="1" applyBorder="1" applyAlignment="1">
      <alignment horizontal="center" vertical="center"/>
    </xf>
    <xf numFmtId="0" fontId="10" fillId="0" borderId="27" xfId="1" applyFont="1" applyBorder="1" applyAlignment="1">
      <alignment horizontal="center" vertical="center"/>
    </xf>
    <xf numFmtId="0" fontId="44" fillId="0" borderId="16" xfId="1" applyFont="1" applyBorder="1" applyAlignment="1">
      <alignment horizontal="center" vertical="center"/>
    </xf>
    <xf numFmtId="0" fontId="44" fillId="0" borderId="3" xfId="1" applyFont="1" applyBorder="1" applyAlignment="1">
      <alignment horizontal="center" vertical="center"/>
    </xf>
    <xf numFmtId="0" fontId="44" fillId="0" borderId="24" xfId="1" applyFont="1" applyBorder="1" applyAlignment="1">
      <alignment horizontal="center" vertical="center"/>
    </xf>
    <xf numFmtId="0" fontId="10" fillId="0" borderId="2" xfId="1" applyFont="1" applyBorder="1" applyAlignment="1">
      <alignment horizontal="center" vertical="center"/>
    </xf>
    <xf numFmtId="0" fontId="10" fillId="0" borderId="16" xfId="1" applyFont="1" applyBorder="1" applyAlignment="1">
      <alignment horizontal="center" vertical="center"/>
    </xf>
    <xf numFmtId="9" fontId="10" fillId="17" borderId="26" xfId="3" applyFont="1" applyFill="1" applyBorder="1" applyAlignment="1">
      <alignment horizontal="center" vertical="center"/>
    </xf>
    <xf numFmtId="0" fontId="10" fillId="17" borderId="15" xfId="2" applyFont="1" applyFill="1" applyBorder="1" applyAlignment="1">
      <alignment horizontal="center" vertical="center"/>
    </xf>
    <xf numFmtId="2" fontId="10" fillId="0" borderId="15" xfId="2" applyNumberFormat="1" applyFont="1" applyBorder="1" applyAlignment="1">
      <alignment horizontal="center" vertical="center"/>
    </xf>
    <xf numFmtId="2" fontId="10" fillId="0" borderId="27" xfId="2" applyNumberFormat="1" applyFont="1" applyBorder="1" applyAlignment="1">
      <alignment horizontal="center" vertical="center"/>
    </xf>
    <xf numFmtId="0" fontId="44" fillId="0" borderId="27" xfId="1" applyFont="1" applyBorder="1" applyAlignment="1">
      <alignment horizontal="center" vertical="center"/>
    </xf>
    <xf numFmtId="0" fontId="61" fillId="4" borderId="0" xfId="1" applyFont="1" applyFill="1"/>
    <xf numFmtId="0" fontId="62" fillId="8" borderId="19" xfId="1" applyFont="1" applyFill="1" applyBorder="1" applyAlignment="1">
      <alignment horizontal="center" vertical="center"/>
    </xf>
    <xf numFmtId="0" fontId="1" fillId="4" borderId="19" xfId="1" applyFill="1" applyBorder="1" applyAlignment="1">
      <alignment horizontal="center" vertical="center"/>
    </xf>
    <xf numFmtId="0" fontId="27" fillId="4" borderId="1" xfId="1" applyFont="1" applyFill="1" applyBorder="1" applyAlignment="1">
      <alignment horizontal="center" vertical="center"/>
    </xf>
    <xf numFmtId="0" fontId="27" fillId="4" borderId="2" xfId="1" applyFont="1" applyFill="1" applyBorder="1" applyAlignment="1">
      <alignment horizontal="center" vertical="center"/>
    </xf>
    <xf numFmtId="0" fontId="27" fillId="4" borderId="16" xfId="1" applyFont="1" applyFill="1" applyBorder="1" applyAlignment="1">
      <alignment horizontal="center" vertical="center"/>
    </xf>
    <xf numFmtId="0" fontId="27" fillId="4" borderId="0" xfId="1" applyFont="1" applyFill="1" applyAlignment="1">
      <alignment horizontal="center" vertical="center"/>
    </xf>
    <xf numFmtId="0" fontId="27" fillId="4" borderId="3" xfId="1" applyFont="1" applyFill="1" applyBorder="1" applyAlignment="1">
      <alignment horizontal="center" vertical="center"/>
    </xf>
    <xf numFmtId="0" fontId="1" fillId="4" borderId="24" xfId="1" applyFill="1" applyBorder="1"/>
    <xf numFmtId="0" fontId="27" fillId="4" borderId="24" xfId="1" applyFont="1" applyFill="1" applyBorder="1" applyAlignment="1">
      <alignment horizontal="center" vertical="center"/>
    </xf>
    <xf numFmtId="0" fontId="1" fillId="4" borderId="3" xfId="1" applyFill="1" applyBorder="1"/>
    <xf numFmtId="1" fontId="1" fillId="4" borderId="19" xfId="1" applyNumberFormat="1" applyFill="1" applyBorder="1" applyAlignment="1">
      <alignment horizontal="center" vertical="center"/>
    </xf>
    <xf numFmtId="0" fontId="1" fillId="4" borderId="26" xfId="1" applyFill="1" applyBorder="1"/>
    <xf numFmtId="0" fontId="1" fillId="4" borderId="15" xfId="1" applyFill="1" applyBorder="1"/>
    <xf numFmtId="0" fontId="1" fillId="4" borderId="27" xfId="1" applyFill="1" applyBorder="1"/>
    <xf numFmtId="0" fontId="49" fillId="3" borderId="26" xfId="1" applyFont="1" applyFill="1" applyBorder="1" applyAlignment="1">
      <alignment horizontal="center" vertical="center"/>
    </xf>
    <xf numFmtId="0" fontId="14" fillId="0" borderId="0" xfId="1" applyFont="1" applyAlignment="1">
      <alignment horizontal="center" vertical="center"/>
    </xf>
    <xf numFmtId="0" fontId="28" fillId="0" borderId="0" xfId="1" applyFont="1" applyAlignment="1">
      <alignment horizontal="center" vertical="center" wrapText="1"/>
    </xf>
    <xf numFmtId="0" fontId="28" fillId="0" borderId="0" xfId="1" applyFont="1" applyAlignment="1">
      <alignment horizontal="center" vertical="center" wrapText="1"/>
    </xf>
    <xf numFmtId="0" fontId="41" fillId="0" borderId="0" xfId="1" applyFont="1" applyAlignment="1">
      <alignment horizontal="center" vertical="center"/>
    </xf>
    <xf numFmtId="0" fontId="63" fillId="0" borderId="0" xfId="1" applyFont="1" applyAlignment="1">
      <alignment horizontal="center" vertical="center" wrapText="1"/>
    </xf>
    <xf numFmtId="21" fontId="41" fillId="0" borderId="0" xfId="1" quotePrefix="1" applyNumberFormat="1" applyFont="1" applyAlignment="1">
      <alignment horizontal="center" vertical="center"/>
    </xf>
    <xf numFmtId="0" fontId="13" fillId="0" borderId="10" xfId="1" applyNumberFormat="1" applyFont="1" applyBorder="1" applyAlignment="1">
      <alignment horizontal="center" vertical="center" shrinkToFit="1"/>
    </xf>
    <xf numFmtId="0" fontId="21" fillId="18" borderId="0" xfId="0" applyFont="1" applyFill="1" applyAlignment="1">
      <alignment horizontal="center" vertical="center"/>
    </xf>
    <xf numFmtId="0" fontId="0" fillId="18" borderId="0" xfId="0" applyFill="1" applyAlignment="1">
      <alignment horizontal="center" vertical="center"/>
    </xf>
    <xf numFmtId="0" fontId="0" fillId="18" borderId="10" xfId="0" applyFill="1" applyBorder="1" applyAlignment="1">
      <alignment horizontal="center" vertical="center"/>
    </xf>
    <xf numFmtId="0" fontId="0" fillId="0" borderId="0" xfId="0" applyBorder="1" applyAlignment="1">
      <alignment horizontal="center" vertical="center"/>
    </xf>
    <xf numFmtId="0" fontId="0" fillId="10" borderId="0" xfId="0" applyFill="1" applyBorder="1" applyAlignment="1">
      <alignment horizontal="center" vertical="center"/>
    </xf>
    <xf numFmtId="0" fontId="0" fillId="11" borderId="0" xfId="0" applyFill="1" applyBorder="1" applyAlignment="1">
      <alignment horizontal="center" vertical="center"/>
    </xf>
    <xf numFmtId="0" fontId="0" fillId="18" borderId="0" xfId="0" applyFill="1" applyBorder="1" applyAlignment="1">
      <alignment horizontal="center" vertical="center"/>
    </xf>
    <xf numFmtId="0" fontId="22" fillId="8" borderId="0" xfId="0" applyFont="1" applyFill="1" applyBorder="1" applyAlignment="1">
      <alignment horizontal="center" vertical="center"/>
    </xf>
    <xf numFmtId="0" fontId="21" fillId="19" borderId="0" xfId="0" applyFont="1" applyFill="1" applyAlignment="1">
      <alignment horizontal="center" vertical="center"/>
    </xf>
    <xf numFmtId="0" fontId="0" fillId="19" borderId="0" xfId="0" applyFill="1" applyAlignment="1">
      <alignment horizontal="center" vertical="center"/>
    </xf>
    <xf numFmtId="0" fontId="0" fillId="19" borderId="0" xfId="0" applyFill="1" applyBorder="1" applyAlignment="1">
      <alignment horizontal="center" vertical="center"/>
    </xf>
    <xf numFmtId="0" fontId="0" fillId="19" borderId="10" xfId="0" applyFill="1" applyBorder="1" applyAlignment="1">
      <alignment horizontal="center" vertical="center"/>
    </xf>
    <xf numFmtId="9" fontId="13" fillId="0" borderId="0" xfId="1" applyNumberFormat="1" applyFont="1" applyAlignment="1">
      <alignment horizontal="center" vertical="center" shrinkToFit="1"/>
    </xf>
    <xf numFmtId="0" fontId="2" fillId="2" borderId="1" xfId="1" applyFont="1" applyFill="1" applyBorder="1" applyAlignment="1">
      <alignment horizontal="center" vertical="center" shrinkToFit="1"/>
    </xf>
    <xf numFmtId="0" fontId="3" fillId="2" borderId="2" xfId="1" applyFont="1" applyFill="1" applyBorder="1" applyAlignment="1">
      <alignment horizontal="center" vertical="center" shrinkToFit="1"/>
    </xf>
    <xf numFmtId="0" fontId="2" fillId="2" borderId="2" xfId="1" applyFont="1" applyFill="1" applyBorder="1" applyAlignment="1">
      <alignment horizontal="center" vertical="center" shrinkToFit="1"/>
    </xf>
    <xf numFmtId="0" fontId="4" fillId="2" borderId="2" xfId="1" applyFont="1" applyFill="1" applyBorder="1" applyAlignment="1">
      <alignment horizontal="center" vertical="center" shrinkToFit="1"/>
    </xf>
    <xf numFmtId="0" fontId="5" fillId="2" borderId="3" xfId="1" applyFont="1" applyFill="1" applyBorder="1" applyAlignment="1">
      <alignment horizontal="center" vertical="center" shrinkToFit="1"/>
    </xf>
    <xf numFmtId="0" fontId="3" fillId="2" borderId="0" xfId="1" applyFont="1" applyFill="1" applyAlignment="1">
      <alignment horizontal="center" vertical="center" shrinkToFit="1"/>
    </xf>
    <xf numFmtId="0" fontId="2" fillId="2" borderId="0" xfId="1" applyFont="1" applyFill="1" applyAlignment="1">
      <alignment horizontal="center" vertical="center" shrinkToFit="1"/>
    </xf>
    <xf numFmtId="0" fontId="7" fillId="2" borderId="3" xfId="1" applyFont="1" applyFill="1" applyBorder="1" applyAlignment="1">
      <alignment horizontal="center" vertical="center" shrinkToFit="1"/>
    </xf>
    <xf numFmtId="0" fontId="7" fillId="6" borderId="0" xfId="1" applyFont="1" applyFill="1" applyAlignment="1">
      <alignment horizontal="center" vertical="center" shrinkToFit="1"/>
    </xf>
    <xf numFmtId="165" fontId="8" fillId="6" borderId="0" xfId="1" applyNumberFormat="1" applyFont="1" applyFill="1" applyAlignment="1">
      <alignment horizontal="center" vertical="center" shrinkToFit="1"/>
    </xf>
    <xf numFmtId="165" fontId="9" fillId="6" borderId="0" xfId="1" applyNumberFormat="1" applyFont="1" applyFill="1" applyAlignment="1">
      <alignment horizontal="center" vertical="center" shrinkToFit="1"/>
    </xf>
    <xf numFmtId="0" fontId="12" fillId="0" borderId="0" xfId="1" applyFont="1" applyAlignment="1">
      <alignment horizontal="center" vertical="center" shrinkToFit="1"/>
    </xf>
    <xf numFmtId="0" fontId="12" fillId="3" borderId="0" xfId="1" applyFont="1" applyFill="1" applyAlignment="1">
      <alignment horizontal="center" vertical="center" shrinkToFit="1"/>
    </xf>
    <xf numFmtId="0" fontId="17" fillId="4" borderId="0" xfId="1" applyFont="1" applyFill="1" applyAlignment="1">
      <alignment horizontal="center" vertical="center" shrinkToFit="1"/>
    </xf>
    <xf numFmtId="0" fontId="13" fillId="3" borderId="0" xfId="1" applyFont="1" applyFill="1" applyAlignment="1">
      <alignment horizontal="center" vertical="center" shrinkToFit="1"/>
    </xf>
    <xf numFmtId="0" fontId="19" fillId="4" borderId="0" xfId="1" applyFont="1" applyFill="1" applyAlignment="1">
      <alignment horizontal="center" vertical="center" shrinkToFit="1"/>
    </xf>
    <xf numFmtId="0" fontId="1" fillId="0" borderId="0" xfId="1" applyAlignment="1">
      <alignment horizontal="center" vertical="center" shrinkToFit="1"/>
    </xf>
    <xf numFmtId="0" fontId="17" fillId="0" borderId="0" xfId="1" applyFont="1" applyAlignment="1">
      <alignment horizontal="center" vertical="center" shrinkToFit="1"/>
    </xf>
    <xf numFmtId="0" fontId="20" fillId="0" borderId="0" xfId="1" applyFont="1" applyAlignment="1">
      <alignment horizontal="center" vertical="center" shrinkToFit="1"/>
    </xf>
    <xf numFmtId="0" fontId="13" fillId="0" borderId="0" xfId="1" quotePrefix="1" applyFont="1" applyAlignment="1">
      <alignment horizontal="center" vertical="center" shrinkToFit="1"/>
    </xf>
  </cellXfs>
  <cellStyles count="4">
    <cellStyle name="Normal" xfId="0" builtinId="0"/>
    <cellStyle name="Normal 2" xfId="1" xr:uid="{A014895B-6141-7947-8EF5-B8ABFEC9FFC4}"/>
    <cellStyle name="Normal 3 5" xfId="2" xr:uid="{29081128-0187-7048-9F3B-E187CBFB1D15}"/>
    <cellStyle name="Percent 2 5" xfId="3" xr:uid="{2E222C89-9A3C-F64B-93D0-1FF55177EE8D}"/>
  </cellStyles>
  <dxfs count="306">
    <dxf>
      <font>
        <b/>
        <i val="0"/>
      </font>
    </dxf>
    <dxf>
      <font>
        <b/>
        <i val="0"/>
      </font>
    </dxf>
    <dxf>
      <font>
        <b/>
        <i val="0"/>
      </font>
    </dxf>
    <dxf>
      <font>
        <color theme="0"/>
      </font>
    </dxf>
    <dxf>
      <font>
        <color theme="0"/>
      </font>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ont>
        <color theme="0"/>
      </font>
    </dxf>
    <dxf>
      <border>
        <left style="thin">
          <color auto="1"/>
        </left>
        <right style="thin">
          <color auto="1"/>
        </right>
        <top style="thin">
          <color auto="1"/>
        </top>
        <bottom style="thin">
          <color auto="1"/>
        </bottom>
        <vertical/>
        <horizontal/>
      </border>
    </dxf>
    <dxf>
      <font>
        <color theme="0"/>
      </font>
    </dxf>
    <dxf>
      <border>
        <left style="thin">
          <color auto="1"/>
        </left>
        <right style="thin">
          <color auto="1"/>
        </right>
        <top style="thin">
          <color auto="1"/>
        </top>
        <bottom style="thin">
          <color auto="1"/>
        </bottom>
        <vertical/>
        <horizontal/>
      </border>
    </dxf>
    <dxf>
      <font>
        <color theme="0"/>
      </font>
    </dxf>
    <dxf>
      <border>
        <left style="thin">
          <color auto="1"/>
        </left>
        <right style="thin">
          <color auto="1"/>
        </right>
        <top style="thin">
          <color auto="1"/>
        </top>
        <bottom style="thin">
          <color auto="1"/>
        </bottom>
        <vertical/>
        <horizontal/>
      </border>
    </dxf>
    <dxf>
      <font>
        <color theme="0"/>
      </font>
    </dxf>
    <dxf>
      <border>
        <left style="thin">
          <color auto="1"/>
        </left>
        <right style="thin">
          <color auto="1"/>
        </right>
        <top style="thin">
          <color auto="1"/>
        </top>
        <bottom style="thin">
          <color auto="1"/>
        </bottom>
        <vertical/>
        <horizontal/>
      </border>
    </dxf>
    <dxf>
      <font>
        <color theme="0"/>
      </font>
    </dxf>
    <dxf>
      <border>
        <left style="thin">
          <color auto="1"/>
        </left>
        <right style="thin">
          <color auto="1"/>
        </right>
        <top style="thin">
          <color auto="1"/>
        </top>
        <bottom style="thin">
          <color auto="1"/>
        </bottom>
        <vertical/>
        <horizontal/>
      </border>
    </dxf>
    <dxf>
      <font>
        <color theme="0"/>
      </font>
    </dxf>
    <dxf>
      <border>
        <left style="thin">
          <color auto="1"/>
        </left>
        <right style="thin">
          <color auto="1"/>
        </right>
        <top style="thin">
          <color auto="1"/>
        </top>
        <bottom style="thin">
          <color auto="1"/>
        </bottom>
        <vertical/>
        <horizontal/>
      </border>
    </dxf>
    <dxf>
      <font>
        <color theme="0"/>
      </font>
    </dxf>
    <dxf>
      <border>
        <left style="thin">
          <color auto="1"/>
        </left>
        <right style="thin">
          <color auto="1"/>
        </right>
        <top style="thin">
          <color auto="1"/>
        </top>
        <bottom style="thin">
          <color auto="1"/>
        </bottom>
        <vertical/>
        <horizontal/>
      </border>
    </dxf>
    <dxf>
      <font>
        <color theme="0"/>
      </font>
    </dxf>
    <dxf>
      <border>
        <left style="thin">
          <color auto="1"/>
        </left>
        <right style="thin">
          <color auto="1"/>
        </right>
        <top style="thin">
          <color auto="1"/>
        </top>
        <bottom style="thin">
          <color auto="1"/>
        </bottom>
        <vertical/>
        <horizontal/>
      </border>
    </dxf>
    <dxf>
      <font>
        <color theme="0"/>
      </font>
    </dxf>
    <dxf>
      <border>
        <left style="thin">
          <color auto="1"/>
        </left>
        <right style="thin">
          <color auto="1"/>
        </right>
        <top style="thin">
          <color auto="1"/>
        </top>
        <bottom style="thin">
          <color auto="1"/>
        </bottom>
        <vertical/>
        <horizontal/>
      </border>
    </dxf>
    <dxf>
      <font>
        <color theme="0"/>
      </font>
    </dxf>
    <dxf>
      <border>
        <left style="thin">
          <color auto="1"/>
        </left>
        <right style="thin">
          <color auto="1"/>
        </right>
        <top style="thin">
          <color auto="1"/>
        </top>
        <bottom style="thin">
          <color auto="1"/>
        </bottom>
        <vertical/>
        <horizontal/>
      </border>
    </dxf>
    <dxf>
      <font>
        <color theme="0"/>
      </font>
    </dxf>
    <dxf>
      <border>
        <left style="thin">
          <color auto="1"/>
        </left>
        <right style="thin">
          <color auto="1"/>
        </right>
        <top style="thin">
          <color auto="1"/>
        </top>
        <bottom style="thin">
          <color auto="1"/>
        </bottom>
        <vertical/>
        <horizontal/>
      </border>
    </dxf>
    <dxf>
      <font>
        <color theme="0"/>
      </font>
    </dxf>
    <dxf>
      <border>
        <left style="thin">
          <color auto="1"/>
        </left>
        <right style="thin">
          <color auto="1"/>
        </right>
        <top style="thin">
          <color auto="1"/>
        </top>
        <bottom style="thin">
          <color auto="1"/>
        </bottom>
        <vertical/>
        <horizontal/>
      </border>
    </dxf>
    <dxf>
      <font>
        <color theme="0"/>
      </font>
    </dxf>
    <dxf>
      <border>
        <left style="thin">
          <color auto="1"/>
        </left>
        <right style="thin">
          <color auto="1"/>
        </right>
        <top style="thin">
          <color auto="1"/>
        </top>
        <bottom style="thin">
          <color auto="1"/>
        </bottom>
        <vertical/>
        <horizontal/>
      </border>
    </dxf>
    <dxf>
      <font>
        <color theme="0"/>
      </font>
    </dxf>
    <dxf>
      <border>
        <left style="thin">
          <color auto="1"/>
        </left>
        <right style="thin">
          <color auto="1"/>
        </right>
        <top style="thin">
          <color auto="1"/>
        </top>
        <bottom style="thin">
          <color auto="1"/>
        </bottom>
        <vertical/>
        <horizontal/>
      </border>
    </dxf>
    <dxf>
      <font>
        <color theme="0"/>
      </font>
    </dxf>
    <dxf>
      <border>
        <left style="thin">
          <color auto="1"/>
        </left>
        <right style="thin">
          <color auto="1"/>
        </right>
        <top style="thin">
          <color auto="1"/>
        </top>
        <bottom style="thin">
          <color auto="1"/>
        </bottom>
        <vertical/>
        <horizontal/>
      </border>
    </dxf>
    <dxf>
      <font>
        <color theme="0"/>
      </font>
    </dxf>
    <dxf>
      <border>
        <left style="thin">
          <color auto="1"/>
        </left>
        <right style="thin">
          <color auto="1"/>
        </right>
        <top style="thin">
          <color auto="1"/>
        </top>
        <bottom style="thin">
          <color auto="1"/>
        </bottom>
        <vertical/>
        <horizontal/>
      </border>
    </dxf>
    <dxf>
      <font>
        <color theme="0"/>
      </font>
    </dxf>
    <dxf>
      <border>
        <left style="thin">
          <color auto="1"/>
        </left>
        <right style="thin">
          <color auto="1"/>
        </right>
        <top style="thin">
          <color auto="1"/>
        </top>
        <bottom style="thin">
          <color auto="1"/>
        </bottom>
        <vertical/>
        <horizontal/>
      </border>
    </dxf>
    <dxf>
      <font>
        <color theme="0"/>
      </font>
    </dxf>
    <dxf>
      <border>
        <left style="thin">
          <color auto="1"/>
        </left>
        <right style="thin">
          <color auto="1"/>
        </right>
        <top style="thin">
          <color auto="1"/>
        </top>
        <bottom style="thin">
          <color auto="1"/>
        </bottom>
        <vertical/>
        <horizontal/>
      </border>
    </dxf>
    <dxf>
      <font>
        <color theme="0"/>
      </font>
    </dxf>
    <dxf>
      <border>
        <left style="thin">
          <color auto="1"/>
        </left>
        <right style="thin">
          <color auto="1"/>
        </right>
        <top style="thin">
          <color auto="1"/>
        </top>
        <bottom style="thin">
          <color auto="1"/>
        </bottom>
        <vertical/>
        <horizontal/>
      </border>
    </dxf>
    <dxf>
      <font>
        <color theme="0"/>
      </font>
    </dxf>
    <dxf>
      <border>
        <left style="thin">
          <color auto="1"/>
        </left>
        <right style="thin">
          <color auto="1"/>
        </right>
        <top style="thin">
          <color auto="1"/>
        </top>
        <bottom style="thin">
          <color auto="1"/>
        </bottom>
        <vertical/>
        <horizontal/>
      </border>
    </dxf>
    <dxf>
      <font>
        <color theme="0"/>
      </font>
    </dxf>
    <dxf>
      <border>
        <left style="thin">
          <color auto="1"/>
        </left>
        <right style="thin">
          <color auto="1"/>
        </right>
        <top style="thin">
          <color auto="1"/>
        </top>
        <bottom style="thin">
          <color auto="1"/>
        </bottom>
        <vertical/>
        <horizontal/>
      </border>
    </dxf>
    <dxf>
      <font>
        <color theme="0"/>
      </font>
    </dxf>
    <dxf>
      <border>
        <left style="thin">
          <color auto="1"/>
        </left>
        <right style="thin">
          <color auto="1"/>
        </right>
        <top style="thin">
          <color auto="1"/>
        </top>
        <bottom style="thin">
          <color auto="1"/>
        </bottom>
        <vertical/>
        <horizontal/>
      </border>
    </dxf>
    <dxf>
      <font>
        <color theme="0"/>
      </font>
    </dxf>
    <dxf>
      <border>
        <left style="thin">
          <color auto="1"/>
        </left>
        <right style="thin">
          <color auto="1"/>
        </right>
        <top style="thin">
          <color auto="1"/>
        </top>
        <bottom style="thin">
          <color auto="1"/>
        </bottom>
        <vertical/>
        <horizontal/>
      </border>
    </dxf>
    <dxf>
      <font>
        <color theme="0"/>
      </font>
    </dxf>
    <dxf>
      <border>
        <left style="thin">
          <color auto="1"/>
        </left>
        <right style="thin">
          <color auto="1"/>
        </right>
        <top style="thin">
          <color auto="1"/>
        </top>
        <bottom style="thin">
          <color auto="1"/>
        </bottom>
        <vertical/>
        <horizontal/>
      </border>
    </dxf>
    <dxf>
      <font>
        <color theme="0"/>
      </font>
    </dxf>
    <dxf>
      <border>
        <left style="thin">
          <color auto="1"/>
        </left>
        <right style="thin">
          <color auto="1"/>
        </right>
        <top style="thin">
          <color auto="1"/>
        </top>
        <bottom style="thin">
          <color auto="1"/>
        </bottom>
        <vertical/>
        <horizontal/>
      </border>
    </dxf>
    <dxf>
      <font>
        <color theme="0"/>
      </font>
    </dxf>
    <dxf>
      <border>
        <left style="thin">
          <color auto="1"/>
        </left>
        <right style="thin">
          <color auto="1"/>
        </right>
        <top style="thin">
          <color auto="1"/>
        </top>
        <bottom style="thin">
          <color auto="1"/>
        </bottom>
        <vertical/>
        <horizontal/>
      </border>
    </dxf>
    <dxf>
      <font>
        <color theme="0"/>
      </font>
    </dxf>
    <dxf>
      <border>
        <left style="thin">
          <color auto="1"/>
        </left>
        <right style="thin">
          <color auto="1"/>
        </right>
        <top style="thin">
          <color auto="1"/>
        </top>
        <bottom style="thin">
          <color auto="1"/>
        </bottom>
        <vertical/>
        <horizontal/>
      </border>
    </dxf>
    <dxf>
      <font>
        <color theme="0"/>
      </font>
    </dxf>
    <dxf>
      <border>
        <left style="thin">
          <color auto="1"/>
        </left>
        <right style="thin">
          <color auto="1"/>
        </right>
        <top style="thin">
          <color auto="1"/>
        </top>
        <bottom style="thin">
          <color auto="1"/>
        </bottom>
        <vertical/>
        <horizontal/>
      </border>
    </dxf>
    <dxf>
      <font>
        <color theme="0"/>
      </font>
    </dxf>
    <dxf>
      <border>
        <left style="thin">
          <color auto="1"/>
        </left>
        <right style="thin">
          <color auto="1"/>
        </right>
        <top style="thin">
          <color auto="1"/>
        </top>
        <bottom style="thin">
          <color auto="1"/>
        </bottom>
        <vertical/>
        <horizontal/>
      </border>
    </dxf>
    <dxf>
      <font>
        <color theme="0"/>
      </font>
    </dxf>
    <dxf>
      <border>
        <left style="thin">
          <color auto="1"/>
        </left>
        <right style="thin">
          <color auto="1"/>
        </right>
        <top style="thin">
          <color auto="1"/>
        </top>
        <bottom style="thin">
          <color auto="1"/>
        </bottom>
        <vertical/>
        <horizontal/>
      </border>
    </dxf>
    <dxf>
      <font>
        <color theme="0"/>
      </font>
    </dxf>
    <dxf>
      <border>
        <left style="thin">
          <color auto="1"/>
        </left>
        <right style="thin">
          <color auto="1"/>
        </right>
        <top style="thin">
          <color auto="1"/>
        </top>
        <bottom style="thin">
          <color auto="1"/>
        </bottom>
        <vertical/>
        <horizontal/>
      </border>
    </dxf>
    <dxf>
      <font>
        <color theme="0"/>
      </font>
    </dxf>
    <dxf>
      <border>
        <left style="thin">
          <color auto="1"/>
        </left>
        <right style="thin">
          <color auto="1"/>
        </right>
        <top style="thin">
          <color auto="1"/>
        </top>
        <bottom style="thin">
          <color auto="1"/>
        </bottom>
        <vertical/>
        <horizontal/>
      </border>
    </dxf>
    <dxf>
      <font>
        <color theme="0"/>
      </font>
    </dxf>
    <dxf>
      <border>
        <left style="thin">
          <color auto="1"/>
        </left>
        <right style="thin">
          <color auto="1"/>
        </right>
        <top style="thin">
          <color auto="1"/>
        </top>
        <bottom style="thin">
          <color auto="1"/>
        </bottom>
        <vertical/>
        <horizontal/>
      </border>
    </dxf>
    <dxf>
      <font>
        <color theme="0"/>
      </font>
    </dxf>
    <dxf>
      <border>
        <left style="thin">
          <color auto="1"/>
        </left>
        <right style="thin">
          <color auto="1"/>
        </right>
        <top style="thin">
          <color auto="1"/>
        </top>
        <bottom style="thin">
          <color auto="1"/>
        </bottom>
        <vertical/>
        <horizontal/>
      </border>
    </dxf>
    <dxf>
      <font>
        <color theme="0"/>
      </font>
    </dxf>
    <dxf>
      <border>
        <left style="thin">
          <color auto="1"/>
        </left>
        <right style="thin">
          <color auto="1"/>
        </right>
        <top style="thin">
          <color auto="1"/>
        </top>
        <bottom style="thin">
          <color auto="1"/>
        </bottom>
        <vertical/>
        <horizontal/>
      </border>
    </dxf>
    <dxf>
      <font>
        <color theme="0"/>
      </font>
    </dxf>
    <dxf>
      <border>
        <left style="thin">
          <color auto="1"/>
        </left>
        <right style="thin">
          <color auto="1"/>
        </right>
        <top style="thin">
          <color auto="1"/>
        </top>
        <bottom style="thin">
          <color auto="1"/>
        </bottom>
        <vertical/>
        <horizontal/>
      </border>
    </dxf>
    <dxf>
      <font>
        <color theme="0"/>
      </font>
    </dxf>
    <dxf>
      <border>
        <left style="thin">
          <color auto="1"/>
        </left>
        <right style="thin">
          <color auto="1"/>
        </right>
        <top style="thin">
          <color auto="1"/>
        </top>
        <bottom style="thin">
          <color auto="1"/>
        </bottom>
        <vertical/>
        <horizontal/>
      </border>
    </dxf>
    <dxf>
      <font>
        <color theme="0"/>
      </font>
    </dxf>
    <dxf>
      <border>
        <left style="thin">
          <color auto="1"/>
        </left>
        <right style="thin">
          <color auto="1"/>
        </right>
        <top style="thin">
          <color auto="1"/>
        </top>
        <bottom style="thin">
          <color auto="1"/>
        </bottom>
        <vertical/>
        <horizontal/>
      </border>
    </dxf>
    <dxf>
      <font>
        <color theme="0"/>
      </font>
    </dxf>
    <dxf>
      <border>
        <left style="thin">
          <color auto="1"/>
        </left>
        <right style="thin">
          <color auto="1"/>
        </right>
        <top style="thin">
          <color auto="1"/>
        </top>
        <bottom style="thin">
          <color auto="1"/>
        </bottom>
        <vertical/>
        <horizontal/>
      </border>
    </dxf>
    <dxf>
      <font>
        <color theme="0"/>
      </font>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ont>
        <color theme="0"/>
      </font>
    </dxf>
    <dxf>
      <font>
        <color theme="0"/>
      </font>
    </dxf>
    <dxf>
      <font>
        <color theme="0"/>
      </font>
    </dxf>
    <dxf>
      <font>
        <color theme="0"/>
      </font>
    </dxf>
    <dxf>
      <font>
        <color theme="0"/>
      </font>
    </dxf>
    <dxf>
      <border>
        <left style="thin">
          <color auto="1"/>
        </left>
        <right style="thin">
          <color auto="1"/>
        </right>
        <top style="thin">
          <color auto="1"/>
        </top>
        <bottom style="thin">
          <color auto="1"/>
        </bottom>
        <vertical/>
        <horizontal/>
      </border>
    </dxf>
    <dxf>
      <font>
        <color theme="0"/>
      </font>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2.xml"/><Relationship Id="rId4" Type="http://schemas.openxmlformats.org/officeDocument/2006/relationships/externalLink" Target="externalLinks/externalLink1.xml"/><Relationship Id="rId9" Type="http://schemas.openxmlformats.org/officeDocument/2006/relationships/calcChain" Target="calcChain.xml"/></Relationships>
</file>

<file path=xl/charts/_rels/chart10.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1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rgbClr val="00B050"/>
              </a:solidFill>
              <a:ln w="19050">
                <a:solidFill>
                  <a:schemeClr val="lt1"/>
                </a:solidFill>
              </a:ln>
              <a:effectLst/>
            </c:spPr>
            <c:extLst>
              <c:ext xmlns:c16="http://schemas.microsoft.com/office/drawing/2014/chart" uri="{C3380CC4-5D6E-409C-BE32-E72D297353CC}">
                <c16:uniqueId val="{00000001-F998-474D-97DC-1396885EC3F2}"/>
              </c:ext>
            </c:extLst>
          </c:dPt>
          <c:dPt>
            <c:idx val="1"/>
            <c:bubble3D val="0"/>
            <c:spPr>
              <a:solidFill>
                <a:srgbClr val="0070C0"/>
              </a:solidFill>
              <a:ln w="19050">
                <a:solidFill>
                  <a:schemeClr val="lt1"/>
                </a:solidFill>
              </a:ln>
              <a:effectLst/>
            </c:spPr>
            <c:extLst>
              <c:ext xmlns:c16="http://schemas.microsoft.com/office/drawing/2014/chart" uri="{C3380CC4-5D6E-409C-BE32-E72D297353CC}">
                <c16:uniqueId val="{00000003-F998-474D-97DC-1396885EC3F2}"/>
              </c:ext>
            </c:extLst>
          </c:dPt>
          <c:dPt>
            <c:idx val="2"/>
            <c:bubble3D val="0"/>
            <c:spPr>
              <a:solidFill>
                <a:srgbClr val="FF0000"/>
              </a:solidFill>
              <a:ln w="19050">
                <a:solidFill>
                  <a:schemeClr val="lt1"/>
                </a:solidFill>
              </a:ln>
              <a:effectLst/>
            </c:spPr>
            <c:extLst>
              <c:ext xmlns:c16="http://schemas.microsoft.com/office/drawing/2014/chart" uri="{C3380CC4-5D6E-409C-BE32-E72D297353CC}">
                <c16:uniqueId val="{00000005-F998-474D-97DC-1396885EC3F2}"/>
              </c:ext>
            </c:extLst>
          </c:dPt>
          <c:dPt>
            <c:idx val="3"/>
            <c:bubble3D val="0"/>
            <c:spPr>
              <a:solidFill>
                <a:srgbClr val="FFC000"/>
              </a:solidFill>
              <a:ln w="19050">
                <a:solidFill>
                  <a:schemeClr val="lt1"/>
                </a:solidFill>
              </a:ln>
              <a:effectLst/>
            </c:spPr>
            <c:extLst>
              <c:ext xmlns:c16="http://schemas.microsoft.com/office/drawing/2014/chart" uri="{C3380CC4-5D6E-409C-BE32-E72D297353CC}">
                <c16:uniqueId val="{00000007-F998-474D-97DC-1396885EC3F2}"/>
              </c:ext>
            </c:extLst>
          </c:dPt>
          <c:dLbls>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'1'!$BN$63:$BN$66</c:f>
              <c:strCache>
                <c:ptCount val="4"/>
                <c:pt idx="0">
                  <c:v>PE</c:v>
                </c:pt>
                <c:pt idx="1">
                  <c:v>DE</c:v>
                </c:pt>
                <c:pt idx="2">
                  <c:v>ME</c:v>
                </c:pt>
                <c:pt idx="3">
                  <c:v>RE</c:v>
                </c:pt>
              </c:strCache>
            </c:strRef>
          </c:cat>
          <c:val>
            <c:numRef>
              <c:f>'1'!$BP$63:$BP$66</c:f>
              <c:numCache>
                <c:formatCode>0</c:formatCode>
                <c:ptCount val="4"/>
                <c:pt idx="0">
                  <c:v>0</c:v>
                </c:pt>
                <c:pt idx="1">
                  <c:v>0</c:v>
                </c:pt>
                <c:pt idx="2">
                  <c:v>0</c:v>
                </c:pt>
                <c:pt idx="3">
                  <c:v>0</c:v>
                </c:pt>
              </c:numCache>
            </c:numRef>
          </c:val>
          <c:extLst>
            <c:ext xmlns:c16="http://schemas.microsoft.com/office/drawing/2014/chart" uri="{C3380CC4-5D6E-409C-BE32-E72D297353CC}">
              <c16:uniqueId val="{00000008-F998-474D-97DC-1396885EC3F2}"/>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1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lumMod val="85000"/>
        <a:alpha val="0"/>
      </a:schemeClr>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rgbClr val="00B050"/>
              </a:solidFill>
              <a:ln w="19050">
                <a:solidFill>
                  <a:schemeClr val="lt1"/>
                </a:solidFill>
              </a:ln>
              <a:effectLst/>
            </c:spPr>
            <c:extLst>
              <c:ext xmlns:c16="http://schemas.microsoft.com/office/drawing/2014/chart" uri="{C3380CC4-5D6E-409C-BE32-E72D297353CC}">
                <c16:uniqueId val="{00000001-53CC-514D-B51D-26D107C27EF6}"/>
              </c:ext>
            </c:extLst>
          </c:dPt>
          <c:dPt>
            <c:idx val="1"/>
            <c:bubble3D val="0"/>
            <c:spPr>
              <a:solidFill>
                <a:srgbClr val="0070C0"/>
              </a:solidFill>
              <a:ln w="19050">
                <a:solidFill>
                  <a:schemeClr val="lt1"/>
                </a:solidFill>
              </a:ln>
              <a:effectLst/>
            </c:spPr>
            <c:extLst>
              <c:ext xmlns:c16="http://schemas.microsoft.com/office/drawing/2014/chart" uri="{C3380CC4-5D6E-409C-BE32-E72D297353CC}">
                <c16:uniqueId val="{00000003-53CC-514D-B51D-26D107C27EF6}"/>
              </c:ext>
            </c:extLst>
          </c:dPt>
          <c:dPt>
            <c:idx val="2"/>
            <c:bubble3D val="0"/>
            <c:spPr>
              <a:solidFill>
                <a:srgbClr val="FF0000"/>
              </a:solidFill>
              <a:ln w="19050">
                <a:solidFill>
                  <a:schemeClr val="lt1"/>
                </a:solidFill>
              </a:ln>
              <a:effectLst/>
            </c:spPr>
            <c:extLst>
              <c:ext xmlns:c16="http://schemas.microsoft.com/office/drawing/2014/chart" uri="{C3380CC4-5D6E-409C-BE32-E72D297353CC}">
                <c16:uniqueId val="{00000005-53CC-514D-B51D-26D107C27EF6}"/>
              </c:ext>
            </c:extLst>
          </c:dPt>
          <c:dPt>
            <c:idx val="3"/>
            <c:bubble3D val="0"/>
            <c:spPr>
              <a:solidFill>
                <a:srgbClr val="FFC000"/>
              </a:solidFill>
              <a:ln w="19050">
                <a:solidFill>
                  <a:schemeClr val="lt1"/>
                </a:solidFill>
              </a:ln>
              <a:effectLst/>
            </c:spPr>
            <c:extLst>
              <c:ext xmlns:c16="http://schemas.microsoft.com/office/drawing/2014/chart" uri="{C3380CC4-5D6E-409C-BE32-E72D297353CC}">
                <c16:uniqueId val="{00000007-53CC-514D-B51D-26D107C27EF6}"/>
              </c:ext>
            </c:extLst>
          </c:dPt>
          <c:dLbls>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'1'!$BN$63:$BN$66</c:f>
              <c:strCache>
                <c:ptCount val="4"/>
                <c:pt idx="0">
                  <c:v>PE</c:v>
                </c:pt>
                <c:pt idx="1">
                  <c:v>DE</c:v>
                </c:pt>
                <c:pt idx="2">
                  <c:v>ME</c:v>
                </c:pt>
                <c:pt idx="3">
                  <c:v>RE</c:v>
                </c:pt>
              </c:strCache>
            </c:strRef>
          </c:cat>
          <c:val>
            <c:numRef>
              <c:f>'1'!$BP$83:$BP$86</c:f>
              <c:numCache>
                <c:formatCode>0</c:formatCode>
                <c:ptCount val="4"/>
                <c:pt idx="0">
                  <c:v>#N/A</c:v>
                </c:pt>
                <c:pt idx="1">
                  <c:v>#N/A</c:v>
                </c:pt>
                <c:pt idx="2">
                  <c:v>#N/A</c:v>
                </c:pt>
                <c:pt idx="3">
                  <c:v>#N/A</c:v>
                </c:pt>
              </c:numCache>
            </c:numRef>
          </c:val>
          <c:extLst>
            <c:ext xmlns:c16="http://schemas.microsoft.com/office/drawing/2014/chart" uri="{C3380CC4-5D6E-409C-BE32-E72D297353CC}">
              <c16:uniqueId val="{00000008-53CC-514D-B51D-26D107C27EF6}"/>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1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lumMod val="85000"/>
        <a:alpha val="0"/>
      </a:schemeClr>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rgbClr val="00B050"/>
              </a:solidFill>
              <a:ln w="19050">
                <a:solidFill>
                  <a:schemeClr val="lt1"/>
                </a:solidFill>
              </a:ln>
              <a:effectLst/>
            </c:spPr>
            <c:extLst>
              <c:ext xmlns:c16="http://schemas.microsoft.com/office/drawing/2014/chart" uri="{C3380CC4-5D6E-409C-BE32-E72D297353CC}">
                <c16:uniqueId val="{00000001-777B-FF40-A150-CF19F11DE00C}"/>
              </c:ext>
            </c:extLst>
          </c:dPt>
          <c:dPt>
            <c:idx val="1"/>
            <c:bubble3D val="0"/>
            <c:spPr>
              <a:solidFill>
                <a:srgbClr val="0070C0"/>
              </a:solidFill>
              <a:ln w="19050">
                <a:solidFill>
                  <a:schemeClr val="lt1"/>
                </a:solidFill>
              </a:ln>
              <a:effectLst/>
            </c:spPr>
            <c:extLst>
              <c:ext xmlns:c16="http://schemas.microsoft.com/office/drawing/2014/chart" uri="{C3380CC4-5D6E-409C-BE32-E72D297353CC}">
                <c16:uniqueId val="{00000003-777B-FF40-A150-CF19F11DE00C}"/>
              </c:ext>
            </c:extLst>
          </c:dPt>
          <c:dPt>
            <c:idx val="2"/>
            <c:bubble3D val="0"/>
            <c:spPr>
              <a:solidFill>
                <a:srgbClr val="FF0000"/>
              </a:solidFill>
              <a:ln w="19050">
                <a:solidFill>
                  <a:schemeClr val="lt1"/>
                </a:solidFill>
              </a:ln>
              <a:effectLst/>
            </c:spPr>
            <c:extLst>
              <c:ext xmlns:c16="http://schemas.microsoft.com/office/drawing/2014/chart" uri="{C3380CC4-5D6E-409C-BE32-E72D297353CC}">
                <c16:uniqueId val="{00000005-777B-FF40-A150-CF19F11DE00C}"/>
              </c:ext>
            </c:extLst>
          </c:dPt>
          <c:dPt>
            <c:idx val="3"/>
            <c:bubble3D val="0"/>
            <c:spPr>
              <a:solidFill>
                <a:srgbClr val="FFC000"/>
              </a:solidFill>
              <a:ln w="19050">
                <a:solidFill>
                  <a:schemeClr val="lt1"/>
                </a:solidFill>
              </a:ln>
              <a:effectLst/>
            </c:spPr>
            <c:extLst>
              <c:ext xmlns:c16="http://schemas.microsoft.com/office/drawing/2014/chart" uri="{C3380CC4-5D6E-409C-BE32-E72D297353CC}">
                <c16:uniqueId val="{00000007-777B-FF40-A150-CF19F11DE00C}"/>
              </c:ext>
            </c:extLst>
          </c:dPt>
          <c:dLbls>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'1'!$W$245:$W$248</c:f>
              <c:strCache>
                <c:ptCount val="4"/>
                <c:pt idx="0">
                  <c:v>PE</c:v>
                </c:pt>
                <c:pt idx="1">
                  <c:v>DE</c:v>
                </c:pt>
                <c:pt idx="2">
                  <c:v>ME</c:v>
                </c:pt>
                <c:pt idx="3">
                  <c:v>RE</c:v>
                </c:pt>
              </c:strCache>
            </c:strRef>
          </c:cat>
          <c:val>
            <c:numRef>
              <c:f>'1'!$Y$245:$Y$248</c:f>
              <c:numCache>
                <c:formatCode>0</c:formatCode>
                <c:ptCount val="4"/>
                <c:pt idx="0">
                  <c:v>0</c:v>
                </c:pt>
                <c:pt idx="1">
                  <c:v>0</c:v>
                </c:pt>
                <c:pt idx="2">
                  <c:v>0</c:v>
                </c:pt>
                <c:pt idx="3">
                  <c:v>0</c:v>
                </c:pt>
              </c:numCache>
            </c:numRef>
          </c:val>
          <c:extLst>
            <c:ext xmlns:c16="http://schemas.microsoft.com/office/drawing/2014/chart" uri="{C3380CC4-5D6E-409C-BE32-E72D297353CC}">
              <c16:uniqueId val="{00000008-777B-FF40-A150-CF19F11DE00C}"/>
            </c:ext>
          </c:extLst>
        </c:ser>
        <c:dLbls>
          <c:showLegendKey val="0"/>
          <c:showVal val="0"/>
          <c:showCatName val="0"/>
          <c:showSerName val="0"/>
          <c:showPercent val="0"/>
          <c:showBubbleSize val="0"/>
          <c:showLeaderLines val="1"/>
        </c:dLbls>
        <c:firstSliceAng val="0"/>
      </c:pieChart>
      <c:spPr>
        <a:noFill/>
        <a:ln>
          <a:noFill/>
        </a:ln>
        <a:effectLst/>
      </c:spPr>
    </c:plotArea>
    <c:legend>
      <c:legendPos val="b"/>
      <c:layout>
        <c:manualLayout>
          <c:xMode val="edge"/>
          <c:yMode val="edge"/>
          <c:x val="0.19384022264996512"/>
          <c:y val="0.81847684176017577"/>
          <c:w val="0.60521846339653029"/>
          <c:h val="5.6628799145613543E-2"/>
        </c:manualLayout>
      </c:layout>
      <c:overlay val="0"/>
      <c:spPr>
        <a:noFill/>
        <a:ln>
          <a:noFill/>
        </a:ln>
        <a:effectLst/>
      </c:spPr>
      <c:txPr>
        <a:bodyPr rot="0" spcFirstLastPara="1" vertOverflow="ellipsis" vert="horz" wrap="square" anchor="ctr" anchorCtr="1"/>
        <a:lstStyle/>
        <a:p>
          <a:pPr rtl="0">
            <a:defRPr sz="1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lumMod val="85000"/>
        <a:alpha val="0"/>
      </a:schemeClr>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rgbClr val="00B050"/>
              </a:solidFill>
              <a:ln w="19050">
                <a:solidFill>
                  <a:schemeClr val="lt1"/>
                </a:solidFill>
              </a:ln>
              <a:effectLst/>
            </c:spPr>
            <c:extLst>
              <c:ext xmlns:c16="http://schemas.microsoft.com/office/drawing/2014/chart" uri="{C3380CC4-5D6E-409C-BE32-E72D297353CC}">
                <c16:uniqueId val="{00000001-DFAA-BE41-8BD5-2B64FEC63B7C}"/>
              </c:ext>
            </c:extLst>
          </c:dPt>
          <c:dPt>
            <c:idx val="1"/>
            <c:bubble3D val="0"/>
            <c:spPr>
              <a:solidFill>
                <a:srgbClr val="0070C0"/>
              </a:solidFill>
              <a:ln w="19050">
                <a:solidFill>
                  <a:schemeClr val="lt1"/>
                </a:solidFill>
              </a:ln>
              <a:effectLst/>
            </c:spPr>
            <c:extLst>
              <c:ext xmlns:c16="http://schemas.microsoft.com/office/drawing/2014/chart" uri="{C3380CC4-5D6E-409C-BE32-E72D297353CC}">
                <c16:uniqueId val="{00000003-DFAA-BE41-8BD5-2B64FEC63B7C}"/>
              </c:ext>
            </c:extLst>
          </c:dPt>
          <c:dPt>
            <c:idx val="2"/>
            <c:bubble3D val="0"/>
            <c:spPr>
              <a:solidFill>
                <a:srgbClr val="FF0000"/>
              </a:solidFill>
              <a:ln w="19050">
                <a:solidFill>
                  <a:schemeClr val="lt1"/>
                </a:solidFill>
              </a:ln>
              <a:effectLst/>
            </c:spPr>
            <c:extLst>
              <c:ext xmlns:c16="http://schemas.microsoft.com/office/drawing/2014/chart" uri="{C3380CC4-5D6E-409C-BE32-E72D297353CC}">
                <c16:uniqueId val="{00000005-DFAA-BE41-8BD5-2B64FEC63B7C}"/>
              </c:ext>
            </c:extLst>
          </c:dPt>
          <c:dPt>
            <c:idx val="3"/>
            <c:bubble3D val="0"/>
            <c:spPr>
              <a:solidFill>
                <a:srgbClr val="FFC000"/>
              </a:solidFill>
              <a:ln w="19050">
                <a:solidFill>
                  <a:schemeClr val="lt1"/>
                </a:solidFill>
              </a:ln>
              <a:effectLst/>
            </c:spPr>
            <c:extLst>
              <c:ext xmlns:c16="http://schemas.microsoft.com/office/drawing/2014/chart" uri="{C3380CC4-5D6E-409C-BE32-E72D297353CC}">
                <c16:uniqueId val="{00000007-DFAA-BE41-8BD5-2B64FEC63B7C}"/>
              </c:ext>
            </c:extLst>
          </c:dPt>
          <c:dLbls>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'1'!$W$245:$W$248</c:f>
              <c:strCache>
                <c:ptCount val="4"/>
                <c:pt idx="0">
                  <c:v>PE</c:v>
                </c:pt>
                <c:pt idx="1">
                  <c:v>DE</c:v>
                </c:pt>
                <c:pt idx="2">
                  <c:v>ME</c:v>
                </c:pt>
                <c:pt idx="3">
                  <c:v>RE</c:v>
                </c:pt>
              </c:strCache>
            </c:strRef>
          </c:cat>
          <c:val>
            <c:numRef>
              <c:f>'1'!$AH$245:$AH$248</c:f>
              <c:numCache>
                <c:formatCode>0</c:formatCode>
                <c:ptCount val="4"/>
                <c:pt idx="0">
                  <c:v>0</c:v>
                </c:pt>
                <c:pt idx="1">
                  <c:v>0</c:v>
                </c:pt>
                <c:pt idx="2">
                  <c:v>0</c:v>
                </c:pt>
                <c:pt idx="3">
                  <c:v>0</c:v>
                </c:pt>
              </c:numCache>
            </c:numRef>
          </c:val>
          <c:extLst>
            <c:ext xmlns:c16="http://schemas.microsoft.com/office/drawing/2014/chart" uri="{C3380CC4-5D6E-409C-BE32-E72D297353CC}">
              <c16:uniqueId val="{00000008-DFAA-BE41-8BD5-2B64FEC63B7C}"/>
            </c:ext>
          </c:extLst>
        </c:ser>
        <c:dLbls>
          <c:showLegendKey val="0"/>
          <c:showVal val="0"/>
          <c:showCatName val="0"/>
          <c:showSerName val="0"/>
          <c:showPercent val="0"/>
          <c:showBubbleSize val="0"/>
          <c:showLeaderLines val="1"/>
        </c:dLbls>
        <c:firstSliceAng val="0"/>
      </c:pieChart>
      <c:spPr>
        <a:noFill/>
        <a:ln>
          <a:noFill/>
        </a:ln>
        <a:effectLst/>
      </c:spPr>
    </c:plotArea>
    <c:legend>
      <c:legendPos val="b"/>
      <c:layout>
        <c:manualLayout>
          <c:xMode val="edge"/>
          <c:yMode val="edge"/>
          <c:x val="0.19384022264996512"/>
          <c:y val="0.81847684176017577"/>
          <c:w val="0.60521846339653029"/>
          <c:h val="5.6628799145613543E-2"/>
        </c:manualLayout>
      </c:layout>
      <c:overlay val="0"/>
      <c:spPr>
        <a:noFill/>
        <a:ln>
          <a:noFill/>
        </a:ln>
        <a:effectLst/>
      </c:spPr>
      <c:txPr>
        <a:bodyPr rot="0" spcFirstLastPara="1" vertOverflow="ellipsis" vert="horz" wrap="square" anchor="ctr" anchorCtr="1"/>
        <a:lstStyle/>
        <a:p>
          <a:pPr rtl="0">
            <a:defRPr sz="1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lumMod val="85000"/>
        <a:alpha val="0"/>
      </a:schemeClr>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rgbClr val="00B050"/>
              </a:solidFill>
              <a:ln w="19050">
                <a:solidFill>
                  <a:schemeClr val="lt1"/>
                </a:solidFill>
              </a:ln>
              <a:effectLst/>
            </c:spPr>
            <c:extLst>
              <c:ext xmlns:c16="http://schemas.microsoft.com/office/drawing/2014/chart" uri="{C3380CC4-5D6E-409C-BE32-E72D297353CC}">
                <c16:uniqueId val="{00000001-C316-B84C-B825-DAD3246AC947}"/>
              </c:ext>
            </c:extLst>
          </c:dPt>
          <c:dPt>
            <c:idx val="1"/>
            <c:bubble3D val="0"/>
            <c:spPr>
              <a:solidFill>
                <a:srgbClr val="0070C0"/>
              </a:solidFill>
              <a:ln w="19050">
                <a:solidFill>
                  <a:schemeClr val="lt1"/>
                </a:solidFill>
              </a:ln>
              <a:effectLst/>
            </c:spPr>
            <c:extLst>
              <c:ext xmlns:c16="http://schemas.microsoft.com/office/drawing/2014/chart" uri="{C3380CC4-5D6E-409C-BE32-E72D297353CC}">
                <c16:uniqueId val="{00000003-C316-B84C-B825-DAD3246AC947}"/>
              </c:ext>
            </c:extLst>
          </c:dPt>
          <c:dPt>
            <c:idx val="2"/>
            <c:bubble3D val="0"/>
            <c:spPr>
              <a:solidFill>
                <a:srgbClr val="FF0000"/>
              </a:solidFill>
              <a:ln w="19050">
                <a:solidFill>
                  <a:schemeClr val="lt1"/>
                </a:solidFill>
              </a:ln>
              <a:effectLst/>
            </c:spPr>
            <c:extLst>
              <c:ext xmlns:c16="http://schemas.microsoft.com/office/drawing/2014/chart" uri="{C3380CC4-5D6E-409C-BE32-E72D297353CC}">
                <c16:uniqueId val="{00000005-C316-B84C-B825-DAD3246AC947}"/>
              </c:ext>
            </c:extLst>
          </c:dPt>
          <c:dPt>
            <c:idx val="3"/>
            <c:bubble3D val="0"/>
            <c:spPr>
              <a:solidFill>
                <a:srgbClr val="FFC000"/>
              </a:solidFill>
              <a:ln w="19050">
                <a:solidFill>
                  <a:schemeClr val="lt1"/>
                </a:solidFill>
              </a:ln>
              <a:effectLst/>
            </c:spPr>
            <c:extLst>
              <c:ext xmlns:c16="http://schemas.microsoft.com/office/drawing/2014/chart" uri="{C3380CC4-5D6E-409C-BE32-E72D297353CC}">
                <c16:uniqueId val="{00000007-C316-B84C-B825-DAD3246AC947}"/>
              </c:ext>
            </c:extLst>
          </c:dPt>
          <c:dLbls>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'1'!$W$245:$W$248</c:f>
              <c:strCache>
                <c:ptCount val="4"/>
                <c:pt idx="0">
                  <c:v>PE</c:v>
                </c:pt>
                <c:pt idx="1">
                  <c:v>DE</c:v>
                </c:pt>
                <c:pt idx="2">
                  <c:v>ME</c:v>
                </c:pt>
                <c:pt idx="3">
                  <c:v>RE</c:v>
                </c:pt>
              </c:strCache>
            </c:strRef>
          </c:cat>
          <c:val>
            <c:numRef>
              <c:f>'1'!$AZ$245:$AZ$248</c:f>
              <c:numCache>
                <c:formatCode>0</c:formatCode>
                <c:ptCount val="4"/>
                <c:pt idx="0">
                  <c:v>0</c:v>
                </c:pt>
                <c:pt idx="1">
                  <c:v>0</c:v>
                </c:pt>
                <c:pt idx="2">
                  <c:v>0</c:v>
                </c:pt>
                <c:pt idx="3">
                  <c:v>0</c:v>
                </c:pt>
              </c:numCache>
            </c:numRef>
          </c:val>
          <c:extLst>
            <c:ext xmlns:c16="http://schemas.microsoft.com/office/drawing/2014/chart" uri="{C3380CC4-5D6E-409C-BE32-E72D297353CC}">
              <c16:uniqueId val="{00000008-C316-B84C-B825-DAD3246AC947}"/>
            </c:ext>
          </c:extLst>
        </c:ser>
        <c:dLbls>
          <c:showLegendKey val="0"/>
          <c:showVal val="0"/>
          <c:showCatName val="0"/>
          <c:showSerName val="0"/>
          <c:showPercent val="0"/>
          <c:showBubbleSize val="0"/>
          <c:showLeaderLines val="1"/>
        </c:dLbls>
        <c:firstSliceAng val="0"/>
      </c:pieChart>
      <c:spPr>
        <a:noFill/>
        <a:ln>
          <a:noFill/>
        </a:ln>
        <a:effectLst/>
      </c:spPr>
    </c:plotArea>
    <c:legend>
      <c:legendPos val="b"/>
      <c:layout>
        <c:manualLayout>
          <c:xMode val="edge"/>
          <c:yMode val="edge"/>
          <c:x val="0.19384022264996512"/>
          <c:y val="0.81847684176017577"/>
          <c:w val="0.60521846339653029"/>
          <c:h val="5.6628799145613543E-2"/>
        </c:manualLayout>
      </c:layout>
      <c:overlay val="0"/>
      <c:spPr>
        <a:noFill/>
        <a:ln>
          <a:noFill/>
        </a:ln>
        <a:effectLst/>
      </c:spPr>
      <c:txPr>
        <a:bodyPr rot="0" spcFirstLastPara="1" vertOverflow="ellipsis" vert="horz" wrap="square" anchor="ctr" anchorCtr="1"/>
        <a:lstStyle/>
        <a:p>
          <a:pPr rtl="0">
            <a:defRPr sz="1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lumMod val="85000"/>
        <a:alpha val="0"/>
      </a:schemeClr>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'1'!$AP$273:$AP$276</c:f>
              <c:strCache>
                <c:ptCount val="4"/>
                <c:pt idx="0">
                  <c:v>Cycle 1</c:v>
                </c:pt>
                <c:pt idx="1">
                  <c:v>Cycle 2</c:v>
                </c:pt>
                <c:pt idx="2">
                  <c:v>Cyce 3</c:v>
                </c:pt>
                <c:pt idx="3">
                  <c:v>Cycle 4</c:v>
                </c:pt>
              </c:strCache>
            </c:strRef>
          </c:cat>
          <c:val>
            <c:numRef>
              <c:f>'1'!$AQ$273:$AQ$276</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00-3BEE-A143-8AFC-26E2CE51F32C}"/>
            </c:ext>
          </c:extLst>
        </c:ser>
        <c:dLbls>
          <c:showLegendKey val="0"/>
          <c:showVal val="0"/>
          <c:showCatName val="0"/>
          <c:showSerName val="0"/>
          <c:showPercent val="0"/>
          <c:showBubbleSize val="0"/>
        </c:dLbls>
        <c:gapWidth val="219"/>
        <c:overlap val="-27"/>
        <c:axId val="-2023336088"/>
        <c:axId val="-2023339512"/>
      </c:barChart>
      <c:catAx>
        <c:axId val="-2023336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2023339512"/>
        <c:crosses val="autoZero"/>
        <c:auto val="1"/>
        <c:lblAlgn val="ctr"/>
        <c:lblOffset val="100"/>
        <c:noMultiLvlLbl val="0"/>
      </c:catAx>
      <c:valAx>
        <c:axId val="-2023339512"/>
        <c:scaling>
          <c:orientation val="minMax"/>
        </c:scaling>
        <c:delete val="1"/>
        <c:axPos val="l"/>
        <c:majorGridlines>
          <c:spPr>
            <a:ln w="9525" cap="flat" cmpd="sng" algn="ctr">
              <a:solidFill>
                <a:schemeClr val="bg2">
                  <a:alpha val="30000"/>
                </a:schemeClr>
              </a:solidFill>
              <a:round/>
            </a:ln>
            <a:effectLst/>
          </c:spPr>
        </c:majorGridlines>
        <c:numFmt formatCode="General" sourceLinked="1"/>
        <c:majorTickMark val="none"/>
        <c:minorTickMark val="none"/>
        <c:tickLblPos val="nextTo"/>
        <c:crossAx val="-202333608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rgbClr val="00B050"/>
              </a:solidFill>
              <a:ln w="19050">
                <a:solidFill>
                  <a:schemeClr val="lt1"/>
                </a:solidFill>
              </a:ln>
              <a:effectLst/>
            </c:spPr>
            <c:extLst>
              <c:ext xmlns:c16="http://schemas.microsoft.com/office/drawing/2014/chart" uri="{C3380CC4-5D6E-409C-BE32-E72D297353CC}">
                <c16:uniqueId val="{00000001-B4B0-874E-B1E8-ABDC45555272}"/>
              </c:ext>
            </c:extLst>
          </c:dPt>
          <c:dPt>
            <c:idx val="1"/>
            <c:bubble3D val="0"/>
            <c:spPr>
              <a:solidFill>
                <a:srgbClr val="0070C0"/>
              </a:solidFill>
              <a:ln w="19050">
                <a:solidFill>
                  <a:schemeClr val="lt1"/>
                </a:solidFill>
              </a:ln>
              <a:effectLst/>
            </c:spPr>
            <c:extLst>
              <c:ext xmlns:c16="http://schemas.microsoft.com/office/drawing/2014/chart" uri="{C3380CC4-5D6E-409C-BE32-E72D297353CC}">
                <c16:uniqueId val="{00000003-B4B0-874E-B1E8-ABDC45555272}"/>
              </c:ext>
            </c:extLst>
          </c:dPt>
          <c:dPt>
            <c:idx val="2"/>
            <c:bubble3D val="0"/>
            <c:spPr>
              <a:solidFill>
                <a:srgbClr val="FF0000"/>
              </a:solidFill>
              <a:ln w="19050">
                <a:solidFill>
                  <a:schemeClr val="lt1"/>
                </a:solidFill>
              </a:ln>
              <a:effectLst/>
            </c:spPr>
            <c:extLst>
              <c:ext xmlns:c16="http://schemas.microsoft.com/office/drawing/2014/chart" uri="{C3380CC4-5D6E-409C-BE32-E72D297353CC}">
                <c16:uniqueId val="{00000005-B4B0-874E-B1E8-ABDC45555272}"/>
              </c:ext>
            </c:extLst>
          </c:dPt>
          <c:dPt>
            <c:idx val="3"/>
            <c:bubble3D val="0"/>
            <c:spPr>
              <a:solidFill>
                <a:srgbClr val="FFC000"/>
              </a:solidFill>
              <a:ln w="19050">
                <a:solidFill>
                  <a:schemeClr val="lt1"/>
                </a:solidFill>
              </a:ln>
              <a:effectLst/>
            </c:spPr>
            <c:extLst>
              <c:ext xmlns:c16="http://schemas.microsoft.com/office/drawing/2014/chart" uri="{C3380CC4-5D6E-409C-BE32-E72D297353CC}">
                <c16:uniqueId val="{00000007-B4B0-874E-B1E8-ABDC45555272}"/>
              </c:ext>
            </c:extLst>
          </c:dPt>
          <c:dLbls>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'1'!$W$245:$W$248</c:f>
              <c:strCache>
                <c:ptCount val="4"/>
                <c:pt idx="0">
                  <c:v>PE</c:v>
                </c:pt>
                <c:pt idx="1">
                  <c:v>DE</c:v>
                </c:pt>
                <c:pt idx="2">
                  <c:v>ME</c:v>
                </c:pt>
                <c:pt idx="3">
                  <c:v>RE</c:v>
                </c:pt>
              </c:strCache>
            </c:strRef>
          </c:cat>
          <c:val>
            <c:numRef>
              <c:f>'1'!$AQ$245:$AQ$248</c:f>
              <c:numCache>
                <c:formatCode>0</c:formatCode>
                <c:ptCount val="4"/>
                <c:pt idx="0">
                  <c:v>0</c:v>
                </c:pt>
                <c:pt idx="1">
                  <c:v>0</c:v>
                </c:pt>
                <c:pt idx="2">
                  <c:v>0</c:v>
                </c:pt>
                <c:pt idx="3">
                  <c:v>0</c:v>
                </c:pt>
              </c:numCache>
            </c:numRef>
          </c:val>
          <c:extLst>
            <c:ext xmlns:c16="http://schemas.microsoft.com/office/drawing/2014/chart" uri="{C3380CC4-5D6E-409C-BE32-E72D297353CC}">
              <c16:uniqueId val="{00000008-B4B0-874E-B1E8-ABDC45555272}"/>
            </c:ext>
          </c:extLst>
        </c:ser>
        <c:dLbls>
          <c:showLegendKey val="0"/>
          <c:showVal val="0"/>
          <c:showCatName val="0"/>
          <c:showSerName val="0"/>
          <c:showPercent val="0"/>
          <c:showBubbleSize val="0"/>
          <c:showLeaderLines val="1"/>
        </c:dLbls>
        <c:firstSliceAng val="0"/>
      </c:pieChart>
      <c:spPr>
        <a:noFill/>
        <a:ln>
          <a:noFill/>
        </a:ln>
        <a:effectLst/>
      </c:spPr>
    </c:plotArea>
    <c:legend>
      <c:legendPos val="b"/>
      <c:layout>
        <c:manualLayout>
          <c:xMode val="edge"/>
          <c:yMode val="edge"/>
          <c:x val="0.19384022264996512"/>
          <c:y val="0.81847684176017577"/>
          <c:w val="0.60521846339653029"/>
          <c:h val="5.6628799145613543E-2"/>
        </c:manualLayout>
      </c:layout>
      <c:overlay val="0"/>
      <c:spPr>
        <a:noFill/>
        <a:ln>
          <a:noFill/>
        </a:ln>
        <a:effectLst/>
      </c:spPr>
      <c:txPr>
        <a:bodyPr rot="0" spcFirstLastPara="1" vertOverflow="ellipsis" vert="horz" wrap="square" anchor="ctr" anchorCtr="1"/>
        <a:lstStyle/>
        <a:p>
          <a:pPr rtl="0">
            <a:defRPr sz="1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lumMod val="85000"/>
        <a:alpha val="0"/>
      </a:schemeClr>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'1'!$AY$273:$AY$276</c:f>
              <c:strCache>
                <c:ptCount val="4"/>
                <c:pt idx="0">
                  <c:v>Cycle 1</c:v>
                </c:pt>
                <c:pt idx="1">
                  <c:v>Cycle 2</c:v>
                </c:pt>
                <c:pt idx="2">
                  <c:v>Cyce 3</c:v>
                </c:pt>
                <c:pt idx="3">
                  <c:v>Cycle 4</c:v>
                </c:pt>
              </c:strCache>
            </c:strRef>
          </c:cat>
          <c:val>
            <c:numRef>
              <c:f>'1'!$AZ$273:$AZ$276</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00-1775-BA4C-B899-357523ABDB81}"/>
            </c:ext>
          </c:extLst>
        </c:ser>
        <c:ser>
          <c:idx val="1"/>
          <c:order val="1"/>
          <c:invertIfNegative val="0"/>
          <c:dLbls>
            <c:spPr>
              <a:noFill/>
              <a:ln>
                <a:noFill/>
              </a:ln>
              <a:effectLst/>
            </c:spPr>
            <c:txPr>
              <a:bodyPr wrap="square" lIns="38100" tIns="19050" rIns="38100" bIns="19050" anchor="ctr">
                <a:spAutoFit/>
              </a:bodyPr>
              <a:lstStyle/>
              <a:p>
                <a:pPr>
                  <a:defRPr sz="1600"/>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'1'!$AY$273:$AY$276</c:f>
              <c:strCache>
                <c:ptCount val="4"/>
                <c:pt idx="0">
                  <c:v>Cycle 1</c:v>
                </c:pt>
                <c:pt idx="1">
                  <c:v>Cycle 2</c:v>
                </c:pt>
                <c:pt idx="2">
                  <c:v>Cyce 3</c:v>
                </c:pt>
                <c:pt idx="3">
                  <c:v>Cycle 4</c:v>
                </c:pt>
              </c:strCache>
            </c:strRef>
          </c:cat>
          <c:val>
            <c:numRef>
              <c:f>'1'!$BA$273:$BA$276</c:f>
              <c:numCache>
                <c:formatCode>0</c:formatCode>
                <c:ptCount val="4"/>
                <c:pt idx="0">
                  <c:v>0</c:v>
                </c:pt>
                <c:pt idx="1">
                  <c:v>0</c:v>
                </c:pt>
                <c:pt idx="2">
                  <c:v>0</c:v>
                </c:pt>
                <c:pt idx="3">
                  <c:v>0</c:v>
                </c:pt>
              </c:numCache>
            </c:numRef>
          </c:val>
          <c:extLst>
            <c:ext xmlns:c16="http://schemas.microsoft.com/office/drawing/2014/chart" uri="{C3380CC4-5D6E-409C-BE32-E72D297353CC}">
              <c16:uniqueId val="{00000001-1775-BA4C-B899-357523ABDB81}"/>
            </c:ext>
          </c:extLst>
        </c:ser>
        <c:dLbls>
          <c:showLegendKey val="0"/>
          <c:showVal val="0"/>
          <c:showCatName val="0"/>
          <c:showSerName val="0"/>
          <c:showPercent val="0"/>
          <c:showBubbleSize val="0"/>
        </c:dLbls>
        <c:gapWidth val="219"/>
        <c:overlap val="-24"/>
        <c:axId val="-2023336088"/>
        <c:axId val="-2023339512"/>
      </c:barChart>
      <c:barChart>
        <c:barDir val="col"/>
        <c:grouping val="clustered"/>
        <c:varyColors val="0"/>
        <c:ser>
          <c:idx val="2"/>
          <c:order val="2"/>
          <c:spPr>
            <a:solidFill>
              <a:schemeClr val="bg1">
                <a:lumMod val="50000"/>
                <a:alpha val="26000"/>
              </a:schemeClr>
            </a:solidFill>
          </c:spPr>
          <c:invertIfNegative val="0"/>
          <c:dLbls>
            <c:dLbl>
              <c:idx val="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775-BA4C-B899-357523ABDB81}"/>
                </c:ext>
              </c:extLst>
            </c:dLbl>
            <c:spPr>
              <a:noFill/>
              <a:ln>
                <a:noFill/>
              </a:ln>
              <a:effectLst/>
            </c:spPr>
            <c:txPr>
              <a:bodyPr wrap="square" lIns="38100" tIns="19050" rIns="38100" bIns="19050" anchor="ctr">
                <a:spAutoFit/>
              </a:bodyPr>
              <a:lstStyle/>
              <a:p>
                <a:pPr>
                  <a:defRPr sz="1800"/>
                </a:pPr>
                <a:endParaRPr lang="en-US"/>
              </a:p>
            </c:txPr>
            <c:showLegendKey val="0"/>
            <c:showVal val="0"/>
            <c:showCatName val="0"/>
            <c:showSerName val="0"/>
            <c:showPercent val="0"/>
            <c:showBubbleSize val="0"/>
            <c:extLst>
              <c:ext xmlns:c15="http://schemas.microsoft.com/office/drawing/2012/chart" uri="{CE6537A1-D6FC-4f65-9D91-7224C49458BB}">
                <c15:showLeaderLines val="1"/>
              </c:ext>
            </c:extLst>
          </c:dLbls>
          <c:cat>
            <c:strRef>
              <c:f>'1'!$AY$273:$AY$276</c:f>
              <c:strCache>
                <c:ptCount val="4"/>
                <c:pt idx="0">
                  <c:v>Cycle 1</c:v>
                </c:pt>
                <c:pt idx="1">
                  <c:v>Cycle 2</c:v>
                </c:pt>
                <c:pt idx="2">
                  <c:v>Cyce 3</c:v>
                </c:pt>
                <c:pt idx="3">
                  <c:v>Cycle 4</c:v>
                </c:pt>
              </c:strCache>
            </c:strRef>
          </c:cat>
          <c:val>
            <c:numRef>
              <c:f>'1'!$AQ$273:$AQ$276</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03-1775-BA4C-B899-357523ABDB81}"/>
            </c:ext>
          </c:extLst>
        </c:ser>
        <c:dLbls>
          <c:showLegendKey val="0"/>
          <c:showVal val="0"/>
          <c:showCatName val="0"/>
          <c:showSerName val="0"/>
          <c:showPercent val="0"/>
          <c:showBubbleSize val="0"/>
        </c:dLbls>
        <c:gapWidth val="100"/>
        <c:overlap val="-18"/>
        <c:axId val="958985039"/>
        <c:axId val="944297359"/>
      </c:barChart>
      <c:catAx>
        <c:axId val="-2023336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2023339512"/>
        <c:crosses val="autoZero"/>
        <c:auto val="1"/>
        <c:lblAlgn val="ctr"/>
        <c:lblOffset val="100"/>
        <c:noMultiLvlLbl val="0"/>
      </c:catAx>
      <c:valAx>
        <c:axId val="-2023339512"/>
        <c:scaling>
          <c:orientation val="minMax"/>
        </c:scaling>
        <c:delete val="1"/>
        <c:axPos val="l"/>
        <c:majorGridlines>
          <c:spPr>
            <a:ln w="9525" cap="flat" cmpd="sng" algn="ctr">
              <a:solidFill>
                <a:schemeClr val="bg2">
                  <a:alpha val="30000"/>
                </a:schemeClr>
              </a:solidFill>
              <a:round/>
            </a:ln>
            <a:effectLst/>
          </c:spPr>
        </c:majorGridlines>
        <c:numFmt formatCode="General" sourceLinked="1"/>
        <c:majorTickMark val="none"/>
        <c:minorTickMark val="none"/>
        <c:tickLblPos val="nextTo"/>
        <c:crossAx val="-2023336088"/>
        <c:crosses val="autoZero"/>
        <c:crossBetween val="between"/>
      </c:valAx>
      <c:valAx>
        <c:axId val="944297359"/>
        <c:scaling>
          <c:orientation val="minMax"/>
        </c:scaling>
        <c:delete val="1"/>
        <c:axPos val="r"/>
        <c:numFmt formatCode="General" sourceLinked="1"/>
        <c:majorTickMark val="out"/>
        <c:minorTickMark val="none"/>
        <c:tickLblPos val="nextTo"/>
        <c:crossAx val="958985039"/>
        <c:crosses val="max"/>
        <c:crossBetween val="between"/>
      </c:valAx>
      <c:catAx>
        <c:axId val="958985039"/>
        <c:scaling>
          <c:orientation val="minMax"/>
        </c:scaling>
        <c:delete val="1"/>
        <c:axPos val="b"/>
        <c:numFmt formatCode="General" sourceLinked="1"/>
        <c:majorTickMark val="out"/>
        <c:minorTickMark val="none"/>
        <c:tickLblPos val="nextTo"/>
        <c:crossAx val="944297359"/>
        <c:crosses val="autoZero"/>
        <c:auto val="1"/>
        <c:lblAlgn val="ctr"/>
        <c:lblOffset val="100"/>
        <c:noMultiLvlLbl val="0"/>
      </c:cat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'1'!$AY$273:$AY$276</c:f>
              <c:strCache>
                <c:ptCount val="4"/>
                <c:pt idx="0">
                  <c:v>Cycle 1</c:v>
                </c:pt>
                <c:pt idx="1">
                  <c:v>Cycle 2</c:v>
                </c:pt>
                <c:pt idx="2">
                  <c:v>Cyce 3</c:v>
                </c:pt>
                <c:pt idx="3">
                  <c:v>Cycle 4</c:v>
                </c:pt>
              </c:strCache>
            </c:strRef>
          </c:cat>
          <c:val>
            <c:numRef>
              <c:f>'1'!$AZ$273:$AZ$276</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00-813A-764E-8788-CB98A8316480}"/>
            </c:ext>
          </c:extLst>
        </c:ser>
        <c:ser>
          <c:idx val="1"/>
          <c:order val="1"/>
          <c:invertIfNegative val="0"/>
          <c:dLbls>
            <c:spPr>
              <a:noFill/>
              <a:ln>
                <a:noFill/>
              </a:ln>
              <a:effectLst/>
            </c:spPr>
            <c:txPr>
              <a:bodyPr wrap="square" lIns="38100" tIns="19050" rIns="38100" bIns="19050" anchor="ctr">
                <a:spAutoFit/>
              </a:bodyPr>
              <a:lstStyle/>
              <a:p>
                <a:pPr>
                  <a:defRPr sz="1600"/>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'1'!$AY$273:$AY$276</c:f>
              <c:strCache>
                <c:ptCount val="4"/>
                <c:pt idx="0">
                  <c:v>Cycle 1</c:v>
                </c:pt>
                <c:pt idx="1">
                  <c:v>Cycle 2</c:v>
                </c:pt>
                <c:pt idx="2">
                  <c:v>Cyce 3</c:v>
                </c:pt>
                <c:pt idx="3">
                  <c:v>Cycle 4</c:v>
                </c:pt>
              </c:strCache>
            </c:strRef>
          </c:cat>
          <c:val>
            <c:numRef>
              <c:f>'1'!$BA$273:$BA$276</c:f>
              <c:numCache>
                <c:formatCode>0</c:formatCode>
                <c:ptCount val="4"/>
                <c:pt idx="0">
                  <c:v>0</c:v>
                </c:pt>
                <c:pt idx="1">
                  <c:v>0</c:v>
                </c:pt>
                <c:pt idx="2">
                  <c:v>0</c:v>
                </c:pt>
                <c:pt idx="3">
                  <c:v>0</c:v>
                </c:pt>
              </c:numCache>
            </c:numRef>
          </c:val>
          <c:extLst>
            <c:ext xmlns:c16="http://schemas.microsoft.com/office/drawing/2014/chart" uri="{C3380CC4-5D6E-409C-BE32-E72D297353CC}">
              <c16:uniqueId val="{00000001-813A-764E-8788-CB98A8316480}"/>
            </c:ext>
          </c:extLst>
        </c:ser>
        <c:dLbls>
          <c:showLegendKey val="0"/>
          <c:showVal val="0"/>
          <c:showCatName val="0"/>
          <c:showSerName val="0"/>
          <c:showPercent val="0"/>
          <c:showBubbleSize val="0"/>
        </c:dLbls>
        <c:gapWidth val="219"/>
        <c:overlap val="-24"/>
        <c:axId val="-2023336088"/>
        <c:axId val="-2023339512"/>
      </c:barChart>
      <c:barChart>
        <c:barDir val="col"/>
        <c:grouping val="clustered"/>
        <c:varyColors val="0"/>
        <c:ser>
          <c:idx val="2"/>
          <c:order val="2"/>
          <c:spPr>
            <a:solidFill>
              <a:schemeClr val="bg1">
                <a:lumMod val="50000"/>
                <a:alpha val="26000"/>
              </a:schemeClr>
            </a:solidFill>
          </c:spPr>
          <c:invertIfNegative val="0"/>
          <c:dLbls>
            <c:dLbl>
              <c:idx val="0"/>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13A-764E-8788-CB98A8316480}"/>
                </c:ext>
              </c:extLst>
            </c:dLbl>
            <c:dLbl>
              <c:idx val="1"/>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13A-764E-8788-CB98A8316480}"/>
                </c:ext>
              </c:extLst>
            </c:dLbl>
            <c:dLbl>
              <c:idx val="2"/>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13A-764E-8788-CB98A8316480}"/>
                </c:ext>
              </c:extLst>
            </c:dLbl>
            <c:dLbl>
              <c:idx val="3"/>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13A-764E-8788-CB98A8316480}"/>
                </c:ext>
              </c:extLst>
            </c:dLbl>
            <c:spPr>
              <a:noFill/>
              <a:ln>
                <a:noFill/>
              </a:ln>
              <a:effectLst/>
            </c:spPr>
            <c:txPr>
              <a:bodyPr wrap="square" lIns="38100" tIns="19050" rIns="38100" bIns="19050" anchor="ctr">
                <a:spAutoFit/>
              </a:bodyPr>
              <a:lstStyle/>
              <a:p>
                <a:pPr>
                  <a:defRPr sz="1800"/>
                </a:pPr>
                <a:endParaRPr lang="en-US"/>
              </a:p>
            </c:txPr>
            <c:dLblPos val="outEnd"/>
            <c:showLegendKey val="0"/>
            <c:showVal val="0"/>
            <c:showCatName val="0"/>
            <c:showSerName val="0"/>
            <c:showPercent val="0"/>
            <c:showBubbleSize val="0"/>
            <c:extLst>
              <c:ext xmlns:c15="http://schemas.microsoft.com/office/drawing/2012/chart" uri="{CE6537A1-D6FC-4f65-9D91-7224C49458BB}">
                <c15:showLeaderLines val="1"/>
              </c:ext>
            </c:extLst>
          </c:dLbls>
          <c:cat>
            <c:strRef>
              <c:f>'1'!$AY$273:$AY$276</c:f>
              <c:strCache>
                <c:ptCount val="4"/>
                <c:pt idx="0">
                  <c:v>Cycle 1</c:v>
                </c:pt>
                <c:pt idx="1">
                  <c:v>Cycle 2</c:v>
                </c:pt>
                <c:pt idx="2">
                  <c:v>Cyce 3</c:v>
                </c:pt>
                <c:pt idx="3">
                  <c:v>Cycle 4</c:v>
                </c:pt>
              </c:strCache>
            </c:strRef>
          </c:cat>
          <c:val>
            <c:numRef>
              <c:f>'1'!$AQ$273:$AQ$276</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06-813A-764E-8788-CB98A8316480}"/>
            </c:ext>
          </c:extLst>
        </c:ser>
        <c:dLbls>
          <c:showLegendKey val="0"/>
          <c:showVal val="0"/>
          <c:showCatName val="0"/>
          <c:showSerName val="0"/>
          <c:showPercent val="0"/>
          <c:showBubbleSize val="0"/>
        </c:dLbls>
        <c:gapWidth val="100"/>
        <c:overlap val="-18"/>
        <c:axId val="958985039"/>
        <c:axId val="944297359"/>
      </c:barChart>
      <c:catAx>
        <c:axId val="-2023336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2023339512"/>
        <c:crosses val="autoZero"/>
        <c:auto val="1"/>
        <c:lblAlgn val="ctr"/>
        <c:lblOffset val="100"/>
        <c:noMultiLvlLbl val="0"/>
      </c:catAx>
      <c:valAx>
        <c:axId val="-2023339512"/>
        <c:scaling>
          <c:orientation val="minMax"/>
        </c:scaling>
        <c:delete val="1"/>
        <c:axPos val="l"/>
        <c:majorGridlines>
          <c:spPr>
            <a:ln w="9525" cap="flat" cmpd="sng" algn="ctr">
              <a:solidFill>
                <a:schemeClr val="bg2">
                  <a:alpha val="30000"/>
                </a:schemeClr>
              </a:solidFill>
              <a:round/>
            </a:ln>
            <a:effectLst/>
          </c:spPr>
        </c:majorGridlines>
        <c:numFmt formatCode="General" sourceLinked="1"/>
        <c:majorTickMark val="none"/>
        <c:minorTickMark val="none"/>
        <c:tickLblPos val="nextTo"/>
        <c:crossAx val="-2023336088"/>
        <c:crosses val="autoZero"/>
        <c:crossBetween val="between"/>
      </c:valAx>
      <c:valAx>
        <c:axId val="944297359"/>
        <c:scaling>
          <c:orientation val="minMax"/>
        </c:scaling>
        <c:delete val="1"/>
        <c:axPos val="r"/>
        <c:numFmt formatCode="General" sourceLinked="1"/>
        <c:majorTickMark val="out"/>
        <c:minorTickMark val="none"/>
        <c:tickLblPos val="nextTo"/>
        <c:crossAx val="958985039"/>
        <c:crosses val="max"/>
        <c:crossBetween val="between"/>
      </c:valAx>
      <c:catAx>
        <c:axId val="958985039"/>
        <c:scaling>
          <c:orientation val="minMax"/>
        </c:scaling>
        <c:delete val="1"/>
        <c:axPos val="b"/>
        <c:numFmt formatCode="General" sourceLinked="1"/>
        <c:majorTickMark val="out"/>
        <c:minorTickMark val="none"/>
        <c:tickLblPos val="nextTo"/>
        <c:crossAx val="944297359"/>
        <c:crosses val="autoZero"/>
        <c:auto val="1"/>
        <c:lblAlgn val="ctr"/>
        <c:lblOffset val="100"/>
        <c:noMultiLvlLbl val="0"/>
      </c:cat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[2]VBT!$F$2</c:f>
              <c:strCache>
                <c:ptCount val="1"/>
                <c:pt idx="0">
                  <c:v>0</c:v>
                </c:pt>
              </c:strCache>
            </c:strRef>
          </c:tx>
          <c:spPr>
            <a:ln w="28575" cap="rnd">
              <a:solidFill>
                <a:srgbClr val="FF0000"/>
              </a:solidFill>
              <a:round/>
            </a:ln>
            <a:effectLst/>
          </c:spPr>
          <c:marker>
            <c:symbol val="circle"/>
            <c:size val="12"/>
            <c:spPr>
              <a:solidFill>
                <a:srgbClr val="FF0000"/>
              </a:solidFill>
              <a:ln w="9525">
                <a:solidFill>
                  <a:srgbClr val="FF0000"/>
                </a:solidFill>
              </a:ln>
              <a:effectLst/>
            </c:spPr>
          </c:marker>
          <c:dLbls>
            <c:delete val="1"/>
          </c:dLbls>
          <c:cat>
            <c:numRef>
              <c:f>[2]VBT!$C$4:$C$24</c:f>
              <c:numCache>
                <c:formatCode>General</c:formatCode>
                <c:ptCount val="21"/>
                <c:pt idx="0">
                  <c:v>40</c:v>
                </c:pt>
                <c:pt idx="1">
                  <c:v>45</c:v>
                </c:pt>
                <c:pt idx="2">
                  <c:v>50</c:v>
                </c:pt>
                <c:pt idx="3">
                  <c:v>55</c:v>
                </c:pt>
                <c:pt idx="4">
                  <c:v>60</c:v>
                </c:pt>
                <c:pt idx="5">
                  <c:v>65</c:v>
                </c:pt>
                <c:pt idx="6">
                  <c:v>70</c:v>
                </c:pt>
                <c:pt idx="7">
                  <c:v>75</c:v>
                </c:pt>
                <c:pt idx="8">
                  <c:v>80</c:v>
                </c:pt>
                <c:pt idx="9">
                  <c:v>85</c:v>
                </c:pt>
                <c:pt idx="10">
                  <c:v>90</c:v>
                </c:pt>
                <c:pt idx="11">
                  <c:v>95</c:v>
                </c:pt>
                <c:pt idx="12">
                  <c:v>100</c:v>
                </c:pt>
                <c:pt idx="13">
                  <c:v>105</c:v>
                </c:pt>
                <c:pt idx="14">
                  <c:v>110</c:v>
                </c:pt>
                <c:pt idx="15">
                  <c:v>115</c:v>
                </c:pt>
                <c:pt idx="16">
                  <c:v>120</c:v>
                </c:pt>
                <c:pt idx="17">
                  <c:v>125</c:v>
                </c:pt>
                <c:pt idx="18">
                  <c:v>130</c:v>
                </c:pt>
                <c:pt idx="19">
                  <c:v>135</c:v>
                </c:pt>
                <c:pt idx="20">
                  <c:v>140</c:v>
                </c:pt>
              </c:numCache>
            </c:numRef>
          </c:cat>
          <c:val>
            <c:numRef>
              <c:f>[2]VBT!$F$4:$F$24</c:f>
              <c:numCache>
                <c:formatCode>General</c:formatCode>
                <c:ptCount val="21"/>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numCache>
            </c:numRef>
          </c:val>
          <c:smooth val="0"/>
          <c:extLst>
            <c:ext xmlns:c16="http://schemas.microsoft.com/office/drawing/2014/chart" uri="{C3380CC4-5D6E-409C-BE32-E72D297353CC}">
              <c16:uniqueId val="{00000000-CD81-9B46-99F3-8E154B0B660B}"/>
            </c:ext>
          </c:extLst>
        </c:ser>
        <c:ser>
          <c:idx val="1"/>
          <c:order val="1"/>
          <c:tx>
            <c:strRef>
              <c:f>[2]VBT!$G$2</c:f>
              <c:strCache>
                <c:ptCount val="1"/>
                <c:pt idx="0">
                  <c:v>0</c:v>
                </c:pt>
              </c:strCache>
            </c:strRef>
          </c:tx>
          <c:spPr>
            <a:ln w="28575" cap="rnd">
              <a:solidFill>
                <a:schemeClr val="tx1"/>
              </a:solidFill>
              <a:round/>
            </a:ln>
            <a:effectLst/>
          </c:spPr>
          <c:marker>
            <c:symbol val="circle"/>
            <c:size val="10"/>
            <c:spPr>
              <a:solidFill>
                <a:schemeClr val="tx1"/>
              </a:solidFill>
              <a:ln w="9525">
                <a:solidFill>
                  <a:schemeClr val="tx1"/>
                </a:solidFill>
              </a:ln>
              <a:effectLst/>
            </c:spPr>
          </c:marker>
          <c:dLbls>
            <c:delete val="1"/>
          </c:dLbls>
          <c:cat>
            <c:numRef>
              <c:f>[2]VBT!$C$4:$C$24</c:f>
              <c:numCache>
                <c:formatCode>General</c:formatCode>
                <c:ptCount val="21"/>
                <c:pt idx="0">
                  <c:v>40</c:v>
                </c:pt>
                <c:pt idx="1">
                  <c:v>45</c:v>
                </c:pt>
                <c:pt idx="2">
                  <c:v>50</c:v>
                </c:pt>
                <c:pt idx="3">
                  <c:v>55</c:v>
                </c:pt>
                <c:pt idx="4">
                  <c:v>60</c:v>
                </c:pt>
                <c:pt idx="5">
                  <c:v>65</c:v>
                </c:pt>
                <c:pt idx="6">
                  <c:v>70</c:v>
                </c:pt>
                <c:pt idx="7">
                  <c:v>75</c:v>
                </c:pt>
                <c:pt idx="8">
                  <c:v>80</c:v>
                </c:pt>
                <c:pt idx="9">
                  <c:v>85</c:v>
                </c:pt>
                <c:pt idx="10">
                  <c:v>90</c:v>
                </c:pt>
                <c:pt idx="11">
                  <c:v>95</c:v>
                </c:pt>
                <c:pt idx="12">
                  <c:v>100</c:v>
                </c:pt>
                <c:pt idx="13">
                  <c:v>105</c:v>
                </c:pt>
                <c:pt idx="14">
                  <c:v>110</c:v>
                </c:pt>
                <c:pt idx="15">
                  <c:v>115</c:v>
                </c:pt>
                <c:pt idx="16">
                  <c:v>120</c:v>
                </c:pt>
                <c:pt idx="17">
                  <c:v>125</c:v>
                </c:pt>
                <c:pt idx="18">
                  <c:v>130</c:v>
                </c:pt>
                <c:pt idx="19">
                  <c:v>135</c:v>
                </c:pt>
                <c:pt idx="20">
                  <c:v>140</c:v>
                </c:pt>
              </c:numCache>
            </c:numRef>
          </c:cat>
          <c:val>
            <c:numRef>
              <c:f>[2]VBT!$G$4:$G$24</c:f>
              <c:numCache>
                <c:formatCode>General</c:formatCode>
                <c:ptCount val="21"/>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numCache>
            </c:numRef>
          </c:val>
          <c:smooth val="0"/>
          <c:extLst>
            <c:ext xmlns:c16="http://schemas.microsoft.com/office/drawing/2014/chart" uri="{C3380CC4-5D6E-409C-BE32-E72D297353CC}">
              <c16:uniqueId val="{00000001-CD81-9B46-99F3-8E154B0B660B}"/>
            </c:ext>
          </c:extLst>
        </c:ser>
        <c:ser>
          <c:idx val="2"/>
          <c:order val="2"/>
          <c:tx>
            <c:strRef>
              <c:f>[2]VBT!$H$2</c:f>
              <c:strCache>
                <c:ptCount val="1"/>
                <c:pt idx="0">
                  <c:v>0</c:v>
                </c:pt>
              </c:strCache>
            </c:strRef>
          </c:tx>
          <c:spPr>
            <a:ln w="28575" cap="rnd">
              <a:solidFill>
                <a:schemeClr val="tx1">
                  <a:lumMod val="65000"/>
                  <a:lumOff val="35000"/>
                </a:schemeClr>
              </a:solidFill>
              <a:prstDash val="dash"/>
              <a:round/>
            </a:ln>
            <a:effectLst/>
          </c:spPr>
          <c:marker>
            <c:symbol val="circle"/>
            <c:size val="8"/>
            <c:spPr>
              <a:solidFill>
                <a:schemeClr val="accent3"/>
              </a:solidFill>
              <a:ln w="9525">
                <a:solidFill>
                  <a:schemeClr val="accent3"/>
                </a:solidFill>
              </a:ln>
              <a:effectLst/>
            </c:spPr>
          </c:marker>
          <c:dLbls>
            <c:delete val="1"/>
          </c:dLbls>
          <c:cat>
            <c:numRef>
              <c:f>[2]VBT!$C$4:$C$24</c:f>
              <c:numCache>
                <c:formatCode>General</c:formatCode>
                <c:ptCount val="21"/>
                <c:pt idx="0">
                  <c:v>40</c:v>
                </c:pt>
                <c:pt idx="1">
                  <c:v>45</c:v>
                </c:pt>
                <c:pt idx="2">
                  <c:v>50</c:v>
                </c:pt>
                <c:pt idx="3">
                  <c:v>55</c:v>
                </c:pt>
                <c:pt idx="4">
                  <c:v>60</c:v>
                </c:pt>
                <c:pt idx="5">
                  <c:v>65</c:v>
                </c:pt>
                <c:pt idx="6">
                  <c:v>70</c:v>
                </c:pt>
                <c:pt idx="7">
                  <c:v>75</c:v>
                </c:pt>
                <c:pt idx="8">
                  <c:v>80</c:v>
                </c:pt>
                <c:pt idx="9">
                  <c:v>85</c:v>
                </c:pt>
                <c:pt idx="10">
                  <c:v>90</c:v>
                </c:pt>
                <c:pt idx="11">
                  <c:v>95</c:v>
                </c:pt>
                <c:pt idx="12">
                  <c:v>100</c:v>
                </c:pt>
                <c:pt idx="13">
                  <c:v>105</c:v>
                </c:pt>
                <c:pt idx="14">
                  <c:v>110</c:v>
                </c:pt>
                <c:pt idx="15">
                  <c:v>115</c:v>
                </c:pt>
                <c:pt idx="16">
                  <c:v>120</c:v>
                </c:pt>
                <c:pt idx="17">
                  <c:v>125</c:v>
                </c:pt>
                <c:pt idx="18">
                  <c:v>130</c:v>
                </c:pt>
                <c:pt idx="19">
                  <c:v>135</c:v>
                </c:pt>
                <c:pt idx="20">
                  <c:v>140</c:v>
                </c:pt>
              </c:numCache>
            </c:numRef>
          </c:cat>
          <c:val>
            <c:numRef>
              <c:f>[2]VBT!$H$4:$H$24</c:f>
              <c:numCache>
                <c:formatCode>General</c:formatCode>
                <c:ptCount val="21"/>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numCache>
            </c:numRef>
          </c:val>
          <c:smooth val="0"/>
          <c:extLst>
            <c:ext xmlns:c16="http://schemas.microsoft.com/office/drawing/2014/chart" uri="{C3380CC4-5D6E-409C-BE32-E72D297353CC}">
              <c16:uniqueId val="{00000002-CD81-9B46-99F3-8E154B0B660B}"/>
            </c:ext>
          </c:extLst>
        </c:ser>
        <c:ser>
          <c:idx val="3"/>
          <c:order val="3"/>
          <c:tx>
            <c:strRef>
              <c:f>[2]VBT!$I$2</c:f>
              <c:strCache>
                <c:ptCount val="1"/>
                <c:pt idx="0">
                  <c:v>0</c:v>
                </c:pt>
              </c:strCache>
            </c:strRef>
          </c:tx>
          <c:spPr>
            <a:ln w="28575" cap="rnd">
              <a:solidFill>
                <a:schemeClr val="bg1">
                  <a:lumMod val="50000"/>
                </a:schemeClr>
              </a:solidFill>
              <a:prstDash val="sysDot"/>
              <a:round/>
            </a:ln>
            <a:effectLst/>
          </c:spPr>
          <c:marker>
            <c:symbol val="circle"/>
            <c:size val="7"/>
            <c:spPr>
              <a:solidFill>
                <a:schemeClr val="bg1">
                  <a:lumMod val="50000"/>
                </a:schemeClr>
              </a:solidFill>
              <a:ln w="19050">
                <a:solidFill>
                  <a:schemeClr val="bg1">
                    <a:lumMod val="50000"/>
                  </a:schemeClr>
                </a:solidFill>
              </a:ln>
              <a:effectLst/>
            </c:spPr>
          </c:marker>
          <c:dPt>
            <c:idx val="5"/>
            <c:marker>
              <c:symbol val="circle"/>
              <c:size val="7"/>
              <c:spPr>
                <a:solidFill>
                  <a:schemeClr val="bg1">
                    <a:lumMod val="50000"/>
                  </a:schemeClr>
                </a:solidFill>
                <a:ln w="19050">
                  <a:solidFill>
                    <a:schemeClr val="bg1">
                      <a:lumMod val="50000"/>
                    </a:schemeClr>
                  </a:solidFill>
                </a:ln>
                <a:effectLst/>
              </c:spPr>
            </c:marker>
            <c:bubble3D val="0"/>
            <c:spPr>
              <a:ln w="28575" cap="rnd">
                <a:solidFill>
                  <a:schemeClr val="bg1">
                    <a:lumMod val="50000"/>
                    <a:alpha val="65000"/>
                  </a:schemeClr>
                </a:solidFill>
                <a:prstDash val="sysDot"/>
                <a:round/>
              </a:ln>
              <a:effectLst/>
            </c:spPr>
            <c:extLst>
              <c:ext xmlns:c16="http://schemas.microsoft.com/office/drawing/2014/chart" uri="{C3380CC4-5D6E-409C-BE32-E72D297353CC}">
                <c16:uniqueId val="{00000004-CD81-9B46-99F3-8E154B0B660B}"/>
              </c:ext>
            </c:extLst>
          </c:dPt>
          <c:dLbls>
            <c:delete val="1"/>
          </c:dLbls>
          <c:cat>
            <c:numRef>
              <c:f>[2]VBT!$C$4:$C$24</c:f>
              <c:numCache>
                <c:formatCode>General</c:formatCode>
                <c:ptCount val="21"/>
                <c:pt idx="0">
                  <c:v>40</c:v>
                </c:pt>
                <c:pt idx="1">
                  <c:v>45</c:v>
                </c:pt>
                <c:pt idx="2">
                  <c:v>50</c:v>
                </c:pt>
                <c:pt idx="3">
                  <c:v>55</c:v>
                </c:pt>
                <c:pt idx="4">
                  <c:v>60</c:v>
                </c:pt>
                <c:pt idx="5">
                  <c:v>65</c:v>
                </c:pt>
                <c:pt idx="6">
                  <c:v>70</c:v>
                </c:pt>
                <c:pt idx="7">
                  <c:v>75</c:v>
                </c:pt>
                <c:pt idx="8">
                  <c:v>80</c:v>
                </c:pt>
                <c:pt idx="9">
                  <c:v>85</c:v>
                </c:pt>
                <c:pt idx="10">
                  <c:v>90</c:v>
                </c:pt>
                <c:pt idx="11">
                  <c:v>95</c:v>
                </c:pt>
                <c:pt idx="12">
                  <c:v>100</c:v>
                </c:pt>
                <c:pt idx="13">
                  <c:v>105</c:v>
                </c:pt>
                <c:pt idx="14">
                  <c:v>110</c:v>
                </c:pt>
                <c:pt idx="15">
                  <c:v>115</c:v>
                </c:pt>
                <c:pt idx="16">
                  <c:v>120</c:v>
                </c:pt>
                <c:pt idx="17">
                  <c:v>125</c:v>
                </c:pt>
                <c:pt idx="18">
                  <c:v>130</c:v>
                </c:pt>
                <c:pt idx="19">
                  <c:v>135</c:v>
                </c:pt>
                <c:pt idx="20">
                  <c:v>140</c:v>
                </c:pt>
              </c:numCache>
            </c:numRef>
          </c:cat>
          <c:val>
            <c:numRef>
              <c:f>[2]VBT!$I$4:$I$24</c:f>
              <c:numCache>
                <c:formatCode>General</c:formatCode>
                <c:ptCount val="21"/>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numCache>
            </c:numRef>
          </c:val>
          <c:smooth val="0"/>
          <c:extLst>
            <c:ext xmlns:c16="http://schemas.microsoft.com/office/drawing/2014/chart" uri="{C3380CC4-5D6E-409C-BE32-E72D297353CC}">
              <c16:uniqueId val="{00000005-CD81-9B46-99F3-8E154B0B660B}"/>
            </c:ext>
          </c:extLst>
        </c:ser>
        <c:dLbls>
          <c:showLegendKey val="0"/>
          <c:showVal val="1"/>
          <c:showCatName val="0"/>
          <c:showSerName val="0"/>
          <c:showPercent val="0"/>
          <c:showBubbleSize val="0"/>
        </c:dLbls>
        <c:marker val="1"/>
        <c:smooth val="0"/>
        <c:axId val="-1623797936"/>
        <c:axId val="-1625419424"/>
      </c:lineChart>
      <c:catAx>
        <c:axId val="-1623797936"/>
        <c:scaling>
          <c:orientation val="minMax"/>
        </c:scaling>
        <c:delete val="0"/>
        <c:axPos val="b"/>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600" b="1"/>
                  <a:t>Load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625419424"/>
        <c:crosses val="autoZero"/>
        <c:auto val="1"/>
        <c:lblAlgn val="ctr"/>
        <c:lblOffset val="100"/>
        <c:noMultiLvlLbl val="0"/>
      </c:catAx>
      <c:valAx>
        <c:axId val="-16254194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sz="1600" b="1"/>
                  <a:t>Mean Set Velocity</a:t>
                </a:r>
                <a:r>
                  <a:rPr lang="en-US" sz="1600" b="1" baseline="0"/>
                  <a:t> (m/s)</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623797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span"/>
    <c:showDLblsOverMax val="0"/>
    <c:extLst>
      <c:ext xmlns:c16r3="http://schemas.microsoft.com/office/drawing/2017/03/chart" uri="{56B9EC1D-385E-4148-901F-78D8002777C0}">
        <c16r3:dataDisplayOptions16>
          <c16r3:dispNaAsBlank val="1"/>
        </c16r3:dataDisplayOptions16>
      </c:ext>
    </c:extLst>
  </c:chart>
  <c:spPr>
    <a:solidFill>
      <a:schemeClr val="bg1"/>
    </a:solidFill>
    <a:ln w="38100"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marker"/>
        <c:varyColors val="0"/>
        <c:ser>
          <c:idx val="0"/>
          <c:order val="0"/>
          <c:tx>
            <c:strRef>
              <c:f>'1'!$CE$197</c:f>
              <c:strCache>
                <c:ptCount val="1"/>
              </c:strCache>
            </c:strRef>
          </c:tx>
          <c:spPr>
            <a:ln w="28575" cap="rnd">
              <a:solidFill>
                <a:schemeClr val="accent4">
                  <a:lumMod val="60000"/>
                  <a:lumOff val="40000"/>
                </a:schemeClr>
              </a:solidFill>
              <a:round/>
            </a:ln>
            <a:effectLst/>
          </c:spPr>
          <c:marker>
            <c:symbol val="none"/>
          </c:marker>
          <c:cat>
            <c:strRef>
              <c:f>'1'!$CF$198:$CF$201</c:f>
              <c:strCache>
                <c:ptCount val="4"/>
                <c:pt idx="0">
                  <c:v>K2W</c:v>
                </c:pt>
                <c:pt idx="1">
                  <c:v>ASLR</c:v>
                </c:pt>
                <c:pt idx="2">
                  <c:v>FABER</c:v>
                </c:pt>
                <c:pt idx="3">
                  <c:v>TPI T-Spine</c:v>
                </c:pt>
              </c:strCache>
            </c:strRef>
          </c:cat>
          <c:val>
            <c:numRef>
              <c:f>'1'!$CG$198:$CG$201</c:f>
              <c:numCache>
                <c:formatCode>0</c:formatCode>
                <c:ptCount val="4"/>
                <c:pt idx="0">
                  <c:v>100</c:v>
                </c:pt>
                <c:pt idx="1">
                  <c:v>100</c:v>
                </c:pt>
                <c:pt idx="2">
                  <c:v>100</c:v>
                </c:pt>
                <c:pt idx="3">
                  <c:v>93.333333333333329</c:v>
                </c:pt>
              </c:numCache>
            </c:numRef>
          </c:val>
          <c:extLst>
            <c:ext xmlns:c16="http://schemas.microsoft.com/office/drawing/2014/chart" uri="{C3380CC4-5D6E-409C-BE32-E72D297353CC}">
              <c16:uniqueId val="{00000000-813F-6042-8E7C-BD565BDF7DE5}"/>
            </c:ext>
          </c:extLst>
        </c:ser>
        <c:dLbls>
          <c:showLegendKey val="0"/>
          <c:showVal val="0"/>
          <c:showCatName val="0"/>
          <c:showSerName val="0"/>
          <c:showPercent val="0"/>
          <c:showBubbleSize val="0"/>
        </c:dLbls>
        <c:axId val="1535533504"/>
        <c:axId val="1537390256"/>
      </c:radarChart>
      <c:catAx>
        <c:axId val="1535533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7390256"/>
        <c:crosses val="autoZero"/>
        <c:auto val="1"/>
        <c:lblAlgn val="ctr"/>
        <c:lblOffset val="100"/>
        <c:noMultiLvlLbl val="0"/>
      </c:catAx>
      <c:valAx>
        <c:axId val="1537390256"/>
        <c:scaling>
          <c:orientation val="minMax"/>
          <c:max val="10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55335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'1'!$AY$273:$AY$276</c:f>
              <c:strCache>
                <c:ptCount val="4"/>
                <c:pt idx="0">
                  <c:v>Cycle 1</c:v>
                </c:pt>
                <c:pt idx="1">
                  <c:v>Cycle 2</c:v>
                </c:pt>
                <c:pt idx="2">
                  <c:v>Cyce 3</c:v>
                </c:pt>
                <c:pt idx="3">
                  <c:v>Cycle 4</c:v>
                </c:pt>
              </c:strCache>
            </c:strRef>
          </c:cat>
          <c:val>
            <c:numRef>
              <c:f>'1'!$BZ$213:$CC$213</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00-CDE8-4246-8138-5D7ACFD052CC}"/>
            </c:ext>
          </c:extLst>
        </c:ser>
        <c:ser>
          <c:idx val="1"/>
          <c:order val="1"/>
          <c:invertIfNegative val="0"/>
          <c:dLbls>
            <c:spPr>
              <a:noFill/>
              <a:ln>
                <a:noFill/>
              </a:ln>
              <a:effectLst/>
            </c:spPr>
            <c:txPr>
              <a:bodyPr wrap="square" lIns="38100" tIns="19050" rIns="38100" bIns="19050" anchor="ctr">
                <a:spAutoFit/>
              </a:bodyPr>
              <a:lstStyle/>
              <a:p>
                <a:pPr>
                  <a:defRPr sz="1600"/>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'1'!$AY$273:$AY$276</c:f>
              <c:strCache>
                <c:ptCount val="4"/>
                <c:pt idx="0">
                  <c:v>Cycle 1</c:v>
                </c:pt>
                <c:pt idx="1">
                  <c:v>Cycle 2</c:v>
                </c:pt>
                <c:pt idx="2">
                  <c:v>Cyce 3</c:v>
                </c:pt>
                <c:pt idx="3">
                  <c:v>Cycle 4</c:v>
                </c:pt>
              </c:strCache>
            </c:strRef>
          </c:cat>
          <c:val>
            <c:numRef>
              <c:f>'1'!$BZ$215:$CC$215</c:f>
              <c:numCache>
                <c:formatCode>General</c:formatCode>
                <c:ptCount val="4"/>
                <c:pt idx="0">
                  <c:v>#N/A</c:v>
                </c:pt>
                <c:pt idx="1">
                  <c:v>0</c:v>
                </c:pt>
                <c:pt idx="2">
                  <c:v>0</c:v>
                </c:pt>
                <c:pt idx="3">
                  <c:v>0</c:v>
                </c:pt>
              </c:numCache>
            </c:numRef>
          </c:val>
          <c:extLst>
            <c:ext xmlns:c16="http://schemas.microsoft.com/office/drawing/2014/chart" uri="{C3380CC4-5D6E-409C-BE32-E72D297353CC}">
              <c16:uniqueId val="{00000001-CDE8-4246-8138-5D7ACFD052CC}"/>
            </c:ext>
          </c:extLst>
        </c:ser>
        <c:dLbls>
          <c:showLegendKey val="0"/>
          <c:showVal val="0"/>
          <c:showCatName val="0"/>
          <c:showSerName val="0"/>
          <c:showPercent val="0"/>
          <c:showBubbleSize val="0"/>
        </c:dLbls>
        <c:gapWidth val="219"/>
        <c:overlap val="-24"/>
        <c:axId val="-2023336088"/>
        <c:axId val="-2023339512"/>
      </c:barChart>
      <c:barChart>
        <c:barDir val="col"/>
        <c:grouping val="clustered"/>
        <c:varyColors val="0"/>
        <c:ser>
          <c:idx val="2"/>
          <c:order val="2"/>
          <c:spPr>
            <a:solidFill>
              <a:schemeClr val="bg1">
                <a:lumMod val="50000"/>
                <a:alpha val="26000"/>
              </a:schemeClr>
            </a:solidFill>
          </c:spPr>
          <c:invertIfNegative val="0"/>
          <c:dLbls>
            <c:dLbl>
              <c:idx val="0"/>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DE8-4246-8138-5D7ACFD052CC}"/>
                </c:ext>
              </c:extLst>
            </c:dLbl>
            <c:dLbl>
              <c:idx val="1"/>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DE8-4246-8138-5D7ACFD052CC}"/>
                </c:ext>
              </c:extLst>
            </c:dLbl>
            <c:dLbl>
              <c:idx val="2"/>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DE8-4246-8138-5D7ACFD052CC}"/>
                </c:ext>
              </c:extLst>
            </c:dLbl>
            <c:spPr>
              <a:noFill/>
              <a:ln>
                <a:noFill/>
              </a:ln>
              <a:effectLst/>
            </c:spPr>
            <c:txPr>
              <a:bodyPr wrap="square" lIns="38100" tIns="19050" rIns="38100" bIns="19050" anchor="ctr">
                <a:spAutoFit/>
              </a:bodyPr>
              <a:lstStyle/>
              <a:p>
                <a:pPr>
                  <a:defRPr sz="1800"/>
                </a:pPr>
                <a:endParaRPr lang="en-US"/>
              </a:p>
            </c:txPr>
            <c:dLblPos val="outEnd"/>
            <c:showLegendKey val="0"/>
            <c:showVal val="0"/>
            <c:showCatName val="0"/>
            <c:showSerName val="0"/>
            <c:showPercent val="0"/>
            <c:showBubbleSize val="0"/>
            <c:extLst>
              <c:ext xmlns:c15="http://schemas.microsoft.com/office/drawing/2012/chart" uri="{CE6537A1-D6FC-4f65-9D91-7224C49458BB}">
                <c15:showLeaderLines val="1"/>
              </c:ext>
            </c:extLst>
          </c:dLbls>
          <c:cat>
            <c:strRef>
              <c:f>'1'!$AY$273:$AY$276</c:f>
              <c:strCache>
                <c:ptCount val="4"/>
                <c:pt idx="0">
                  <c:v>Cycle 1</c:v>
                </c:pt>
                <c:pt idx="1">
                  <c:v>Cycle 2</c:v>
                </c:pt>
                <c:pt idx="2">
                  <c:v>Cyce 3</c:v>
                </c:pt>
                <c:pt idx="3">
                  <c:v>Cycle 4</c:v>
                </c:pt>
              </c:strCache>
            </c:strRef>
          </c:cat>
          <c:val>
            <c:numRef>
              <c:f>'1'!$CE$212:$CH$212</c:f>
              <c:numCache>
                <c:formatCode>General</c:formatCode>
                <c:ptCount val="4"/>
                <c:pt idx="0">
                  <c:v>#N/A</c:v>
                </c:pt>
                <c:pt idx="1">
                  <c:v>0</c:v>
                </c:pt>
                <c:pt idx="2">
                  <c:v>0</c:v>
                </c:pt>
                <c:pt idx="3">
                  <c:v>0</c:v>
                </c:pt>
              </c:numCache>
            </c:numRef>
          </c:val>
          <c:extLst>
            <c:ext xmlns:c16="http://schemas.microsoft.com/office/drawing/2014/chart" uri="{C3380CC4-5D6E-409C-BE32-E72D297353CC}">
              <c16:uniqueId val="{00000005-CDE8-4246-8138-5D7ACFD052CC}"/>
            </c:ext>
          </c:extLst>
        </c:ser>
        <c:dLbls>
          <c:showLegendKey val="0"/>
          <c:showVal val="0"/>
          <c:showCatName val="0"/>
          <c:showSerName val="0"/>
          <c:showPercent val="0"/>
          <c:showBubbleSize val="0"/>
        </c:dLbls>
        <c:gapWidth val="100"/>
        <c:overlap val="-18"/>
        <c:axId val="958985039"/>
        <c:axId val="944297359"/>
      </c:barChart>
      <c:catAx>
        <c:axId val="-2023336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2023339512"/>
        <c:crosses val="autoZero"/>
        <c:auto val="1"/>
        <c:lblAlgn val="ctr"/>
        <c:lblOffset val="100"/>
        <c:noMultiLvlLbl val="0"/>
      </c:catAx>
      <c:valAx>
        <c:axId val="-2023339512"/>
        <c:scaling>
          <c:orientation val="minMax"/>
        </c:scaling>
        <c:delete val="1"/>
        <c:axPos val="l"/>
        <c:majorGridlines>
          <c:spPr>
            <a:ln w="9525" cap="flat" cmpd="sng" algn="ctr">
              <a:solidFill>
                <a:schemeClr val="bg2">
                  <a:alpha val="30000"/>
                </a:schemeClr>
              </a:solidFill>
              <a:round/>
            </a:ln>
            <a:effectLst/>
          </c:spPr>
        </c:majorGridlines>
        <c:numFmt formatCode="General" sourceLinked="1"/>
        <c:majorTickMark val="none"/>
        <c:minorTickMark val="none"/>
        <c:tickLblPos val="nextTo"/>
        <c:crossAx val="-2023336088"/>
        <c:crosses val="autoZero"/>
        <c:crossBetween val="between"/>
      </c:valAx>
      <c:valAx>
        <c:axId val="944297359"/>
        <c:scaling>
          <c:orientation val="minMax"/>
        </c:scaling>
        <c:delete val="1"/>
        <c:axPos val="r"/>
        <c:numFmt formatCode="General" sourceLinked="1"/>
        <c:majorTickMark val="out"/>
        <c:minorTickMark val="none"/>
        <c:tickLblPos val="nextTo"/>
        <c:crossAx val="958985039"/>
        <c:crosses val="max"/>
        <c:crossBetween val="between"/>
      </c:valAx>
      <c:catAx>
        <c:axId val="958985039"/>
        <c:scaling>
          <c:orientation val="minMax"/>
        </c:scaling>
        <c:delete val="1"/>
        <c:axPos val="b"/>
        <c:numFmt formatCode="General" sourceLinked="1"/>
        <c:majorTickMark val="out"/>
        <c:minorTickMark val="none"/>
        <c:tickLblPos val="nextTo"/>
        <c:crossAx val="944297359"/>
        <c:crosses val="autoZero"/>
        <c:auto val="1"/>
        <c:lblAlgn val="ctr"/>
        <c:lblOffset val="100"/>
        <c:noMultiLvlLbl val="0"/>
      </c:cat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rgbClr val="00B050"/>
              </a:solidFill>
              <a:ln w="19050">
                <a:solidFill>
                  <a:schemeClr val="lt1"/>
                </a:solidFill>
              </a:ln>
              <a:effectLst/>
            </c:spPr>
            <c:extLst>
              <c:ext xmlns:c16="http://schemas.microsoft.com/office/drawing/2014/chart" uri="{C3380CC4-5D6E-409C-BE32-E72D297353CC}">
                <c16:uniqueId val="{00000001-955C-4B45-A092-BE2CC6EFF572}"/>
              </c:ext>
            </c:extLst>
          </c:dPt>
          <c:dPt>
            <c:idx val="1"/>
            <c:bubble3D val="0"/>
            <c:spPr>
              <a:solidFill>
                <a:srgbClr val="0070C0"/>
              </a:solidFill>
              <a:ln w="19050">
                <a:solidFill>
                  <a:schemeClr val="lt1"/>
                </a:solidFill>
              </a:ln>
              <a:effectLst/>
            </c:spPr>
            <c:extLst>
              <c:ext xmlns:c16="http://schemas.microsoft.com/office/drawing/2014/chart" uri="{C3380CC4-5D6E-409C-BE32-E72D297353CC}">
                <c16:uniqueId val="{00000003-955C-4B45-A092-BE2CC6EFF572}"/>
              </c:ext>
            </c:extLst>
          </c:dPt>
          <c:dPt>
            <c:idx val="2"/>
            <c:bubble3D val="0"/>
            <c:spPr>
              <a:solidFill>
                <a:srgbClr val="FF0000"/>
              </a:solidFill>
              <a:ln w="19050">
                <a:solidFill>
                  <a:schemeClr val="lt1"/>
                </a:solidFill>
              </a:ln>
              <a:effectLst/>
            </c:spPr>
            <c:extLst>
              <c:ext xmlns:c16="http://schemas.microsoft.com/office/drawing/2014/chart" uri="{C3380CC4-5D6E-409C-BE32-E72D297353CC}">
                <c16:uniqueId val="{00000005-955C-4B45-A092-BE2CC6EFF572}"/>
              </c:ext>
            </c:extLst>
          </c:dPt>
          <c:dPt>
            <c:idx val="3"/>
            <c:bubble3D val="0"/>
            <c:spPr>
              <a:solidFill>
                <a:srgbClr val="FFC000"/>
              </a:solidFill>
              <a:ln w="19050">
                <a:solidFill>
                  <a:schemeClr val="lt1"/>
                </a:solidFill>
              </a:ln>
              <a:effectLst/>
            </c:spPr>
            <c:extLst>
              <c:ext xmlns:c16="http://schemas.microsoft.com/office/drawing/2014/chart" uri="{C3380CC4-5D6E-409C-BE32-E72D297353CC}">
                <c16:uniqueId val="{00000007-955C-4B45-A092-BE2CC6EFF572}"/>
              </c:ext>
            </c:extLst>
          </c:dPt>
          <c:dLbls>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'1'!$W$245:$W$248</c:f>
              <c:strCache>
                <c:ptCount val="4"/>
                <c:pt idx="0">
                  <c:v>PE</c:v>
                </c:pt>
                <c:pt idx="1">
                  <c:v>DE</c:v>
                </c:pt>
                <c:pt idx="2">
                  <c:v>ME</c:v>
                </c:pt>
                <c:pt idx="3">
                  <c:v>RE</c:v>
                </c:pt>
              </c:strCache>
            </c:strRef>
          </c:cat>
          <c:val>
            <c:numRef>
              <c:f>'1'!$AZ$245:$AZ$248</c:f>
              <c:numCache>
                <c:formatCode>0</c:formatCode>
                <c:ptCount val="4"/>
                <c:pt idx="0">
                  <c:v>0</c:v>
                </c:pt>
                <c:pt idx="1">
                  <c:v>0</c:v>
                </c:pt>
                <c:pt idx="2">
                  <c:v>0</c:v>
                </c:pt>
                <c:pt idx="3">
                  <c:v>0</c:v>
                </c:pt>
              </c:numCache>
            </c:numRef>
          </c:val>
          <c:extLst>
            <c:ext xmlns:c16="http://schemas.microsoft.com/office/drawing/2014/chart" uri="{C3380CC4-5D6E-409C-BE32-E72D297353CC}">
              <c16:uniqueId val="{00000008-955C-4B45-A092-BE2CC6EFF572}"/>
            </c:ext>
          </c:extLst>
        </c:ser>
        <c:dLbls>
          <c:showLegendKey val="0"/>
          <c:showVal val="0"/>
          <c:showCatName val="0"/>
          <c:showSerName val="0"/>
          <c:showPercent val="0"/>
          <c:showBubbleSize val="0"/>
          <c:showLeaderLines val="1"/>
        </c:dLbls>
        <c:firstSliceAng val="0"/>
      </c:pieChart>
      <c:spPr>
        <a:noFill/>
        <a:ln>
          <a:noFill/>
        </a:ln>
        <a:effectLst/>
      </c:spPr>
    </c:plotArea>
    <c:legend>
      <c:legendPos val="b"/>
      <c:layout>
        <c:manualLayout>
          <c:xMode val="edge"/>
          <c:yMode val="edge"/>
          <c:x val="0.19384022264996512"/>
          <c:y val="0.81847684176017577"/>
          <c:w val="0.60521846339653029"/>
          <c:h val="5.6628799145613543E-2"/>
        </c:manualLayout>
      </c:layout>
      <c:overlay val="0"/>
      <c:spPr>
        <a:noFill/>
        <a:ln>
          <a:noFill/>
        </a:ln>
        <a:effectLst/>
      </c:spPr>
      <c:txPr>
        <a:bodyPr rot="0" spcFirstLastPara="1" vertOverflow="ellipsis" vert="horz" wrap="square" anchor="ctr" anchorCtr="1"/>
        <a:lstStyle/>
        <a:p>
          <a:pPr rtl="0">
            <a:defRPr sz="1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lumMod val="85000"/>
        <a:alpha val="0"/>
      </a:schemeClr>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rgbClr val="00B050"/>
              </a:solidFill>
              <a:ln w="19050">
                <a:solidFill>
                  <a:schemeClr val="lt1"/>
                </a:solidFill>
              </a:ln>
              <a:effectLst/>
            </c:spPr>
            <c:extLst>
              <c:ext xmlns:c16="http://schemas.microsoft.com/office/drawing/2014/chart" uri="{C3380CC4-5D6E-409C-BE32-E72D297353CC}">
                <c16:uniqueId val="{00000001-2285-B240-8F39-48C7166DE4EF}"/>
              </c:ext>
            </c:extLst>
          </c:dPt>
          <c:dPt>
            <c:idx val="1"/>
            <c:bubble3D val="0"/>
            <c:spPr>
              <a:solidFill>
                <a:srgbClr val="0070C0"/>
              </a:solidFill>
              <a:ln w="19050">
                <a:solidFill>
                  <a:schemeClr val="lt1"/>
                </a:solidFill>
              </a:ln>
              <a:effectLst/>
            </c:spPr>
            <c:extLst>
              <c:ext xmlns:c16="http://schemas.microsoft.com/office/drawing/2014/chart" uri="{C3380CC4-5D6E-409C-BE32-E72D297353CC}">
                <c16:uniqueId val="{00000003-2285-B240-8F39-48C7166DE4EF}"/>
              </c:ext>
            </c:extLst>
          </c:dPt>
          <c:dPt>
            <c:idx val="2"/>
            <c:bubble3D val="0"/>
            <c:spPr>
              <a:solidFill>
                <a:srgbClr val="FF0000"/>
              </a:solidFill>
              <a:ln w="19050">
                <a:solidFill>
                  <a:schemeClr val="lt1"/>
                </a:solidFill>
              </a:ln>
              <a:effectLst/>
            </c:spPr>
            <c:extLst>
              <c:ext xmlns:c16="http://schemas.microsoft.com/office/drawing/2014/chart" uri="{C3380CC4-5D6E-409C-BE32-E72D297353CC}">
                <c16:uniqueId val="{00000005-2285-B240-8F39-48C7166DE4EF}"/>
              </c:ext>
            </c:extLst>
          </c:dPt>
          <c:dPt>
            <c:idx val="3"/>
            <c:bubble3D val="0"/>
            <c:spPr>
              <a:solidFill>
                <a:srgbClr val="FFC000"/>
              </a:solidFill>
              <a:ln w="19050">
                <a:solidFill>
                  <a:schemeClr val="lt1"/>
                </a:solidFill>
              </a:ln>
              <a:effectLst/>
            </c:spPr>
            <c:extLst>
              <c:ext xmlns:c16="http://schemas.microsoft.com/office/drawing/2014/chart" uri="{C3380CC4-5D6E-409C-BE32-E72D297353CC}">
                <c16:uniqueId val="{00000007-2285-B240-8F39-48C7166DE4EF}"/>
              </c:ext>
            </c:extLst>
          </c:dPt>
          <c:dLbls>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'1'!$BN$63:$BN$66</c:f>
              <c:strCache>
                <c:ptCount val="4"/>
                <c:pt idx="0">
                  <c:v>PE</c:v>
                </c:pt>
                <c:pt idx="1">
                  <c:v>DE</c:v>
                </c:pt>
                <c:pt idx="2">
                  <c:v>ME</c:v>
                </c:pt>
                <c:pt idx="3">
                  <c:v>RE</c:v>
                </c:pt>
              </c:strCache>
            </c:strRef>
          </c:cat>
          <c:val>
            <c:numRef>
              <c:f>'1'!$BP$103:$BP$106</c:f>
              <c:numCache>
                <c:formatCode>0</c:formatCode>
                <c:ptCount val="4"/>
                <c:pt idx="0">
                  <c:v>#N/A</c:v>
                </c:pt>
                <c:pt idx="1">
                  <c:v>#N/A</c:v>
                </c:pt>
                <c:pt idx="2">
                  <c:v>#N/A</c:v>
                </c:pt>
                <c:pt idx="3">
                  <c:v>#N/A</c:v>
                </c:pt>
              </c:numCache>
            </c:numRef>
          </c:val>
          <c:extLst>
            <c:ext xmlns:c16="http://schemas.microsoft.com/office/drawing/2014/chart" uri="{C3380CC4-5D6E-409C-BE32-E72D297353CC}">
              <c16:uniqueId val="{00000008-2285-B240-8F39-48C7166DE4EF}"/>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1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lumMod val="85000"/>
        <a:alpha val="0"/>
      </a:schemeClr>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rgbClr val="00B050"/>
              </a:solidFill>
              <a:ln w="19050">
                <a:solidFill>
                  <a:schemeClr val="lt1"/>
                </a:solidFill>
              </a:ln>
              <a:effectLst/>
            </c:spPr>
            <c:extLst>
              <c:ext xmlns:c16="http://schemas.microsoft.com/office/drawing/2014/chart" uri="{C3380CC4-5D6E-409C-BE32-E72D297353CC}">
                <c16:uniqueId val="{00000001-2D6D-7B4E-8401-781DB52D09C2}"/>
              </c:ext>
            </c:extLst>
          </c:dPt>
          <c:dPt>
            <c:idx val="1"/>
            <c:bubble3D val="0"/>
            <c:spPr>
              <a:solidFill>
                <a:srgbClr val="0070C0"/>
              </a:solidFill>
              <a:ln w="19050">
                <a:solidFill>
                  <a:schemeClr val="lt1"/>
                </a:solidFill>
              </a:ln>
              <a:effectLst/>
            </c:spPr>
            <c:extLst>
              <c:ext xmlns:c16="http://schemas.microsoft.com/office/drawing/2014/chart" uri="{C3380CC4-5D6E-409C-BE32-E72D297353CC}">
                <c16:uniqueId val="{00000003-2D6D-7B4E-8401-781DB52D09C2}"/>
              </c:ext>
            </c:extLst>
          </c:dPt>
          <c:dPt>
            <c:idx val="2"/>
            <c:bubble3D val="0"/>
            <c:spPr>
              <a:solidFill>
                <a:srgbClr val="FF0000"/>
              </a:solidFill>
              <a:ln w="19050">
                <a:solidFill>
                  <a:schemeClr val="lt1"/>
                </a:solidFill>
              </a:ln>
              <a:effectLst/>
            </c:spPr>
            <c:extLst>
              <c:ext xmlns:c16="http://schemas.microsoft.com/office/drawing/2014/chart" uri="{C3380CC4-5D6E-409C-BE32-E72D297353CC}">
                <c16:uniqueId val="{00000005-2D6D-7B4E-8401-781DB52D09C2}"/>
              </c:ext>
            </c:extLst>
          </c:dPt>
          <c:dPt>
            <c:idx val="3"/>
            <c:bubble3D val="0"/>
            <c:spPr>
              <a:solidFill>
                <a:srgbClr val="FFC000"/>
              </a:solidFill>
              <a:ln w="19050">
                <a:solidFill>
                  <a:schemeClr val="lt1"/>
                </a:solidFill>
              </a:ln>
              <a:effectLst/>
            </c:spPr>
            <c:extLst>
              <c:ext xmlns:c16="http://schemas.microsoft.com/office/drawing/2014/chart" uri="{C3380CC4-5D6E-409C-BE32-E72D297353CC}">
                <c16:uniqueId val="{00000007-2D6D-7B4E-8401-781DB52D09C2}"/>
              </c:ext>
            </c:extLst>
          </c:dPt>
          <c:dLbls>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'[2]4L-WU1-9P'!$BN$65:$BN$68</c:f>
              <c:strCache>
                <c:ptCount val="4"/>
                <c:pt idx="0">
                  <c:v>PE</c:v>
                </c:pt>
                <c:pt idx="1">
                  <c:v>DE</c:v>
                </c:pt>
                <c:pt idx="2">
                  <c:v>ME</c:v>
                </c:pt>
                <c:pt idx="3">
                  <c:v>RE</c:v>
                </c:pt>
              </c:strCache>
            </c:strRef>
          </c:cat>
          <c:val>
            <c:numRef>
              <c:f>'[2]4L-WU1-9P'!$BP$65:$BP$68</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08-2D6D-7B4E-8401-781DB52D09C2}"/>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1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lumMod val="85000"/>
        <a:alpha val="0"/>
      </a:schemeClr>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chart" Target="../charts/chart1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s>
</file>

<file path=xl/drawings/_rels/vmlDrawing1.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64</xdr:col>
      <xdr:colOff>156482</xdr:colOff>
      <xdr:row>66</xdr:row>
      <xdr:rowOff>168088</xdr:rowOff>
    </xdr:from>
    <xdr:to>
      <xdr:col>69</xdr:col>
      <xdr:colOff>40822</xdr:colOff>
      <xdr:row>80</xdr:row>
      <xdr:rowOff>295138</xdr:rowOff>
    </xdr:to>
    <xdr:graphicFrame macro="">
      <xdr:nvGraphicFramePr>
        <xdr:cNvPr id="2" name="Chart 1">
          <a:extLst>
            <a:ext uri="{FF2B5EF4-FFF2-40B4-BE49-F238E27FC236}">
              <a16:creationId xmlns:a16="http://schemas.microsoft.com/office/drawing/2014/main" id="{25499934-616C-784C-9415-175495125A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64</xdr:col>
      <xdr:colOff>167821</xdr:colOff>
      <xdr:row>87</xdr:row>
      <xdr:rowOff>15876</xdr:rowOff>
    </xdr:from>
    <xdr:to>
      <xdr:col>69</xdr:col>
      <xdr:colOff>52161</xdr:colOff>
      <xdr:row>100</xdr:row>
      <xdr:rowOff>226787</xdr:rowOff>
    </xdr:to>
    <xdr:graphicFrame macro="">
      <xdr:nvGraphicFramePr>
        <xdr:cNvPr id="3" name="Chart 2">
          <a:extLst>
            <a:ext uri="{FF2B5EF4-FFF2-40B4-BE49-F238E27FC236}">
              <a16:creationId xmlns:a16="http://schemas.microsoft.com/office/drawing/2014/main" id="{2D9FC41E-F0E7-804A-87A6-AAAE476F58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318994</xdr:colOff>
      <xdr:row>235</xdr:row>
      <xdr:rowOff>66046</xdr:rowOff>
    </xdr:from>
    <xdr:to>
      <xdr:col>28</xdr:col>
      <xdr:colOff>18477</xdr:colOff>
      <xdr:row>244</xdr:row>
      <xdr:rowOff>207387</xdr:rowOff>
    </xdr:to>
    <xdr:graphicFrame macro="">
      <xdr:nvGraphicFramePr>
        <xdr:cNvPr id="4" name="Chart 3">
          <a:extLst>
            <a:ext uri="{FF2B5EF4-FFF2-40B4-BE49-F238E27FC236}">
              <a16:creationId xmlns:a16="http://schemas.microsoft.com/office/drawing/2014/main" id="{2D216661-DDE5-9546-AA09-23274D7350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29</xdr:col>
      <xdr:colOff>252639</xdr:colOff>
      <xdr:row>235</xdr:row>
      <xdr:rowOff>476257</xdr:rowOff>
    </xdr:from>
    <xdr:to>
      <xdr:col>36</xdr:col>
      <xdr:colOff>269623</xdr:colOff>
      <xdr:row>244</xdr:row>
      <xdr:rowOff>110879</xdr:rowOff>
    </xdr:to>
    <xdr:graphicFrame macro="">
      <xdr:nvGraphicFramePr>
        <xdr:cNvPr id="5" name="Chart 4">
          <a:extLst>
            <a:ext uri="{FF2B5EF4-FFF2-40B4-BE49-F238E27FC236}">
              <a16:creationId xmlns:a16="http://schemas.microsoft.com/office/drawing/2014/main" id="{765B7133-4442-5040-BF52-B01E562B4E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47</xdr:col>
      <xdr:colOff>199068</xdr:colOff>
      <xdr:row>235</xdr:row>
      <xdr:rowOff>528921</xdr:rowOff>
    </xdr:from>
    <xdr:to>
      <xdr:col>55</xdr:col>
      <xdr:colOff>195742</xdr:colOff>
      <xdr:row>244</xdr:row>
      <xdr:rowOff>156236</xdr:rowOff>
    </xdr:to>
    <xdr:graphicFrame macro="">
      <xdr:nvGraphicFramePr>
        <xdr:cNvPr id="6" name="Chart 5">
          <a:extLst>
            <a:ext uri="{FF2B5EF4-FFF2-40B4-BE49-F238E27FC236}">
              <a16:creationId xmlns:a16="http://schemas.microsoft.com/office/drawing/2014/main" id="{0A6DEA4D-EA03-9C40-A0F5-C1DE17AFB8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310745</xdr:colOff>
      <xdr:row>253</xdr:row>
      <xdr:rowOff>291346</xdr:rowOff>
    </xdr:from>
    <xdr:to>
      <xdr:col>38</xdr:col>
      <xdr:colOff>152400</xdr:colOff>
      <xdr:row>281</xdr:row>
      <xdr:rowOff>101600</xdr:rowOff>
    </xdr:to>
    <xdr:graphicFrame macro="">
      <xdr:nvGraphicFramePr>
        <xdr:cNvPr id="7" name="Chart 6">
          <a:extLst>
            <a:ext uri="{FF2B5EF4-FFF2-40B4-BE49-F238E27FC236}">
              <a16:creationId xmlns:a16="http://schemas.microsoft.com/office/drawing/2014/main" id="{9759D715-9EDF-AD4F-BE38-D9FC06BDE1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38</xdr:col>
      <xdr:colOff>439734</xdr:colOff>
      <xdr:row>235</xdr:row>
      <xdr:rowOff>489980</xdr:rowOff>
    </xdr:from>
    <xdr:to>
      <xdr:col>45</xdr:col>
      <xdr:colOff>226786</xdr:colOff>
      <xdr:row>244</xdr:row>
      <xdr:rowOff>185056</xdr:rowOff>
    </xdr:to>
    <xdr:graphicFrame macro="">
      <xdr:nvGraphicFramePr>
        <xdr:cNvPr id="8" name="Chart 7">
          <a:extLst>
            <a:ext uri="{FF2B5EF4-FFF2-40B4-BE49-F238E27FC236}">
              <a16:creationId xmlns:a16="http://schemas.microsoft.com/office/drawing/2014/main" id="{61A933C1-1750-7A4A-9A2B-37B30FACC3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38</xdr:col>
      <xdr:colOff>368241</xdr:colOff>
      <xdr:row>253</xdr:row>
      <xdr:rowOff>273653</xdr:rowOff>
    </xdr:from>
    <xdr:to>
      <xdr:col>56</xdr:col>
      <xdr:colOff>203200</xdr:colOff>
      <xdr:row>281</xdr:row>
      <xdr:rowOff>101600</xdr:rowOff>
    </xdr:to>
    <xdr:graphicFrame macro="">
      <xdr:nvGraphicFramePr>
        <xdr:cNvPr id="9" name="Chart 8">
          <a:extLst>
            <a:ext uri="{FF2B5EF4-FFF2-40B4-BE49-F238E27FC236}">
              <a16:creationId xmlns:a16="http://schemas.microsoft.com/office/drawing/2014/main" id="{11D1478E-3E66-A34A-B280-F4DB98287F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81</xdr:col>
      <xdr:colOff>13512</xdr:colOff>
      <xdr:row>203</xdr:row>
      <xdr:rowOff>216170</xdr:rowOff>
    </xdr:from>
    <xdr:to>
      <xdr:col>86</xdr:col>
      <xdr:colOff>689082</xdr:colOff>
      <xdr:row>208</xdr:row>
      <xdr:rowOff>391804</xdr:rowOff>
    </xdr:to>
    <xdr:graphicFrame macro="">
      <xdr:nvGraphicFramePr>
        <xdr:cNvPr id="10" name="Chart 9">
          <a:extLst>
            <a:ext uri="{FF2B5EF4-FFF2-40B4-BE49-F238E27FC236}">
              <a16:creationId xmlns:a16="http://schemas.microsoft.com/office/drawing/2014/main" id="{8EFBB125-1E74-F843-9811-B954E8A6A8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65</xdr:col>
      <xdr:colOff>1</xdr:colOff>
      <xdr:row>203</xdr:row>
      <xdr:rowOff>397926</xdr:rowOff>
    </xdr:from>
    <xdr:to>
      <xdr:col>74</xdr:col>
      <xdr:colOff>431801</xdr:colOff>
      <xdr:row>214</xdr:row>
      <xdr:rowOff>400763</xdr:rowOff>
    </xdr:to>
    <xdr:graphicFrame macro="">
      <xdr:nvGraphicFramePr>
        <xdr:cNvPr id="11" name="Chart 10">
          <a:extLst>
            <a:ext uri="{FF2B5EF4-FFF2-40B4-BE49-F238E27FC236}">
              <a16:creationId xmlns:a16="http://schemas.microsoft.com/office/drawing/2014/main" id="{C1504CB1-7909-824C-8BBB-B67061F64F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81</xdr:col>
      <xdr:colOff>69776</xdr:colOff>
      <xdr:row>194</xdr:row>
      <xdr:rowOff>9926</xdr:rowOff>
    </xdr:from>
    <xdr:to>
      <xdr:col>87</xdr:col>
      <xdr:colOff>425376</xdr:colOff>
      <xdr:row>202</xdr:row>
      <xdr:rowOff>386254</xdr:rowOff>
    </xdr:to>
    <xdr:graphicFrame macro="">
      <xdr:nvGraphicFramePr>
        <xdr:cNvPr id="12" name="Chart 11">
          <a:extLst>
            <a:ext uri="{FF2B5EF4-FFF2-40B4-BE49-F238E27FC236}">
              <a16:creationId xmlns:a16="http://schemas.microsoft.com/office/drawing/2014/main" id="{1745E236-F508-0D4F-B030-1D6F10A605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81</xdr:col>
      <xdr:colOff>27021</xdr:colOff>
      <xdr:row>208</xdr:row>
      <xdr:rowOff>378298</xdr:rowOff>
    </xdr:from>
    <xdr:to>
      <xdr:col>87</xdr:col>
      <xdr:colOff>0</xdr:colOff>
      <xdr:row>214</xdr:row>
      <xdr:rowOff>378299</xdr:rowOff>
    </xdr:to>
    <xdr:graphicFrame macro="">
      <xdr:nvGraphicFramePr>
        <xdr:cNvPr id="13" name="Chart 12">
          <a:extLst>
            <a:ext uri="{FF2B5EF4-FFF2-40B4-BE49-F238E27FC236}">
              <a16:creationId xmlns:a16="http://schemas.microsoft.com/office/drawing/2014/main" id="{DC113435-2D99-A641-9761-CB85DA4C8B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56</xdr:col>
      <xdr:colOff>0</xdr:colOff>
      <xdr:row>235</xdr:row>
      <xdr:rowOff>528921</xdr:rowOff>
    </xdr:from>
    <xdr:to>
      <xdr:col>56</xdr:col>
      <xdr:colOff>195742</xdr:colOff>
      <xdr:row>244</xdr:row>
      <xdr:rowOff>156236</xdr:rowOff>
    </xdr:to>
    <xdr:graphicFrame macro="">
      <xdr:nvGraphicFramePr>
        <xdr:cNvPr id="14" name="Chart 13">
          <a:extLst>
            <a:ext uri="{FF2B5EF4-FFF2-40B4-BE49-F238E27FC236}">
              <a16:creationId xmlns:a16="http://schemas.microsoft.com/office/drawing/2014/main" id="{42430A28-2C19-4A44-B4DB-86E3F89D96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64</xdr:col>
      <xdr:colOff>77106</xdr:colOff>
      <xdr:row>106</xdr:row>
      <xdr:rowOff>310697</xdr:rowOff>
    </xdr:from>
    <xdr:to>
      <xdr:col>68</xdr:col>
      <xdr:colOff>664481</xdr:colOff>
      <xdr:row>119</xdr:row>
      <xdr:rowOff>101600</xdr:rowOff>
    </xdr:to>
    <xdr:graphicFrame macro="">
      <xdr:nvGraphicFramePr>
        <xdr:cNvPr id="15" name="Chart 14">
          <a:extLst>
            <a:ext uri="{FF2B5EF4-FFF2-40B4-BE49-F238E27FC236}">
              <a16:creationId xmlns:a16="http://schemas.microsoft.com/office/drawing/2014/main" id="{03F46396-D7F5-7346-8E19-CD282145D5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64</xdr:col>
      <xdr:colOff>156482</xdr:colOff>
      <xdr:row>134</xdr:row>
      <xdr:rowOff>168088</xdr:rowOff>
    </xdr:from>
    <xdr:to>
      <xdr:col>69</xdr:col>
      <xdr:colOff>40822</xdr:colOff>
      <xdr:row>148</xdr:row>
      <xdr:rowOff>295138</xdr:rowOff>
    </xdr:to>
    <xdr:graphicFrame macro="">
      <xdr:nvGraphicFramePr>
        <xdr:cNvPr id="16" name="Chart 15">
          <a:extLst>
            <a:ext uri="{FF2B5EF4-FFF2-40B4-BE49-F238E27FC236}">
              <a16:creationId xmlns:a16="http://schemas.microsoft.com/office/drawing/2014/main" id="{F767C0A9-A8E2-1C4A-AA56-36998369B3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uvic-my.sharepoint.com/personal/akates_uvic_ca/Documents/Freestyle/Moguls/MogulsPrograms/2025-2026/14.Xmas2025/14.Xmas-2025.xlsx" TargetMode="External"/><Relationship Id="rId1" Type="http://schemas.openxmlformats.org/officeDocument/2006/relationships/externalLinkPath" Target="https://uvic-my.sharepoint.com/personal/akates_uvic_ca/Documents/Freestyle/Moguls/MogulsPrograms/2025-2026/14.Xmas2025/14.Xmas-2025.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csip-my.sharepoint.com/personal/akates_csipacific_ca/Documents/CSI-Pacific-RTP/physical_training_programs/Berk.xlsx" TargetMode="External"/><Relationship Id="rId1" Type="http://schemas.openxmlformats.org/officeDocument/2006/relationships/externalLinkPath" Target="Berk.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ESD"/>
      <sheetName val="Mob"/>
      <sheetName val="ytp"/>
      <sheetName val="Cond2"/>
      <sheetName val="ExerciseInventory"/>
      <sheetName val="ControlPanel"/>
      <sheetName val="RMs"/>
      <sheetName val="Sched"/>
      <sheetName val="Spike"/>
      <sheetName val="T-Core"/>
      <sheetName val="VBT"/>
      <sheetName val="T-2L"/>
      <sheetName val="WarmUp (3)"/>
      <sheetName val="T-2L-2023"/>
      <sheetName val="T-3L"/>
      <sheetName val="T-3L-2023"/>
      <sheetName val="T-4L"/>
      <sheetName val="Plyo"/>
      <sheetName val="T-R-2L"/>
      <sheetName val="T-R-3L"/>
      <sheetName val="Cond"/>
      <sheetName val="1"/>
      <sheetName val="2"/>
      <sheetName val="1.Spring2023"/>
      <sheetName val="T-4L-2023"/>
      <sheetName val="4L-WU1-9P"/>
      <sheetName val="2.May2023"/>
      <sheetName val="3.Jun2023"/>
      <sheetName val="4.Jul2023"/>
      <sheetName val="5.Aug2023-W"/>
      <sheetName val="5.Aug2023-E"/>
      <sheetName val="6.Sep2023-W"/>
      <sheetName val="6.Sep2023-E"/>
      <sheetName val="7.Chile"/>
      <sheetName val="8a.Oct"/>
      <sheetName val="8b.Idre"/>
      <sheetName val="10.Xmas"/>
      <sheetName val="11.WC2"/>
      <sheetName val="4L-WU1-8P"/>
      <sheetName val="2L-WU1-8P"/>
      <sheetName val="2L-WU2"/>
      <sheetName val="3"/>
      <sheetName val="4"/>
      <sheetName val="5.Tignes"/>
      <sheetName val="6"/>
      <sheetName val="7"/>
      <sheetName val="8.WR"/>
      <sheetName val="9.Chile"/>
      <sheetName val="10"/>
      <sheetName val="11.Idre"/>
      <sheetName val="12"/>
      <sheetName val="3L-WU2"/>
      <sheetName val="3L-WU1-8P"/>
      <sheetName val="4L-WU2"/>
      <sheetName val="3L-R"/>
      <sheetName val="5L-R"/>
      <sheetName val="3L-WU2-6P"/>
      <sheetName val="13.WC1"/>
      <sheetName val="14.Xmas"/>
      <sheetName val="MS"/>
      <sheetName val="9.WC1"/>
      <sheetName val="4b.August"/>
      <sheetName val="10.WC1"/>
      <sheetName val="T-R-4L"/>
    </sheetNames>
    <sheetDataSet>
      <sheetData sheetId="0"/>
      <sheetData sheetId="1"/>
      <sheetData sheetId="2">
        <row r="166">
          <cell r="G166" t="str">
            <v>Week 2</v>
          </cell>
        </row>
      </sheetData>
      <sheetData sheetId="3"/>
      <sheetData sheetId="4">
        <row r="2">
          <cell r="A2" t="str">
            <v>Exercise Categories</v>
          </cell>
        </row>
        <row r="3">
          <cell r="BX3" t="str">
            <v>Hurdles</v>
          </cell>
        </row>
        <row r="4">
          <cell r="A4" t="str">
            <v>PrimaryExplosive</v>
          </cell>
          <cell r="H4" t="str">
            <v>Anterior Core Stabilty</v>
          </cell>
          <cell r="Q4" t="str">
            <v>HIP MOBILITY</v>
          </cell>
          <cell r="W4" t="str">
            <v>Core 1</v>
          </cell>
          <cell r="X4" t="str">
            <v/>
          </cell>
          <cell r="Y4" t="str">
            <v>Rev. Plank Walk w/ slider (NEW)</v>
          </cell>
          <cell r="Z4" t="str">
            <v>push feet back, then walk hands back</v>
          </cell>
          <cell r="AA4">
            <v>6</v>
          </cell>
          <cell r="AB4">
            <v>6</v>
          </cell>
          <cell r="AC4">
            <v>6</v>
          </cell>
          <cell r="AD4">
            <v>7</v>
          </cell>
          <cell r="AE4">
            <v>7</v>
          </cell>
          <cell r="AF4">
            <v>7</v>
          </cell>
          <cell r="AG4">
            <v>8</v>
          </cell>
          <cell r="AH4">
            <v>8</v>
          </cell>
          <cell r="AI4">
            <v>8</v>
          </cell>
          <cell r="AJ4">
            <v>8</v>
          </cell>
          <cell r="AQ4" t="str">
            <v>LIFTS</v>
          </cell>
          <cell r="AR4" t="str">
            <v>MOBILITY</v>
          </cell>
          <cell r="BB4">
            <v>1</v>
          </cell>
          <cell r="BC4" t="str">
            <v>:02 ECC</v>
          </cell>
          <cell r="BE4">
            <v>6</v>
          </cell>
          <cell r="BF4" t="str">
            <v>BB</v>
          </cell>
          <cell r="BX4" t="str">
            <v>Balance</v>
          </cell>
        </row>
        <row r="5">
          <cell r="A5" t="str">
            <v>PrimaryUpper</v>
          </cell>
          <cell r="H5" t="str">
            <v>Resist Excessive L-spine Ext</v>
          </cell>
          <cell r="Y5" t="str">
            <v>Standing Cable Rotation</v>
          </cell>
          <cell r="Z5" t="str">
            <v>Slow and full range of motion</v>
          </cell>
          <cell r="AA5" t="str">
            <v>6/s</v>
          </cell>
          <cell r="AB5">
            <v>6</v>
          </cell>
          <cell r="AC5">
            <v>6</v>
          </cell>
          <cell r="AD5">
            <v>7</v>
          </cell>
          <cell r="AE5">
            <v>7</v>
          </cell>
          <cell r="AF5">
            <v>7</v>
          </cell>
          <cell r="AG5">
            <v>8</v>
          </cell>
          <cell r="AH5">
            <v>8</v>
          </cell>
          <cell r="AI5">
            <v>8</v>
          </cell>
          <cell r="AJ5">
            <v>8</v>
          </cell>
          <cell r="AQ5" t="str">
            <v>Power Clean</v>
          </cell>
          <cell r="AR5" t="str">
            <v>K2W</v>
          </cell>
          <cell r="BB5" t="str">
            <v>1A</v>
          </cell>
          <cell r="BC5" t="str">
            <v>:03 ECC</v>
          </cell>
          <cell r="BE5">
            <v>8</v>
          </cell>
          <cell r="BF5" t="str">
            <v>BB OH</v>
          </cell>
          <cell r="BX5" t="str">
            <v>Yoga</v>
          </cell>
        </row>
        <row r="6">
          <cell r="A6" t="str">
            <v>PrimaryLower</v>
          </cell>
          <cell r="H6" t="str">
            <v>Plank</v>
          </cell>
          <cell r="Q6" t="str">
            <v>Deep Squat Hold</v>
          </cell>
          <cell r="Y6" t="str">
            <v>Standing Side Bends - KB + Band</v>
          </cell>
          <cell r="Z6" t="str">
            <v>legs straight, hips don't move</v>
          </cell>
          <cell r="AA6" t="str">
            <v>12/s</v>
          </cell>
          <cell r="AB6">
            <v>12</v>
          </cell>
          <cell r="AC6">
            <v>12</v>
          </cell>
          <cell r="AD6">
            <v>12</v>
          </cell>
          <cell r="AE6">
            <v>12</v>
          </cell>
          <cell r="AF6">
            <v>12</v>
          </cell>
          <cell r="AG6">
            <v>12</v>
          </cell>
          <cell r="AH6">
            <v>12</v>
          </cell>
          <cell r="AI6">
            <v>12</v>
          </cell>
          <cell r="AJ6">
            <v>12</v>
          </cell>
          <cell r="AQ6" t="str">
            <v>Jerk</v>
          </cell>
          <cell r="AR6" t="str">
            <v>ASLR</v>
          </cell>
          <cell r="BB6" t="str">
            <v>1B</v>
          </cell>
          <cell r="BC6" t="str">
            <v>:04 ECC</v>
          </cell>
          <cell r="BE6">
            <v>10</v>
          </cell>
          <cell r="BF6" t="str">
            <v>DB</v>
          </cell>
          <cell r="BX6" t="str">
            <v>Mobility</v>
          </cell>
        </row>
        <row r="7">
          <cell r="A7" t="str">
            <v>AccessoryUpper</v>
          </cell>
          <cell r="H7" t="str">
            <v>Plank w/ Alt. Shoulder Taps</v>
          </cell>
          <cell r="Q7" t="str">
            <v>Deep Squat + Hip ER</v>
          </cell>
          <cell r="W7" t="str">
            <v>Core 2</v>
          </cell>
          <cell r="X7" t="str">
            <v/>
          </cell>
          <cell r="Y7" t="str">
            <v>Side Plank w/ DB Reach (heavy-ish)</v>
          </cell>
          <cell r="Z7" t="str">
            <v>rotate down slightly at bottom, keep tension</v>
          </cell>
          <cell r="AA7" t="str">
            <v>8/s</v>
          </cell>
          <cell r="AB7">
            <v>8</v>
          </cell>
          <cell r="AC7">
            <v>8</v>
          </cell>
          <cell r="AD7">
            <v>9</v>
          </cell>
          <cell r="AE7">
            <v>9</v>
          </cell>
          <cell r="AF7">
            <v>9</v>
          </cell>
          <cell r="AG7">
            <v>10</v>
          </cell>
          <cell r="AH7">
            <v>10</v>
          </cell>
          <cell r="AI7">
            <v>10</v>
          </cell>
          <cell r="AJ7">
            <v>10</v>
          </cell>
          <cell r="AQ7" t="str">
            <v>Snatch</v>
          </cell>
          <cell r="AR7" t="str">
            <v>FABER</v>
          </cell>
          <cell r="BB7" t="str">
            <v>1C</v>
          </cell>
          <cell r="BC7" t="str">
            <v>:05 ECC</v>
          </cell>
          <cell r="BE7">
            <v>12</v>
          </cell>
          <cell r="BF7" t="str">
            <v>2 DBs</v>
          </cell>
          <cell r="BX7" t="str">
            <v>RudimentaryHops</v>
          </cell>
        </row>
        <row r="8">
          <cell r="A8" t="str">
            <v>AccessoryLower</v>
          </cell>
          <cell r="H8" t="str">
            <v>Plank + SA Cable Row</v>
          </cell>
          <cell r="Q8" t="str">
            <v>Deep Squat + Hip IR and ER</v>
          </cell>
          <cell r="Y8" t="str">
            <v>Rev. Crunch + Hollow Lower (:03 ECC)</v>
          </cell>
          <cell r="Z8" t="str">
            <v>20kg plate; knees to elbows; extend then lower</v>
          </cell>
          <cell r="AA8">
            <v>4</v>
          </cell>
          <cell r="AB8">
            <v>4</v>
          </cell>
          <cell r="AC8">
            <v>4</v>
          </cell>
          <cell r="AD8">
            <v>5</v>
          </cell>
          <cell r="AE8">
            <v>5</v>
          </cell>
          <cell r="AF8">
            <v>5</v>
          </cell>
          <cell r="AG8">
            <v>6</v>
          </cell>
          <cell r="AH8">
            <v>6</v>
          </cell>
          <cell r="AI8">
            <v>6</v>
          </cell>
          <cell r="AJ8">
            <v>6</v>
          </cell>
          <cell r="AR8" t="str">
            <v>FADIR</v>
          </cell>
          <cell r="BB8" t="str">
            <v>1D</v>
          </cell>
          <cell r="BC8" t="str">
            <v>:06 ECC</v>
          </cell>
          <cell r="BE8">
            <v>15</v>
          </cell>
          <cell r="BF8" t="str">
            <v>DB OH</v>
          </cell>
        </row>
        <row r="9">
          <cell r="A9" t="str">
            <v>Core</v>
          </cell>
          <cell r="H9" t="str">
            <v>Plank w/ Forward Punch</v>
          </cell>
          <cell r="Q9" t="str">
            <v>Squat + Rot &amp; Reach</v>
          </cell>
          <cell r="Y9" t="str">
            <v>Paloff Hold + Rot. Pulses</v>
          </cell>
          <cell r="Z9" t="str">
            <v>mini 2" pulses from neutral to the inside</v>
          </cell>
          <cell r="AA9" t="str">
            <v>20/s</v>
          </cell>
          <cell r="AB9">
            <v>20</v>
          </cell>
          <cell r="AC9">
            <v>20</v>
          </cell>
          <cell r="AD9">
            <v>20</v>
          </cell>
          <cell r="AE9">
            <v>20</v>
          </cell>
          <cell r="AF9">
            <v>20</v>
          </cell>
          <cell r="AG9">
            <v>20</v>
          </cell>
          <cell r="AH9">
            <v>20</v>
          </cell>
          <cell r="AI9">
            <v>20</v>
          </cell>
          <cell r="AJ9">
            <v>20</v>
          </cell>
          <cell r="AQ9" t="str">
            <v>Back Squat</v>
          </cell>
          <cell r="AR9" t="str">
            <v>Shoulder Flexion</v>
          </cell>
          <cell r="BB9">
            <v>2</v>
          </cell>
          <cell r="BC9" t="str">
            <v>:02 ISO</v>
          </cell>
          <cell r="BE9" t="str">
            <v>6/s</v>
          </cell>
          <cell r="BF9" t="str">
            <v>KB</v>
          </cell>
        </row>
        <row r="10">
          <cell r="A10" t="str">
            <v>MedBall</v>
          </cell>
          <cell r="H10" t="str">
            <v>Plank w/ Forward DB touch</v>
          </cell>
          <cell r="Q10" t="str">
            <v>Squat Hold + Rot &amp; Reach</v>
          </cell>
          <cell r="W10" t="str">
            <v>Core 3</v>
          </cell>
          <cell r="X10" t="str">
            <v/>
          </cell>
          <cell r="Y10" t="str">
            <v>Hanging Straight Leg Raise over Roller</v>
          </cell>
          <cell r="Z10" t="str">
            <v>Dead hang, legs together, toes pointed</v>
          </cell>
          <cell r="AA10" t="str">
            <v>4/s</v>
          </cell>
          <cell r="AB10">
            <v>4</v>
          </cell>
          <cell r="AC10">
            <v>4</v>
          </cell>
          <cell r="AD10">
            <v>5</v>
          </cell>
          <cell r="AE10">
            <v>5</v>
          </cell>
          <cell r="AF10">
            <v>5</v>
          </cell>
          <cell r="AG10">
            <v>6</v>
          </cell>
          <cell r="AH10">
            <v>6</v>
          </cell>
          <cell r="AI10">
            <v>6</v>
          </cell>
          <cell r="AJ10">
            <v>6</v>
          </cell>
          <cell r="AQ10" t="str">
            <v>Front Squat</v>
          </cell>
          <cell r="AR10" t="str">
            <v>TPI T-Spine</v>
          </cell>
          <cell r="BB10" t="str">
            <v>2A</v>
          </cell>
          <cell r="BC10" t="str">
            <v>:03 ISO</v>
          </cell>
          <cell r="BE10" t="str">
            <v>8/s</v>
          </cell>
          <cell r="BF10" t="str">
            <v>2 KBs</v>
          </cell>
        </row>
        <row r="11">
          <cell r="A11" t="str">
            <v>Jump</v>
          </cell>
          <cell r="H11" t="str">
            <v>Plank w/ Lateral Punch</v>
          </cell>
          <cell r="Q11" t="str">
            <v>Deep Squat Hold + 2 Arm DB Press</v>
          </cell>
          <cell r="Y11" t="str">
            <v>Split Stance High-Low Cable Chop w/ Rope</v>
          </cell>
          <cell r="Z11" t="str">
            <v>outside foot forward, arms straight, full ROM</v>
          </cell>
          <cell r="AA11" t="str">
            <v>8/s</v>
          </cell>
          <cell r="AB11">
            <v>8</v>
          </cell>
          <cell r="AC11">
            <v>8</v>
          </cell>
          <cell r="AD11">
            <v>8</v>
          </cell>
          <cell r="AE11">
            <v>8</v>
          </cell>
          <cell r="AF11">
            <v>8</v>
          </cell>
          <cell r="AG11">
            <v>8</v>
          </cell>
          <cell r="AH11">
            <v>8</v>
          </cell>
          <cell r="AI11">
            <v>8</v>
          </cell>
          <cell r="AJ11">
            <v>8</v>
          </cell>
          <cell r="AQ11" t="str">
            <v>Deadlift</v>
          </cell>
          <cell r="BB11" t="str">
            <v>2B</v>
          </cell>
          <cell r="BC11" t="str">
            <v>:04 ISO</v>
          </cell>
          <cell r="BE11" t="str">
            <v>10/s</v>
          </cell>
          <cell r="BF11" t="str">
            <v>KB Goblet</v>
          </cell>
        </row>
        <row r="12">
          <cell r="A12" t="str">
            <v>WarmUp</v>
          </cell>
          <cell r="H12" t="str">
            <v>Plank w/ KB Reach and Drag</v>
          </cell>
          <cell r="Q12" t="str">
            <v>Deep Squat Hold + 2 Arm DB Forwad &amp; OH Press</v>
          </cell>
          <cell r="Y12" t="str">
            <v>Side Plank Dips w/ DB on Hips :03 ISO</v>
          </cell>
          <cell r="Z12" t="str">
            <v>Feet elevated, oblique squeeze at top</v>
          </cell>
          <cell r="AA12" t="str">
            <v>8/s</v>
          </cell>
          <cell r="AB12">
            <v>8</v>
          </cell>
          <cell r="AC12">
            <v>8</v>
          </cell>
          <cell r="AD12">
            <v>8</v>
          </cell>
          <cell r="AE12">
            <v>8</v>
          </cell>
          <cell r="AF12">
            <v>8</v>
          </cell>
          <cell r="AG12">
            <v>8</v>
          </cell>
          <cell r="AH12">
            <v>8</v>
          </cell>
          <cell r="AI12">
            <v>8</v>
          </cell>
          <cell r="AJ12">
            <v>8</v>
          </cell>
          <cell r="AQ12" t="str">
            <v>TrapBar Deadlift</v>
          </cell>
          <cell r="BB12" t="str">
            <v>2C</v>
          </cell>
          <cell r="BC12" t="str">
            <v>:05 ISO</v>
          </cell>
          <cell r="BE12" t="str">
            <v>12/s</v>
          </cell>
          <cell r="BF12" t="str">
            <v>DB Goblet</v>
          </cell>
        </row>
        <row r="13">
          <cell r="A13" t="str">
            <v>AccessoryCircuits</v>
          </cell>
          <cell r="H13" t="str">
            <v>Plank w/ DB Reach and Place</v>
          </cell>
          <cell r="Q13" t="str">
            <v>Deep Squat Hold + 1 Arm KB Press</v>
          </cell>
          <cell r="W13" t="str">
            <v>Core 4</v>
          </cell>
          <cell r="X13" t="str">
            <v/>
          </cell>
          <cell r="Y13" t="str">
            <v>TRX Body Saw Plank (:01 ISO)</v>
          </cell>
          <cell r="Z13" t="str">
            <v>Elbows in TRX, reaching arms forward</v>
          </cell>
          <cell r="AA13">
            <v>8</v>
          </cell>
          <cell r="AB13">
            <v>8</v>
          </cell>
          <cell r="AC13">
            <v>9</v>
          </cell>
          <cell r="AD13">
            <v>9</v>
          </cell>
          <cell r="AE13">
            <v>10</v>
          </cell>
          <cell r="AF13">
            <v>10</v>
          </cell>
          <cell r="AG13">
            <v>10</v>
          </cell>
          <cell r="AH13">
            <v>10</v>
          </cell>
          <cell r="AI13">
            <v>10</v>
          </cell>
          <cell r="AJ13">
            <v>10</v>
          </cell>
          <cell r="AQ13" t="str">
            <v>Sumo Deadlift</v>
          </cell>
          <cell r="BB13" t="str">
            <v>2D</v>
          </cell>
          <cell r="BC13" t="str">
            <v>:06 ISO</v>
          </cell>
          <cell r="BE13" t="str">
            <v>15/s</v>
          </cell>
          <cell r="BF13" t="str">
            <v>Goblet</v>
          </cell>
        </row>
        <row r="14">
          <cell r="A14" t="str">
            <v>Prehab</v>
          </cell>
          <cell r="H14" t="str">
            <v>Plank w/ Leg Lifts</v>
          </cell>
          <cell r="Q14" t="str">
            <v>Deep Squat Hold + OH Band Pull</v>
          </cell>
          <cell r="Y14" t="str">
            <v>:05 ECC Loaded Sit Up</v>
          </cell>
          <cell r="Z14" t="str">
            <v>Feet Anchored, DB Goblet, use core not legs</v>
          </cell>
          <cell r="AA14" t="str">
            <v>6/s</v>
          </cell>
          <cell r="AB14">
            <v>6</v>
          </cell>
          <cell r="AC14">
            <v>7</v>
          </cell>
          <cell r="AD14">
            <v>7</v>
          </cell>
          <cell r="AE14">
            <v>8</v>
          </cell>
          <cell r="AF14">
            <v>8</v>
          </cell>
          <cell r="AG14">
            <v>9</v>
          </cell>
          <cell r="AH14">
            <v>9</v>
          </cell>
          <cell r="AI14">
            <v>10</v>
          </cell>
          <cell r="AJ14">
            <v>10</v>
          </cell>
          <cell r="BB14">
            <v>3</v>
          </cell>
          <cell r="BC14" t="str">
            <v>1:x:1</v>
          </cell>
          <cell r="BE14" t="str">
            <v>:30</v>
          </cell>
          <cell r="BF14" t="str">
            <v>2 KBs OH</v>
          </cell>
        </row>
        <row r="15">
          <cell r="A15" t="str">
            <v>Loading Categories</v>
          </cell>
          <cell r="H15" t="str">
            <v>Plank to Pike w/ slider</v>
          </cell>
          <cell r="Q15" t="str">
            <v>3-way Kneeling Lunge w/ KB</v>
          </cell>
          <cell r="Y15" t="str">
            <v>Explosive Upward Cable Rotation Chop</v>
          </cell>
          <cell r="Z15" t="str">
            <v>:03 ECC. Extend/Rotate w/ Legs</v>
          </cell>
          <cell r="AA15" t="str">
            <v>6/s</v>
          </cell>
          <cell r="AB15">
            <v>6</v>
          </cell>
          <cell r="AC15">
            <v>7</v>
          </cell>
          <cell r="AD15">
            <v>7</v>
          </cell>
          <cell r="AE15">
            <v>8</v>
          </cell>
          <cell r="AF15">
            <v>8</v>
          </cell>
          <cell r="AG15">
            <v>9</v>
          </cell>
          <cell r="AH15">
            <v>9</v>
          </cell>
          <cell r="AI15">
            <v>10</v>
          </cell>
          <cell r="AJ15">
            <v>10</v>
          </cell>
          <cell r="AQ15" t="str">
            <v>Pull Up</v>
          </cell>
          <cell r="BB15" t="str">
            <v>3A</v>
          </cell>
          <cell r="BC15" t="str">
            <v>2:x:1</v>
          </cell>
          <cell r="BE15" t="str">
            <v>:45</v>
          </cell>
          <cell r="BF15" t="str">
            <v>Swiss Ball</v>
          </cell>
        </row>
        <row r="16">
          <cell r="H16" t="str">
            <v>Plank to Pike w/ slider + DB slide</v>
          </cell>
          <cell r="Q16" t="str">
            <v>Couch Stretch (Tall)</v>
          </cell>
          <cell r="W16" t="str">
            <v>Core 5</v>
          </cell>
          <cell r="X16" t="str">
            <v/>
          </cell>
          <cell r="Y16" t="str">
            <v>L-Sit - Max Holds above target</v>
          </cell>
          <cell r="Z16" t="str">
            <v>target under feet, hold L until feet touch it</v>
          </cell>
          <cell r="AA16" t="str">
            <v>T:</v>
          </cell>
          <cell r="AB16" t="str">
            <v>T:</v>
          </cell>
          <cell r="AC16" t="str">
            <v>T:</v>
          </cell>
          <cell r="AD16" t="str">
            <v>T:</v>
          </cell>
          <cell r="AE16" t="str">
            <v>T:</v>
          </cell>
          <cell r="AF16" t="str">
            <v>T:</v>
          </cell>
          <cell r="AG16" t="str">
            <v>T:</v>
          </cell>
          <cell r="AH16" t="str">
            <v>T:</v>
          </cell>
          <cell r="AI16" t="str">
            <v>T:</v>
          </cell>
          <cell r="AJ16" t="str">
            <v>T:</v>
          </cell>
          <cell r="AQ16" t="str">
            <v>Bench Press</v>
          </cell>
          <cell r="BB16" t="str">
            <v>3B</v>
          </cell>
          <cell r="BC16" t="str">
            <v>2:0:2</v>
          </cell>
          <cell r="BE16" t="str">
            <v>:60</v>
          </cell>
          <cell r="BF16" t="str">
            <v>Slider</v>
          </cell>
        </row>
        <row r="17">
          <cell r="A17" t="str">
            <v>PE</v>
          </cell>
          <cell r="H17" t="str">
            <v>Hand Plank Walkout</v>
          </cell>
          <cell r="Q17" t="str">
            <v>Couch Stretch + OH Reach and Lean</v>
          </cell>
          <cell r="Y17" t="str">
            <v>Side Plank Dips w/ DB on Hips :03 ISO</v>
          </cell>
          <cell r="Z17" t="str">
            <v>Feet elevated, oblique squeeze at top</v>
          </cell>
          <cell r="AA17" t="str">
            <v>10/s</v>
          </cell>
          <cell r="AB17">
            <v>10</v>
          </cell>
          <cell r="AC17">
            <v>10</v>
          </cell>
          <cell r="AD17">
            <v>10</v>
          </cell>
          <cell r="AE17">
            <v>10</v>
          </cell>
          <cell r="AF17">
            <v>10</v>
          </cell>
          <cell r="AG17">
            <v>10</v>
          </cell>
          <cell r="AH17">
            <v>10</v>
          </cell>
          <cell r="AI17">
            <v>10</v>
          </cell>
          <cell r="AJ17">
            <v>10</v>
          </cell>
          <cell r="BB17" t="str">
            <v>3C</v>
          </cell>
          <cell r="BC17" t="str">
            <v>2:1:2</v>
          </cell>
          <cell r="BE17">
            <v>6.25E-2</v>
          </cell>
        </row>
        <row r="18">
          <cell r="A18" t="str">
            <v>DE</v>
          </cell>
          <cell r="H18" t="str">
            <v>Hand Plank Walkout + DB Tap</v>
          </cell>
          <cell r="Q18" t="str">
            <v>Couch Stretch - Front Foot Elevated</v>
          </cell>
          <cell r="Y18" t="str">
            <v>Partner Leg Throws</v>
          </cell>
          <cell r="Z18" t="str">
            <v>All directions, unpredictable throws</v>
          </cell>
          <cell r="AA18">
            <v>20</v>
          </cell>
          <cell r="AB18">
            <v>20</v>
          </cell>
          <cell r="AC18">
            <v>20</v>
          </cell>
          <cell r="AD18">
            <v>20</v>
          </cell>
          <cell r="AE18">
            <v>20</v>
          </cell>
          <cell r="AF18">
            <v>20</v>
          </cell>
          <cell r="AG18">
            <v>20</v>
          </cell>
          <cell r="AH18">
            <v>20</v>
          </cell>
          <cell r="AI18">
            <v>20</v>
          </cell>
          <cell r="AJ18">
            <v>20</v>
          </cell>
          <cell r="BB18">
            <v>4</v>
          </cell>
          <cell r="BC18" t="str">
            <v>3:x:1</v>
          </cell>
          <cell r="BE18">
            <v>8.3333333333333329E-2</v>
          </cell>
          <cell r="BF18" t="str">
            <v>Support</v>
          </cell>
        </row>
        <row r="19">
          <cell r="A19" t="str">
            <v>ME</v>
          </cell>
          <cell r="H19" t="str">
            <v>Swiss Ball Plank (Feet)</v>
          </cell>
          <cell r="Q19" t="str">
            <v>Couch Stretch w/ band</v>
          </cell>
          <cell r="W19" t="str">
            <v>Core 6</v>
          </cell>
          <cell r="X19" t="str">
            <v/>
          </cell>
          <cell r="Y19" t="str">
            <v>Hanging Straight Leg Raise over Roller +ISO</v>
          </cell>
          <cell r="Z19" t="str">
            <v>:01 ISO at the top, legs straight toes pointed</v>
          </cell>
          <cell r="AA19" t="str">
            <v>4/s</v>
          </cell>
          <cell r="AB19">
            <v>4</v>
          </cell>
          <cell r="AC19">
            <v>4</v>
          </cell>
          <cell r="AD19">
            <v>5</v>
          </cell>
          <cell r="AE19">
            <v>5</v>
          </cell>
          <cell r="AF19">
            <v>5</v>
          </cell>
          <cell r="AG19">
            <v>6</v>
          </cell>
          <cell r="AH19">
            <v>6</v>
          </cell>
          <cell r="AI19">
            <v>6</v>
          </cell>
          <cell r="AJ19">
            <v>6</v>
          </cell>
          <cell r="BB19" t="str">
            <v>4A</v>
          </cell>
          <cell r="BC19" t="str">
            <v>1:1:1</v>
          </cell>
          <cell r="BE19" t="str">
            <v>:30/s</v>
          </cell>
        </row>
        <row r="20">
          <cell r="A20" t="str">
            <v>RE</v>
          </cell>
          <cell r="H20" t="str">
            <v>Swiss Ball Knee Tucks</v>
          </cell>
          <cell r="Q20" t="str">
            <v>RLESS - Back Leg Iso</v>
          </cell>
          <cell r="Y20" t="str">
            <v>Standing Lateral Flexion w/ OH Cable</v>
          </cell>
          <cell r="Z20" t="str">
            <v>Stay tall, feel like you can squeeze your obliques</v>
          </cell>
          <cell r="AA20" t="str">
            <v>8/s</v>
          </cell>
          <cell r="AB20">
            <v>8</v>
          </cell>
          <cell r="AC20">
            <v>8</v>
          </cell>
          <cell r="AD20">
            <v>8</v>
          </cell>
          <cell r="AE20">
            <v>8</v>
          </cell>
          <cell r="AF20">
            <v>8</v>
          </cell>
          <cell r="AG20">
            <v>8</v>
          </cell>
          <cell r="AH20">
            <v>8</v>
          </cell>
          <cell r="AI20">
            <v>8</v>
          </cell>
          <cell r="AJ20">
            <v>8</v>
          </cell>
          <cell r="BB20" t="str">
            <v>4B</v>
          </cell>
          <cell r="BC20" t="str">
            <v>2:1:1</v>
          </cell>
          <cell r="BE20" t="str">
            <v>:45/s</v>
          </cell>
        </row>
        <row r="21">
          <cell r="H21" t="str">
            <v>Swiss Ball Knee Tucks (Knee to opp elbow)</v>
          </cell>
          <cell r="Q21" t="str">
            <v>1/2 Kneeling Hip Flex + OH Press</v>
          </cell>
          <cell r="Y21" t="str">
            <v>Hollow Body Hold + OH Reach w/ plate</v>
          </cell>
          <cell r="Z21" t="str">
            <v>toes pointed, rib cage down</v>
          </cell>
          <cell r="AA21">
            <v>10</v>
          </cell>
          <cell r="AB21">
            <v>10</v>
          </cell>
          <cell r="AC21">
            <v>10</v>
          </cell>
          <cell r="AD21">
            <v>10</v>
          </cell>
          <cell r="AE21">
            <v>10</v>
          </cell>
          <cell r="AF21">
            <v>10</v>
          </cell>
          <cell r="AG21">
            <v>10</v>
          </cell>
          <cell r="AH21">
            <v>10</v>
          </cell>
          <cell r="AI21">
            <v>10</v>
          </cell>
          <cell r="AJ21">
            <v>10</v>
          </cell>
          <cell r="BB21" t="str">
            <v>4C</v>
          </cell>
          <cell r="BC21" t="str">
            <v>3:1:1</v>
          </cell>
          <cell r="BE21" t="str">
            <v>:60/s</v>
          </cell>
        </row>
        <row r="22">
          <cell r="H22" t="str">
            <v>Swiss Ball Pike</v>
          </cell>
          <cell r="Q22" t="str">
            <v>Standing Hip Flexor Stretch</v>
          </cell>
          <cell r="W22" t="str">
            <v>Core 7</v>
          </cell>
          <cell r="X22" t="str">
            <v>More Challenging</v>
          </cell>
          <cell r="Y22" t="str">
            <v>Ab Wheel Roll Out (:02 ISO)</v>
          </cell>
          <cell r="Z22" t="str">
            <v>from knees, only as far as you can with :02 pause</v>
          </cell>
          <cell r="AA22">
            <v>6</v>
          </cell>
          <cell r="AB22">
            <v>6</v>
          </cell>
          <cell r="AC22">
            <v>6</v>
          </cell>
          <cell r="AD22">
            <v>7</v>
          </cell>
          <cell r="AE22">
            <v>7</v>
          </cell>
          <cell r="AF22">
            <v>7</v>
          </cell>
          <cell r="AG22">
            <v>8</v>
          </cell>
          <cell r="AH22">
            <v>8</v>
          </cell>
          <cell r="AI22">
            <v>8</v>
          </cell>
          <cell r="AJ22">
            <v>8</v>
          </cell>
          <cell r="BB22">
            <v>5</v>
          </cell>
          <cell r="BC22" t="str">
            <v>1:1:x</v>
          </cell>
          <cell r="BE22" t="str">
            <v>1:30/s</v>
          </cell>
        </row>
        <row r="23">
          <cell r="H23" t="str">
            <v>TRX Plank (Feet)</v>
          </cell>
          <cell r="Q23" t="str">
            <v>Long Lunge + OH Press</v>
          </cell>
          <cell r="Y23" t="str">
            <v>Rev. Crunch + Hollow Lower (:03 ECC)</v>
          </cell>
          <cell r="Z23" t="str">
            <v>20kg plate; knees to elbows; extend then lower</v>
          </cell>
          <cell r="AA23">
            <v>6</v>
          </cell>
          <cell r="AB23">
            <v>6</v>
          </cell>
          <cell r="AC23">
            <v>6</v>
          </cell>
          <cell r="AD23">
            <v>7</v>
          </cell>
          <cell r="AE23">
            <v>7</v>
          </cell>
          <cell r="AF23">
            <v>7</v>
          </cell>
          <cell r="AG23">
            <v>8</v>
          </cell>
          <cell r="AH23">
            <v>8</v>
          </cell>
          <cell r="AI23">
            <v>8</v>
          </cell>
          <cell r="AJ23">
            <v>8</v>
          </cell>
          <cell r="BB23" t="str">
            <v>5A</v>
          </cell>
          <cell r="BC23" t="str">
            <v>1:2:x</v>
          </cell>
          <cell r="BE23" t="str">
            <v>2:00/s</v>
          </cell>
        </row>
        <row r="24">
          <cell r="H24" t="str">
            <v>TRX Plank + Knee Tucks</v>
          </cell>
          <cell r="Q24" t="str">
            <v>SlideBoard Rev. Lunge  - Dowel OH</v>
          </cell>
          <cell r="Y24" t="str">
            <v>Side Plank Dips Heavy DB on Hips :02 ISO</v>
          </cell>
          <cell r="Z24" t="str">
            <v>Feet elevated, oblique squeeze at top</v>
          </cell>
          <cell r="AA24" t="str">
            <v>10/s</v>
          </cell>
          <cell r="AB24">
            <v>10</v>
          </cell>
          <cell r="AC24">
            <v>10</v>
          </cell>
          <cell r="AD24">
            <v>10</v>
          </cell>
          <cell r="AE24">
            <v>10</v>
          </cell>
          <cell r="AF24">
            <v>10</v>
          </cell>
          <cell r="AG24">
            <v>10</v>
          </cell>
          <cell r="AH24">
            <v>10</v>
          </cell>
          <cell r="AI24">
            <v>10</v>
          </cell>
          <cell r="AJ24">
            <v>10</v>
          </cell>
          <cell r="BB24" t="str">
            <v>5B</v>
          </cell>
          <cell r="BC24" t="str">
            <v>1:3:x</v>
          </cell>
        </row>
        <row r="25">
          <cell r="H25" t="str">
            <v>TRX Plank + 3-Way Knee Tucks</v>
          </cell>
          <cell r="Q25" t="str">
            <v>SlideBoard Rev. Lunge  - BB OH</v>
          </cell>
          <cell r="W25" t="str">
            <v>Core 8</v>
          </cell>
          <cell r="X25" t="str">
            <v/>
          </cell>
          <cell r="Y25" t="str">
            <v>Hollow Body Hold w/ dowel + alt hip touch</v>
          </cell>
          <cell r="Z25" t="str">
            <v>slow and controlled, keep reps low</v>
          </cell>
          <cell r="AA25" t="str">
            <v>6/s</v>
          </cell>
          <cell r="AB25">
            <v>6</v>
          </cell>
          <cell r="AC25">
            <v>7</v>
          </cell>
          <cell r="AD25">
            <v>7</v>
          </cell>
          <cell r="AE25">
            <v>8</v>
          </cell>
          <cell r="AF25">
            <v>8</v>
          </cell>
          <cell r="AG25">
            <v>9</v>
          </cell>
          <cell r="AH25">
            <v>9</v>
          </cell>
          <cell r="AI25">
            <v>10</v>
          </cell>
          <cell r="AJ25">
            <v>10</v>
          </cell>
          <cell r="BB25" t="str">
            <v>5C</v>
          </cell>
          <cell r="BC25" t="str">
            <v>2:1:x</v>
          </cell>
        </row>
        <row r="26">
          <cell r="H26" t="str">
            <v>Swiss Ball Plank (Arms)</v>
          </cell>
          <cell r="Q26" t="str">
            <v>SlideBoard Rev. Lunge  - DB OH</v>
          </cell>
          <cell r="Y26" t="str">
            <v>Stir the Pot (feet on bench)</v>
          </cell>
          <cell r="Z26" t="str">
            <v>stay "tall", squeeze quads, hips down</v>
          </cell>
          <cell r="AA26" t="str">
            <v>:30</v>
          </cell>
          <cell r="AB26" t="str">
            <v>:30</v>
          </cell>
          <cell r="AC26" t="str">
            <v>:30</v>
          </cell>
          <cell r="AD26" t="str">
            <v>:35</v>
          </cell>
          <cell r="AE26" t="str">
            <v>:35</v>
          </cell>
          <cell r="AF26" t="str">
            <v>:35</v>
          </cell>
          <cell r="AG26" t="str">
            <v>:40</v>
          </cell>
          <cell r="AH26" t="str">
            <v>:40</v>
          </cell>
          <cell r="AI26" t="str">
            <v>:40</v>
          </cell>
          <cell r="AJ26" t="str">
            <v>:40</v>
          </cell>
          <cell r="AQ26" t="str">
            <v>Safety Bar -&gt; 60 lbs (27kg)</v>
          </cell>
          <cell r="BB26">
            <v>6</v>
          </cell>
          <cell r="BC26" t="str">
            <v>3:1:x</v>
          </cell>
        </row>
        <row r="27">
          <cell r="H27" t="str">
            <v>Single Arm Front Plank</v>
          </cell>
          <cell r="Q27" t="str">
            <v>Hip Flexor Release (Foam Roller)</v>
          </cell>
          <cell r="Y27" t="str">
            <v>Russian Twist w/ Plate</v>
          </cell>
          <cell r="Z27" t="str">
            <v>45-deg torso angle, toes pointed</v>
          </cell>
          <cell r="AA27">
            <v>20</v>
          </cell>
          <cell r="AB27">
            <v>20</v>
          </cell>
          <cell r="AC27">
            <v>20</v>
          </cell>
          <cell r="AD27">
            <v>20</v>
          </cell>
          <cell r="AE27">
            <v>20</v>
          </cell>
          <cell r="AF27">
            <v>20</v>
          </cell>
          <cell r="AG27">
            <v>20</v>
          </cell>
          <cell r="AH27">
            <v>20</v>
          </cell>
          <cell r="AI27">
            <v>20</v>
          </cell>
          <cell r="AJ27">
            <v>20</v>
          </cell>
          <cell r="BB27" t="str">
            <v>6A</v>
          </cell>
          <cell r="BC27" t="str">
            <v>3:2:x</v>
          </cell>
        </row>
        <row r="28">
          <cell r="H28" t="str">
            <v>SA Front Plank w/ partner band pull</v>
          </cell>
          <cell r="Q28" t="str">
            <v>Supine Hip Flexion w/ band distraction</v>
          </cell>
          <cell r="W28" t="str">
            <v>Core 9 old</v>
          </cell>
          <cell r="X28" t="str">
            <v/>
          </cell>
          <cell r="Y28" t="str">
            <v>Slow Reverse Plank Walk w/ slider</v>
          </cell>
          <cell r="Z28" t="str">
            <v>slider under feet, walking backwards w/ hands</v>
          </cell>
          <cell r="AA28" t="str">
            <v>8/s</v>
          </cell>
          <cell r="AB28">
            <v>8</v>
          </cell>
          <cell r="AC28">
            <v>8</v>
          </cell>
          <cell r="AD28">
            <v>10</v>
          </cell>
          <cell r="AE28">
            <v>10</v>
          </cell>
          <cell r="AF28">
            <v>10</v>
          </cell>
          <cell r="AG28">
            <v>12</v>
          </cell>
          <cell r="AH28">
            <v>12</v>
          </cell>
          <cell r="AI28">
            <v>12</v>
          </cell>
          <cell r="AJ28">
            <v>12</v>
          </cell>
          <cell r="BB28" t="str">
            <v>6B</v>
          </cell>
          <cell r="BC28" t="str">
            <v>3:3:x</v>
          </cell>
        </row>
        <row r="29">
          <cell r="H29" t="str">
            <v>Hand Plank + Bird Dog</v>
          </cell>
          <cell r="Q29" t="str">
            <v>Step Up Hold - Hip Flexor Stretch</v>
          </cell>
          <cell r="Y29" t="str">
            <v>SA Dead-Bug w/ DB</v>
          </cell>
          <cell r="Z29" t="str">
            <v>extend both legs but only 1 arm w/ DB</v>
          </cell>
          <cell r="AA29" t="str">
            <v>6/s</v>
          </cell>
          <cell r="AB29">
            <v>6</v>
          </cell>
          <cell r="AC29">
            <v>6</v>
          </cell>
          <cell r="AD29">
            <v>7</v>
          </cell>
          <cell r="AE29">
            <v>7</v>
          </cell>
          <cell r="AF29">
            <v>7</v>
          </cell>
          <cell r="AG29">
            <v>8</v>
          </cell>
          <cell r="AH29">
            <v>8</v>
          </cell>
          <cell r="AI29">
            <v>8</v>
          </cell>
          <cell r="AJ29">
            <v>8</v>
          </cell>
          <cell r="AT29" t="str">
            <v>WarmUps</v>
          </cell>
          <cell r="BB29" t="str">
            <v>6C</v>
          </cell>
          <cell r="BC29" t="str">
            <v>3:x:3</v>
          </cell>
        </row>
        <row r="30">
          <cell r="H30" t="str">
            <v>Plate Plank</v>
          </cell>
          <cell r="Q30" t="str">
            <v>ISO Lunge on toes w/ Hip EXT</v>
          </cell>
          <cell r="Y30" t="str">
            <v>Side Plank - Arm on Swiss Ball</v>
          </cell>
          <cell r="Z30" t="str">
            <v>Can elevate feet on bench to make it harder</v>
          </cell>
          <cell r="AA30" t="str">
            <v>:20</v>
          </cell>
          <cell r="AB30" t="str">
            <v>:20</v>
          </cell>
          <cell r="AC30" t="str">
            <v>:25</v>
          </cell>
          <cell r="AD30" t="str">
            <v>:25</v>
          </cell>
          <cell r="AE30" t="str">
            <v>:30</v>
          </cell>
          <cell r="AF30" t="str">
            <v>:30</v>
          </cell>
          <cell r="AG30" t="str">
            <v>:35</v>
          </cell>
          <cell r="AH30" t="str">
            <v>:35</v>
          </cell>
          <cell r="AI30" t="str">
            <v>:40</v>
          </cell>
          <cell r="AJ30" t="str">
            <v>:40</v>
          </cell>
          <cell r="AT30" t="str">
            <v>ElevateHR</v>
          </cell>
          <cell r="BC30" t="str">
            <v>2:2:1</v>
          </cell>
        </row>
        <row r="31">
          <cell r="H31" t="str">
            <v>Stir the Pot</v>
          </cell>
          <cell r="Q31" t="str">
            <v>Quadruped w/ posterior band pull</v>
          </cell>
          <cell r="W31" t="str">
            <v>Core 9</v>
          </cell>
          <cell r="X31" t="str">
            <v/>
          </cell>
          <cell r="Y31" t="str">
            <v>Split Stance 2x Fake Rot. + Throw</v>
          </cell>
          <cell r="Z31" t="str">
            <v>inside foot forward.  1 rep = 2 fake throws and 1 real throw</v>
          </cell>
          <cell r="AA31" t="str">
            <v>5/s</v>
          </cell>
          <cell r="AB31">
            <v>5</v>
          </cell>
          <cell r="AC31">
            <v>6</v>
          </cell>
          <cell r="AD31">
            <v>6</v>
          </cell>
          <cell r="AE31">
            <v>7</v>
          </cell>
          <cell r="AF31">
            <v>7</v>
          </cell>
          <cell r="AG31">
            <v>8</v>
          </cell>
          <cell r="AH31">
            <v>8</v>
          </cell>
          <cell r="AI31">
            <v>8</v>
          </cell>
          <cell r="AJ31">
            <v>8</v>
          </cell>
          <cell r="AT31" t="str">
            <v>General</v>
          </cell>
        </row>
        <row r="32">
          <cell r="H32" t="str">
            <v>Stir the Pot (feet on bench)</v>
          </cell>
          <cell r="Q32" t="str">
            <v>Quadruped w/ lateral band pull</v>
          </cell>
          <cell r="Y32" t="str">
            <v>Hanging 3-Way Knee Lifts w/ DB</v>
          </cell>
          <cell r="Z32" t="str">
            <v>low reps, heaviest DB you can lift w/ control</v>
          </cell>
          <cell r="AA32">
            <v>9</v>
          </cell>
          <cell r="AB32">
            <v>9</v>
          </cell>
          <cell r="AC32">
            <v>9</v>
          </cell>
          <cell r="AD32">
            <v>12</v>
          </cell>
          <cell r="AE32">
            <v>12</v>
          </cell>
          <cell r="AF32">
            <v>12</v>
          </cell>
          <cell r="AG32">
            <v>12</v>
          </cell>
          <cell r="AH32">
            <v>15</v>
          </cell>
          <cell r="AI32">
            <v>15</v>
          </cell>
          <cell r="AJ32">
            <v>15</v>
          </cell>
          <cell r="AT32" t="str">
            <v>CircuitSpecific</v>
          </cell>
        </row>
        <row r="33">
          <cell r="H33" t="str">
            <v>Swiss Ball Roll Out</v>
          </cell>
          <cell r="Q33" t="str">
            <v>Quadruped ER - Deep Hip Capsule</v>
          </cell>
          <cell r="Y33" t="str">
            <v>Side Plank - Arm on Swiss Ball</v>
          </cell>
          <cell r="Z33" t="str">
            <v>Can elevate feet on bench to make it harder</v>
          </cell>
          <cell r="AA33" t="str">
            <v>:30</v>
          </cell>
          <cell r="AB33">
            <v>30</v>
          </cell>
          <cell r="AC33" t="str">
            <v>:30</v>
          </cell>
          <cell r="AD33" t="str">
            <v>:35</v>
          </cell>
          <cell r="AE33" t="str">
            <v>:35</v>
          </cell>
          <cell r="AF33" t="str">
            <v>:35</v>
          </cell>
          <cell r="AG33" t="str">
            <v>:40</v>
          </cell>
          <cell r="AH33" t="str">
            <v>:40</v>
          </cell>
          <cell r="AI33" t="str">
            <v>:45</v>
          </cell>
          <cell r="AJ33" t="str">
            <v>:45</v>
          </cell>
          <cell r="AT33" t="str">
            <v>Ankles</v>
          </cell>
        </row>
        <row r="34">
          <cell r="H34" t="str">
            <v>Swiss Ball Plank Roll Out</v>
          </cell>
          <cell r="Q34" t="str">
            <v>Step Up Hold w/ inferior band pull</v>
          </cell>
          <cell r="W34" t="str">
            <v>2025 Greatest Hits</v>
          </cell>
          <cell r="X34" t="str">
            <v>Volume 1</v>
          </cell>
          <cell r="Y34" t="str">
            <v>Ab Wheel Roll Out (:02 ISO)</v>
          </cell>
          <cell r="Z34" t="str">
            <v>from knees, only as far as you can with :02 pause</v>
          </cell>
          <cell r="AA34">
            <v>6</v>
          </cell>
          <cell r="AB34">
            <v>6</v>
          </cell>
          <cell r="AC34">
            <v>6</v>
          </cell>
          <cell r="AD34">
            <v>7</v>
          </cell>
          <cell r="AE34">
            <v>7</v>
          </cell>
          <cell r="AF34">
            <v>7</v>
          </cell>
          <cell r="AG34">
            <v>8</v>
          </cell>
          <cell r="AH34">
            <v>8</v>
          </cell>
          <cell r="AI34">
            <v>8</v>
          </cell>
          <cell r="AJ34">
            <v>8</v>
          </cell>
          <cell r="AT34" t="str">
            <v>Hips</v>
          </cell>
        </row>
        <row r="35">
          <cell r="H35" t="str">
            <v>Bear Crawl Foam Roller Roll Out</v>
          </cell>
          <cell r="Q35" t="str">
            <v>Low Lunge + ER w/ band distaction</v>
          </cell>
          <cell r="Y35" t="str">
            <v>Hollow Body Hold w/ dowel + alt hip touch</v>
          </cell>
          <cell r="Z35" t="str">
            <v>if reps are too easy, move slower</v>
          </cell>
          <cell r="AA35" t="str">
            <v>8/s</v>
          </cell>
          <cell r="AB35">
            <v>8</v>
          </cell>
          <cell r="AC35">
            <v>8</v>
          </cell>
          <cell r="AD35">
            <v>9</v>
          </cell>
          <cell r="AE35">
            <v>9</v>
          </cell>
          <cell r="AF35">
            <v>9</v>
          </cell>
          <cell r="AG35">
            <v>10</v>
          </cell>
          <cell r="AH35">
            <v>10</v>
          </cell>
          <cell r="AI35">
            <v>10</v>
          </cell>
          <cell r="AJ35">
            <v>10</v>
          </cell>
          <cell r="AT35" t="str">
            <v>Hamstrings</v>
          </cell>
        </row>
        <row r="36">
          <cell r="H36" t="str">
            <v>TRX Roll Out</v>
          </cell>
          <cell r="Q36" t="str">
            <v>Fig 4 Glute Stretch w/ Wall</v>
          </cell>
          <cell r="Y36" t="str">
            <v>Side Plank Dips w/ DB on Hips :03 ISO</v>
          </cell>
          <cell r="Z36" t="str">
            <v>Feet elevated, oblique squeeze at top</v>
          </cell>
          <cell r="AA36" t="str">
            <v>8/s</v>
          </cell>
          <cell r="AB36">
            <v>8</v>
          </cell>
          <cell r="AC36">
            <v>8</v>
          </cell>
          <cell r="AD36">
            <v>8</v>
          </cell>
          <cell r="AE36">
            <v>8</v>
          </cell>
          <cell r="AF36">
            <v>8</v>
          </cell>
          <cell r="AG36">
            <v>8</v>
          </cell>
          <cell r="AH36">
            <v>8</v>
          </cell>
          <cell r="AI36">
            <v>8</v>
          </cell>
          <cell r="AJ36">
            <v>8</v>
          </cell>
          <cell r="AT36" t="str">
            <v>Glutes</v>
          </cell>
        </row>
        <row r="37">
          <cell r="H37" t="str">
            <v>TRX Roll Out from Knees</v>
          </cell>
          <cell r="Q37" t="str">
            <v>Fig 4 ER&amp;IR Hip Stretch w/ Wall</v>
          </cell>
          <cell r="W37" t="str">
            <v xml:space="preserve">2025 Greatest Hits </v>
          </cell>
          <cell r="X37" t="str">
            <v>Volume 2</v>
          </cell>
          <cell r="Y37" t="str">
            <v>Hanging 3-Way Knee Lifts w/ DB</v>
          </cell>
          <cell r="Z37" t="str">
            <v>low reps, heaviest DB you can lift w/ control</v>
          </cell>
          <cell r="AA37">
            <v>9</v>
          </cell>
          <cell r="AB37">
            <v>9</v>
          </cell>
          <cell r="AC37">
            <v>9</v>
          </cell>
          <cell r="AD37">
            <v>12</v>
          </cell>
          <cell r="AE37">
            <v>12</v>
          </cell>
          <cell r="AF37">
            <v>12</v>
          </cell>
          <cell r="AG37">
            <v>12</v>
          </cell>
          <cell r="AH37">
            <v>15</v>
          </cell>
          <cell r="AI37">
            <v>15</v>
          </cell>
          <cell r="AJ37">
            <v>15</v>
          </cell>
          <cell r="AT37" t="str">
            <v>PrePower</v>
          </cell>
        </row>
        <row r="38">
          <cell r="H38" t="str">
            <v>SL TRX Roll Out</v>
          </cell>
          <cell r="Q38" t="str">
            <v>Double 90-90 Stretch</v>
          </cell>
          <cell r="Y38" t="str">
            <v>:05 ECC Loaded Sit Up</v>
          </cell>
          <cell r="Z38" t="str">
            <v>Feet Anchored, DB Goblet, use core not legs</v>
          </cell>
          <cell r="AA38">
            <v>8</v>
          </cell>
          <cell r="AB38">
            <v>8</v>
          </cell>
          <cell r="AC38">
            <v>8</v>
          </cell>
          <cell r="AD38">
            <v>8</v>
          </cell>
          <cell r="AE38">
            <v>8</v>
          </cell>
          <cell r="AF38">
            <v>8</v>
          </cell>
          <cell r="AG38">
            <v>8</v>
          </cell>
          <cell r="AH38">
            <v>8</v>
          </cell>
          <cell r="AI38">
            <v>8</v>
          </cell>
          <cell r="AJ38">
            <v>8</v>
          </cell>
          <cell r="AT38" t="str">
            <v>Shoulders</v>
          </cell>
        </row>
        <row r="39">
          <cell r="H39" t="str">
            <v>TRX Plank w/ Flutters</v>
          </cell>
          <cell r="Q39" t="str">
            <v>Double 90-90 Stretch w/ plate</v>
          </cell>
          <cell r="Y39" t="str">
            <v>Paloff Hold + Rot. Pulses</v>
          </cell>
          <cell r="Z39" t="str">
            <v>mini 2" pulses from neutral to the inside</v>
          </cell>
          <cell r="AA39" t="str">
            <v>20/s</v>
          </cell>
          <cell r="AB39">
            <v>20</v>
          </cell>
          <cell r="AC39">
            <v>20</v>
          </cell>
          <cell r="AD39">
            <v>20</v>
          </cell>
          <cell r="AE39">
            <v>20</v>
          </cell>
          <cell r="AF39">
            <v>20</v>
          </cell>
          <cell r="AG39">
            <v>20</v>
          </cell>
          <cell r="AH39">
            <v>20</v>
          </cell>
          <cell r="AI39">
            <v>20</v>
          </cell>
          <cell r="AJ39">
            <v>20</v>
          </cell>
          <cell r="AT39" t="str">
            <v>Spine</v>
          </cell>
        </row>
        <row r="40">
          <cell r="H40" t="str">
            <v>Plank Rollout w/ Foot Slider</v>
          </cell>
          <cell r="Q40" t="str">
            <v>Double 90-90 Stretch w/ rotation</v>
          </cell>
          <cell r="AT40" t="str">
            <v>Lunges</v>
          </cell>
        </row>
        <row r="41">
          <cell r="H41" t="str">
            <v>Plank Rollout w/ Arm Slider</v>
          </cell>
          <cell r="Q41" t="str">
            <v>Double 90-90 Stretch w/ rotation and row</v>
          </cell>
          <cell r="AT41" t="str">
            <v>Squats</v>
          </cell>
        </row>
        <row r="42">
          <cell r="H42" t="str">
            <v>Rev. Plank walk w/ Foot Slider</v>
          </cell>
          <cell r="Q42" t="str">
            <v>Hip 90-90 + IR/ER</v>
          </cell>
          <cell r="AT42" t="str">
            <v>Gymnastics</v>
          </cell>
        </row>
        <row r="43">
          <cell r="H43" t="str">
            <v>SL Plank Rollout w/ Foot Slider</v>
          </cell>
          <cell r="W43" t="str">
            <v>Prehab 1</v>
          </cell>
          <cell r="X43" t="str">
            <v>General Moguls Prehab</v>
          </cell>
          <cell r="Y43" t="str">
            <v>Pike Seated SL Hip Flexion over cone</v>
          </cell>
          <cell r="Z43" t="str">
            <v>seated on floor, squeeze quad, point toes</v>
          </cell>
          <cell r="AA43" t="str">
            <v>10/s</v>
          </cell>
          <cell r="AB43">
            <v>10</v>
          </cell>
          <cell r="AC43">
            <v>10</v>
          </cell>
          <cell r="AD43">
            <v>12</v>
          </cell>
          <cell r="AE43">
            <v>12</v>
          </cell>
          <cell r="AF43">
            <v>12</v>
          </cell>
          <cell r="AG43">
            <v>14</v>
          </cell>
          <cell r="AH43">
            <v>14</v>
          </cell>
          <cell r="AI43">
            <v>14</v>
          </cell>
          <cell r="AJ43">
            <v>14</v>
          </cell>
          <cell r="AT43" t="str">
            <v>Skills</v>
          </cell>
        </row>
        <row r="44">
          <cell r="H44" t="str">
            <v>Ab Wheel Roll Out</v>
          </cell>
          <cell r="Q44" t="str">
            <v>Alt. Double 90-90 Stretch + Ext.</v>
          </cell>
          <cell r="Y44" t="str">
            <v>Standing Tib Ant. Raises - DB Goblet</v>
          </cell>
          <cell r="Z44" t="str">
            <v>use decline pads, back against wall, no shoes</v>
          </cell>
          <cell r="AA44">
            <v>15</v>
          </cell>
          <cell r="AB44">
            <v>15</v>
          </cell>
          <cell r="AC44">
            <v>15</v>
          </cell>
          <cell r="AD44">
            <v>15</v>
          </cell>
          <cell r="AE44">
            <v>15</v>
          </cell>
          <cell r="AF44">
            <v>15</v>
          </cell>
          <cell r="AG44">
            <v>15</v>
          </cell>
          <cell r="AH44">
            <v>15</v>
          </cell>
          <cell r="AI44">
            <v>15</v>
          </cell>
          <cell r="AJ44">
            <v>15</v>
          </cell>
          <cell r="AT44" t="str">
            <v>F-Marc</v>
          </cell>
        </row>
        <row r="45">
          <cell r="H45" t="str">
            <v>Ab Wheel Roll Out w/ band</v>
          </cell>
          <cell r="Q45" t="str">
            <v>Pigeon</v>
          </cell>
          <cell r="Y45" t="str">
            <v>Tricep Push Down (:02 ECC)</v>
          </cell>
          <cell r="Z45" t="str">
            <v>Rope attachment, hands apart</v>
          </cell>
          <cell r="AA45" t="str">
            <v>10/s</v>
          </cell>
          <cell r="AB45">
            <v>10</v>
          </cell>
          <cell r="AC45">
            <v>10</v>
          </cell>
          <cell r="AD45">
            <v>10</v>
          </cell>
          <cell r="AE45">
            <v>10</v>
          </cell>
          <cell r="AF45">
            <v>10</v>
          </cell>
          <cell r="AG45">
            <v>10</v>
          </cell>
          <cell r="AH45">
            <v>10</v>
          </cell>
          <cell r="AI45">
            <v>10</v>
          </cell>
          <cell r="AJ45">
            <v>10</v>
          </cell>
          <cell r="AT45" t="str">
            <v>Hurdles</v>
          </cell>
        </row>
        <row r="46">
          <cell r="Q46" t="str">
            <v>Pigeon w/ lateral band distraction</v>
          </cell>
          <cell r="W46" t="str">
            <v>Prehab 2</v>
          </cell>
          <cell r="X46" t="str">
            <v>General Moguls Prehab</v>
          </cell>
          <cell r="Y46" t="str">
            <v>SL Bench Glute Bridge + DB Pullover</v>
          </cell>
          <cell r="Z46" t="str">
            <v>Hips high and level, ribs down, exhale</v>
          </cell>
          <cell r="AA46" t="str">
            <v>6/s</v>
          </cell>
          <cell r="AB46">
            <v>6</v>
          </cell>
          <cell r="AC46">
            <v>6</v>
          </cell>
          <cell r="AD46">
            <v>7</v>
          </cell>
          <cell r="AE46">
            <v>7</v>
          </cell>
          <cell r="AF46">
            <v>7</v>
          </cell>
          <cell r="AG46">
            <v>8</v>
          </cell>
          <cell r="AH46">
            <v>8</v>
          </cell>
          <cell r="AI46">
            <v>8</v>
          </cell>
          <cell r="AJ46">
            <v>8</v>
          </cell>
          <cell r="AT46" t="str">
            <v>SquatHipOpener</v>
          </cell>
        </row>
        <row r="47">
          <cell r="H47" t="str">
            <v>Sit Ups</v>
          </cell>
          <cell r="Q47" t="str">
            <v>Frog Stretch</v>
          </cell>
          <cell r="Y47" t="str">
            <v>Standing Knee Drive w/ mini band (:05 ISO)</v>
          </cell>
          <cell r="Z47" t="str">
            <v>hands against wall, lean forward</v>
          </cell>
          <cell r="AA47">
            <v>4</v>
          </cell>
          <cell r="AB47">
            <v>4</v>
          </cell>
          <cell r="AC47">
            <v>4</v>
          </cell>
          <cell r="AD47">
            <v>5</v>
          </cell>
          <cell r="AE47">
            <v>5</v>
          </cell>
          <cell r="AF47">
            <v>5</v>
          </cell>
          <cell r="AG47">
            <v>6</v>
          </cell>
          <cell r="AH47">
            <v>6</v>
          </cell>
          <cell r="AI47">
            <v>6</v>
          </cell>
          <cell r="AJ47">
            <v>6</v>
          </cell>
          <cell r="AT47" t="str">
            <v>PrePower1</v>
          </cell>
        </row>
        <row r="48">
          <cell r="H48" t="str">
            <v>Weighted Sit Ups</v>
          </cell>
          <cell r="Q48" t="str">
            <v>Frog Stretch + Left Rotation &amp; Reach</v>
          </cell>
          <cell r="Y48" t="str">
            <v>ISO Neck Holds - 3 ways</v>
          </cell>
          <cell r="Z48" t="str">
            <v>focus on head position, not load</v>
          </cell>
          <cell r="AA48" t="str">
            <v>:15</v>
          </cell>
          <cell r="AB48" t="str">
            <v>:15</v>
          </cell>
          <cell r="AC48" t="str">
            <v>:20</v>
          </cell>
          <cell r="AD48" t="str">
            <v>:20</v>
          </cell>
          <cell r="AE48" t="str">
            <v>:25</v>
          </cell>
          <cell r="AF48" t="str">
            <v>:25</v>
          </cell>
          <cell r="AG48" t="str">
            <v>:30</v>
          </cell>
          <cell r="AH48" t="str">
            <v>:30</v>
          </cell>
          <cell r="AI48" t="str">
            <v>:30</v>
          </cell>
          <cell r="AJ48" t="str">
            <v>:30</v>
          </cell>
          <cell r="AT48" t="str">
            <v>Circuit 2</v>
          </cell>
        </row>
        <row r="49">
          <cell r="H49" t="str">
            <v>Turkish Sit Up</v>
          </cell>
          <cell r="Q49" t="str">
            <v>Frog Stretch + Right Rotation &amp; Reach</v>
          </cell>
          <cell r="W49" t="str">
            <v>Prehab 3</v>
          </cell>
          <cell r="X49" t="str">
            <v>General Moguls Prehab</v>
          </cell>
          <cell r="Y49" t="str">
            <v>Swiss Ball Glute Bridge March - DB OH</v>
          </cell>
          <cell r="Z49" t="str">
            <v>upper back on SB, alt extending legs</v>
          </cell>
          <cell r="AA49" t="str">
            <v>6/s</v>
          </cell>
          <cell r="AB49">
            <v>6</v>
          </cell>
          <cell r="AC49">
            <v>6</v>
          </cell>
          <cell r="AD49">
            <v>7</v>
          </cell>
          <cell r="AE49">
            <v>7</v>
          </cell>
          <cell r="AF49">
            <v>7</v>
          </cell>
          <cell r="AG49">
            <v>8</v>
          </cell>
          <cell r="AH49">
            <v>8</v>
          </cell>
          <cell r="AI49">
            <v>8</v>
          </cell>
          <cell r="AJ49">
            <v>8</v>
          </cell>
        </row>
        <row r="50">
          <cell r="H50" t="str">
            <v>SA Turkish Sit Up</v>
          </cell>
          <cell r="Q50" t="str">
            <v>Frog Stretch + Alt Rotation &amp; Reach</v>
          </cell>
          <cell r="Y50" t="str">
            <v>Full Range Knee Copenhagen Plank :05 ISO</v>
          </cell>
          <cell r="Z50" t="str">
            <v>Knee on bench, full range down, ISO at top</v>
          </cell>
          <cell r="AA50">
            <v>4</v>
          </cell>
          <cell r="AB50">
            <v>4</v>
          </cell>
          <cell r="AC50">
            <v>4</v>
          </cell>
          <cell r="AD50">
            <v>5</v>
          </cell>
          <cell r="AE50">
            <v>5</v>
          </cell>
          <cell r="AF50">
            <v>5</v>
          </cell>
          <cell r="AG50">
            <v>6</v>
          </cell>
          <cell r="AH50">
            <v>6</v>
          </cell>
          <cell r="AI50">
            <v>6</v>
          </cell>
          <cell r="AJ50">
            <v>6</v>
          </cell>
        </row>
        <row r="51">
          <cell r="H51" t="str">
            <v>SA Turkish Sit Up - Opp Leg Anchor</v>
          </cell>
          <cell r="Q51" t="str">
            <v>"RLESS" w/ knee support &amp; Rot.</v>
          </cell>
          <cell r="Y51" t="str">
            <v>Fast Ecc. Hip Flexion Catch w/ band</v>
          </cell>
          <cell r="Z51" t="str">
            <v>band on pull-up bar, pulls foot up to parallel, rhythm</v>
          </cell>
          <cell r="AA51" t="str">
            <v>20/s</v>
          </cell>
          <cell r="AB51">
            <v>20</v>
          </cell>
          <cell r="AC51">
            <v>20</v>
          </cell>
          <cell r="AD51">
            <v>20</v>
          </cell>
          <cell r="AE51">
            <v>20</v>
          </cell>
          <cell r="AF51">
            <v>20</v>
          </cell>
          <cell r="AG51">
            <v>20</v>
          </cell>
          <cell r="AH51">
            <v>20</v>
          </cell>
          <cell r="AI51">
            <v>20</v>
          </cell>
          <cell r="AJ51">
            <v>20</v>
          </cell>
        </row>
        <row r="52">
          <cell r="Q52" t="str">
            <v>Thomas Stretch</v>
          </cell>
          <cell r="W52" t="str">
            <v>Prehab 4</v>
          </cell>
          <cell r="X52" t="str">
            <v>General Moguls Prehab</v>
          </cell>
          <cell r="Y52" t="str">
            <v>Pike Seated SL Hip Flexion over cone</v>
          </cell>
          <cell r="Z52" t="str">
            <v>seated on floor, squeeze quad, point toes</v>
          </cell>
          <cell r="AA52" t="str">
            <v>12/s</v>
          </cell>
          <cell r="AB52">
            <v>12</v>
          </cell>
          <cell r="AC52">
            <v>12</v>
          </cell>
          <cell r="AD52">
            <v>14</v>
          </cell>
          <cell r="AE52">
            <v>14</v>
          </cell>
          <cell r="AF52">
            <v>14</v>
          </cell>
          <cell r="AG52">
            <v>16</v>
          </cell>
          <cell r="AH52">
            <v>16</v>
          </cell>
          <cell r="AI52">
            <v>16</v>
          </cell>
          <cell r="AJ52">
            <v>16</v>
          </cell>
        </row>
        <row r="53">
          <cell r="Q53" t="str">
            <v>Thomas Stretch + Top Knee Ext.</v>
          </cell>
          <cell r="Y53" t="str">
            <v>i. Wall Tib Ant. Raise / ii. Calf Raise</v>
          </cell>
          <cell r="Z53" t="str">
            <v>A then B. Use decline pads for both</v>
          </cell>
          <cell r="AA53" t="str">
            <v>15e</v>
          </cell>
          <cell r="AB53">
            <v>15</v>
          </cell>
          <cell r="AC53">
            <v>15</v>
          </cell>
          <cell r="AD53">
            <v>15</v>
          </cell>
          <cell r="AE53">
            <v>15</v>
          </cell>
          <cell r="AF53">
            <v>15</v>
          </cell>
          <cell r="AG53">
            <v>15</v>
          </cell>
          <cell r="AH53">
            <v>15</v>
          </cell>
          <cell r="AI53">
            <v>15</v>
          </cell>
          <cell r="AJ53">
            <v>15</v>
          </cell>
        </row>
        <row r="54">
          <cell r="H54" t="str">
            <v>Cherry-Pickers</v>
          </cell>
          <cell r="Q54" t="str">
            <v>Thomas Stretch w/ KB ECC Ext.</v>
          </cell>
          <cell r="Y54" t="str">
            <v>Lying Triceps Skull Crushers - 2 DBs</v>
          </cell>
          <cell r="Z54" t="str">
            <v>Lying on bench, triceps extensions, neutral grip</v>
          </cell>
          <cell r="AA54">
            <v>10</v>
          </cell>
          <cell r="AB54">
            <v>10</v>
          </cell>
          <cell r="AC54">
            <v>10</v>
          </cell>
          <cell r="AD54">
            <v>10</v>
          </cell>
          <cell r="AE54">
            <v>10</v>
          </cell>
          <cell r="AF54">
            <v>10</v>
          </cell>
          <cell r="AG54">
            <v>10</v>
          </cell>
          <cell r="AH54">
            <v>10</v>
          </cell>
          <cell r="AI54">
            <v>10</v>
          </cell>
          <cell r="AJ54">
            <v>10</v>
          </cell>
        </row>
        <row r="55">
          <cell r="H55" t="str">
            <v>Bicycle Crunch</v>
          </cell>
          <cell r="Q55" t="str">
            <v>Standing Hip Flexor Stretch w/ Box</v>
          </cell>
          <cell r="W55" t="str">
            <v>Recovery</v>
          </cell>
          <cell r="X55" t="str">
            <v>Short Daily Recovery Circuit</v>
          </cell>
          <cell r="Y55" t="str">
            <v>Alt "Cork" Stretch</v>
          </cell>
          <cell r="Z55" t="str">
            <v>Step Back, rot over front leg, touch back foot</v>
          </cell>
          <cell r="AA55" t="str">
            <v>1m</v>
          </cell>
          <cell r="AB55">
            <v>1</v>
          </cell>
          <cell r="AC55">
            <v>1</v>
          </cell>
          <cell r="AD55">
            <v>1</v>
          </cell>
          <cell r="AE55">
            <v>1</v>
          </cell>
          <cell r="AF55">
            <v>1</v>
          </cell>
          <cell r="AG55">
            <v>1</v>
          </cell>
          <cell r="AH55">
            <v>1</v>
          </cell>
          <cell r="AI55">
            <v>1</v>
          </cell>
          <cell r="AJ55">
            <v>1</v>
          </cell>
        </row>
        <row r="56">
          <cell r="H56" t="str">
            <v>V-Ups (knees to chest)</v>
          </cell>
          <cell r="Q56" t="str">
            <v>Hip PAILS/RAILS - 90-90</v>
          </cell>
          <cell r="Y56" t="str">
            <v>Child's Pose &gt; Upward Dog</v>
          </cell>
          <cell r="Z56" t="str">
            <v>Alternate slowly between</v>
          </cell>
          <cell r="AA56" t="str">
            <v>1m</v>
          </cell>
          <cell r="AB56">
            <v>1</v>
          </cell>
          <cell r="AC56">
            <v>1</v>
          </cell>
          <cell r="AD56">
            <v>1</v>
          </cell>
          <cell r="AE56">
            <v>1</v>
          </cell>
          <cell r="AF56">
            <v>1</v>
          </cell>
          <cell r="AG56">
            <v>1</v>
          </cell>
          <cell r="AH56">
            <v>1</v>
          </cell>
          <cell r="AI56">
            <v>1</v>
          </cell>
          <cell r="AJ56">
            <v>1</v>
          </cell>
        </row>
        <row r="57">
          <cell r="H57" t="str">
            <v>V-Ups (knees to chest) + Twist</v>
          </cell>
          <cell r="Q57" t="str">
            <v>Hamstring PNF</v>
          </cell>
          <cell r="Y57" t="str">
            <v>Pigeon on Box + 3 way Hip Hinge</v>
          </cell>
          <cell r="Z57" t="str">
            <v>Hinge slowly to knee, middle, foot</v>
          </cell>
          <cell r="AA57" t="str">
            <v>1m/s</v>
          </cell>
          <cell r="AB57">
            <v>1</v>
          </cell>
          <cell r="AC57">
            <v>1</v>
          </cell>
          <cell r="AD57">
            <v>1</v>
          </cell>
          <cell r="AE57">
            <v>1</v>
          </cell>
          <cell r="AF57">
            <v>1</v>
          </cell>
          <cell r="AG57">
            <v>1</v>
          </cell>
          <cell r="AH57">
            <v>1</v>
          </cell>
          <cell r="AI57">
            <v>1</v>
          </cell>
          <cell r="AJ57">
            <v>1</v>
          </cell>
        </row>
        <row r="58">
          <cell r="H58" t="str">
            <v>V-Ups</v>
          </cell>
          <cell r="Q58" t="str">
            <v>Hamstring Floss w/ post. Distraction</v>
          </cell>
          <cell r="W58" t="str">
            <v>Flywheel Extras</v>
          </cell>
          <cell r="X58" t="str">
            <v>Choose 1 or 2, end of workout</v>
          </cell>
          <cell r="Y58" t="str">
            <v>SL Leg Extension</v>
          </cell>
          <cell r="Z58" t="str">
            <v>If the quads need some love</v>
          </cell>
          <cell r="AA58" t="str">
            <v>10/s</v>
          </cell>
          <cell r="AB58">
            <v>10</v>
          </cell>
          <cell r="AC58">
            <v>10</v>
          </cell>
          <cell r="AD58" t="str">
            <v/>
          </cell>
          <cell r="AE58" t="str">
            <v/>
          </cell>
          <cell r="AF58" t="str">
            <v/>
          </cell>
          <cell r="AG58" t="str">
            <v/>
          </cell>
          <cell r="AH58" t="str">
            <v/>
          </cell>
          <cell r="AI58" t="str">
            <v/>
          </cell>
          <cell r="AJ58" t="str">
            <v/>
          </cell>
        </row>
        <row r="59">
          <cell r="H59" t="str">
            <v>V-Ups w/ Opp. Toe Touch</v>
          </cell>
          <cell r="Q59" t="str">
            <v>1/2 Kneeling slides - Hamstring &amp; Goalie</v>
          </cell>
          <cell r="Y59" t="str">
            <v>ISO Lunge K-Box Row</v>
          </cell>
          <cell r="Z59" t="str">
            <v>Very athletic, some rotation, good posture</v>
          </cell>
          <cell r="AA59" t="str">
            <v>8/s</v>
          </cell>
          <cell r="AB59">
            <v>8</v>
          </cell>
          <cell r="AC59">
            <v>8</v>
          </cell>
          <cell r="AD59" t="str">
            <v/>
          </cell>
          <cell r="AE59" t="str">
            <v/>
          </cell>
          <cell r="AF59" t="str">
            <v/>
          </cell>
          <cell r="AG59" t="str">
            <v/>
          </cell>
          <cell r="AH59" t="str">
            <v/>
          </cell>
          <cell r="AI59" t="str">
            <v/>
          </cell>
          <cell r="AJ59" t="str">
            <v/>
          </cell>
        </row>
        <row r="60">
          <cell r="H60" t="str">
            <v>V-Ups w/ Pass-through</v>
          </cell>
          <cell r="Y60" t="str">
            <v>Standing K-Box Rotation</v>
          </cell>
          <cell r="Z60" t="str">
            <v>small ROM, very stable lower body</v>
          </cell>
          <cell r="AA60" t="str">
            <v>8/s</v>
          </cell>
          <cell r="AB60">
            <v>8</v>
          </cell>
          <cell r="AC60">
            <v>8</v>
          </cell>
          <cell r="AD60" t="str">
            <v/>
          </cell>
          <cell r="AE60" t="str">
            <v/>
          </cell>
          <cell r="AF60" t="str">
            <v/>
          </cell>
          <cell r="AG60" t="str">
            <v/>
          </cell>
          <cell r="AH60" t="str">
            <v/>
          </cell>
          <cell r="AI60" t="str">
            <v/>
          </cell>
          <cell r="AJ60" t="str">
            <v/>
          </cell>
        </row>
        <row r="61">
          <cell r="H61" t="str">
            <v>Scissor V-Ups w/ Pass-through</v>
          </cell>
          <cell r="Q61" t="str">
            <v>Seated Hip Add. &amp; IR</v>
          </cell>
        </row>
        <row r="62">
          <cell r="H62" t="str">
            <v>V-Ups w/ weight (knees to chest)</v>
          </cell>
          <cell r="Q62" t="str">
            <v>SL Seated Hip Add. &amp; IR</v>
          </cell>
        </row>
        <row r="63">
          <cell r="H63" t="str">
            <v>V-Ups w/ weight (knees to chest) + Twist</v>
          </cell>
          <cell r="Q63" t="str">
            <v>All Fours - SL Hip IR</v>
          </cell>
        </row>
        <row r="64">
          <cell r="H64" t="str">
            <v>Jackknife</v>
          </cell>
          <cell r="Q64" t="str">
            <v>Standing Hip IR w/band</v>
          </cell>
          <cell r="W64" t="str">
            <v>Prehab 4</v>
          </cell>
          <cell r="X64" t="str">
            <v>General Moguls Prehab</v>
          </cell>
          <cell r="Y64" t="str">
            <v>Sliding Lateral Split Squat w/ paloff hold</v>
          </cell>
          <cell r="Z64" t="str">
            <v>stay low, head never rises, light band/cable</v>
          </cell>
          <cell r="AA64" t="str">
            <v>6/s</v>
          </cell>
          <cell r="AB64">
            <v>6</v>
          </cell>
          <cell r="AC64">
            <v>7</v>
          </cell>
          <cell r="AD64">
            <v>7</v>
          </cell>
          <cell r="AE64">
            <v>8</v>
          </cell>
          <cell r="AF64">
            <v>8</v>
          </cell>
          <cell r="AG64">
            <v>9</v>
          </cell>
          <cell r="AH64">
            <v>9</v>
          </cell>
          <cell r="AI64">
            <v>10</v>
          </cell>
          <cell r="AJ64">
            <v>10</v>
          </cell>
        </row>
        <row r="65">
          <cell r="H65" t="str">
            <v>Straight-leg Sit-up w/ Toe Touch</v>
          </cell>
          <cell r="Q65" t="str">
            <v>Standing Hip IR w/ cable pull</v>
          </cell>
          <cell r="Y65" t="str">
            <v>Hip Ad+IR- Lying down, feet on bench, mb</v>
          </cell>
          <cell r="Z65" t="str">
            <v>same as warm up but adding load</v>
          </cell>
          <cell r="AA65">
            <v>8</v>
          </cell>
          <cell r="AB65">
            <v>8</v>
          </cell>
          <cell r="AC65">
            <v>8</v>
          </cell>
          <cell r="AD65">
            <v>8</v>
          </cell>
          <cell r="AE65">
            <v>8</v>
          </cell>
          <cell r="AF65">
            <v>8</v>
          </cell>
          <cell r="AG65">
            <v>8</v>
          </cell>
          <cell r="AH65">
            <v>8</v>
          </cell>
          <cell r="AI65">
            <v>8</v>
          </cell>
          <cell r="AJ65">
            <v>8</v>
          </cell>
        </row>
        <row r="66">
          <cell r="H66" t="str">
            <v>Sit Up + Med Ball Chest Pass</v>
          </cell>
          <cell r="Y66" t="str">
            <v>SA Shoulder ER + Iso Hold w/ band</v>
          </cell>
          <cell r="Z66" t="str">
            <v>mogul arms, ER one arm, hold other stable</v>
          </cell>
          <cell r="AA66" t="str">
            <v>8/s</v>
          </cell>
          <cell r="AB66">
            <v>8</v>
          </cell>
          <cell r="AC66">
            <v>8</v>
          </cell>
          <cell r="AD66">
            <v>8</v>
          </cell>
          <cell r="AE66">
            <v>8</v>
          </cell>
          <cell r="AF66">
            <v>8</v>
          </cell>
          <cell r="AG66">
            <v>8</v>
          </cell>
          <cell r="AH66">
            <v>8</v>
          </cell>
          <cell r="AI66">
            <v>8</v>
          </cell>
          <cell r="AJ66">
            <v>8</v>
          </cell>
        </row>
        <row r="67">
          <cell r="H67" t="str">
            <v>Sit Up + OH MB Pass</v>
          </cell>
          <cell r="Q67" t="str">
            <v>GLUTE/HIP ACTIVATION</v>
          </cell>
          <cell r="W67" t="str">
            <v>Prehab 5</v>
          </cell>
          <cell r="X67" t="str">
            <v>Prehab 1 &amp; 2 Progression</v>
          </cell>
          <cell r="Y67" t="str">
            <v>SL Bench Glute Bridge + DB Pullover</v>
          </cell>
          <cell r="Z67" t="str">
            <v>Hips high and level, ribs down, exhale</v>
          </cell>
          <cell r="AA67" t="str">
            <v>6/s</v>
          </cell>
          <cell r="AB67">
            <v>6</v>
          </cell>
          <cell r="AC67">
            <v>6</v>
          </cell>
          <cell r="AD67">
            <v>7</v>
          </cell>
          <cell r="AE67">
            <v>7</v>
          </cell>
          <cell r="AF67">
            <v>7</v>
          </cell>
          <cell r="AG67">
            <v>8</v>
          </cell>
          <cell r="AH67">
            <v>8</v>
          </cell>
          <cell r="AI67">
            <v>8</v>
          </cell>
          <cell r="AJ67">
            <v>8</v>
          </cell>
        </row>
        <row r="68">
          <cell r="Y68" t="str">
            <v>Pike SL Straight Leg Raise</v>
          </cell>
          <cell r="Z68" t="str">
            <v>back against wall, leg straight, toes pointed</v>
          </cell>
          <cell r="AA68" t="str">
            <v>8/s</v>
          </cell>
          <cell r="AB68">
            <v>8</v>
          </cell>
          <cell r="AC68">
            <v>8</v>
          </cell>
          <cell r="AD68">
            <v>9</v>
          </cell>
          <cell r="AE68">
            <v>9</v>
          </cell>
          <cell r="AF68">
            <v>9</v>
          </cell>
          <cell r="AG68">
            <v>10</v>
          </cell>
          <cell r="AH68">
            <v>10</v>
          </cell>
          <cell r="AI68">
            <v>10</v>
          </cell>
          <cell r="AJ68">
            <v>10</v>
          </cell>
        </row>
        <row r="69">
          <cell r="H69" t="str">
            <v>Supine Leg Raises (:03 ECC)</v>
          </cell>
          <cell r="Y69" t="str">
            <v>ISO Neck Holds - 3 ways</v>
          </cell>
          <cell r="Z69" t="str">
            <v>focus on head position, not load</v>
          </cell>
          <cell r="AA69" t="str">
            <v>:30</v>
          </cell>
          <cell r="AB69" t="str">
            <v>:30</v>
          </cell>
          <cell r="AC69" t="str">
            <v>:30</v>
          </cell>
          <cell r="AD69" t="str">
            <v>:30</v>
          </cell>
          <cell r="AE69" t="str">
            <v>:30</v>
          </cell>
          <cell r="AF69" t="str">
            <v>:30</v>
          </cell>
          <cell r="AG69" t="str">
            <v>:30</v>
          </cell>
          <cell r="AH69" t="str">
            <v>:30</v>
          </cell>
          <cell r="AI69" t="str">
            <v>:30</v>
          </cell>
          <cell r="AJ69" t="str">
            <v>:30</v>
          </cell>
        </row>
        <row r="70">
          <cell r="H70" t="str">
            <v>Supine Leg Raises w/ swiss ball squeeze</v>
          </cell>
          <cell r="Q70" t="str">
            <v>45-deg Toe Taps w/ mini band</v>
          </cell>
        </row>
        <row r="71">
          <cell r="H71" t="str">
            <v>Supine Leg Extension w/ band</v>
          </cell>
          <cell r="Q71" t="str">
            <v>Lateral Toe Taps</v>
          </cell>
        </row>
        <row r="72">
          <cell r="H72" t="str">
            <v>Reverse Crunch</v>
          </cell>
          <cell r="Q72" t="str">
            <v>3-way Toe Taps</v>
          </cell>
        </row>
        <row r="73">
          <cell r="H73" t="str">
            <v>Reverse Crunch + Leg Ext</v>
          </cell>
          <cell r="Q73" t="str">
            <v>3-way Toe Taps + Plate Hold</v>
          </cell>
        </row>
        <row r="74">
          <cell r="H74" t="str">
            <v>Reverse Crunch + Leg Ext w/ Band</v>
          </cell>
          <cell r="Q74" t="str">
            <v>Glute Med Lateral Leans</v>
          </cell>
        </row>
        <row r="75">
          <cell r="H75" t="str">
            <v>Hollow Body Lowers on Bench</v>
          </cell>
          <cell r="Q75" t="str">
            <v>Straight Leg Hip Abduction w/ mini band</v>
          </cell>
        </row>
        <row r="76">
          <cell r="H76" t="str">
            <v>Partner Leg Throws</v>
          </cell>
          <cell r="Q76" t="str">
            <v>Clamshell</v>
          </cell>
        </row>
        <row r="77">
          <cell r="H77" t="str">
            <v>Tuck Support - parallel bars</v>
          </cell>
          <cell r="Q77" t="str">
            <v>Iso Clamshell</v>
          </cell>
        </row>
        <row r="78">
          <cell r="H78" t="str">
            <v>Tuck Support + Leg Raise</v>
          </cell>
          <cell r="Q78" t="str">
            <v>Knee Side Plank</v>
          </cell>
        </row>
        <row r="79">
          <cell r="H79" t="str">
            <v>L-Sit</v>
          </cell>
          <cell r="Q79" t="str">
            <v>SL Knee Side Plank</v>
          </cell>
          <cell r="BX79" t="str">
            <v>Back Squat</v>
          </cell>
        </row>
        <row r="80">
          <cell r="H80" t="str">
            <v>Foot Supported L-Sit</v>
          </cell>
          <cell r="Q80" t="str">
            <v>Knee Side Plank w/ Clamshell</v>
          </cell>
          <cell r="BX80" t="str">
            <v>Front Squat</v>
          </cell>
        </row>
        <row r="81">
          <cell r="H81" t="str">
            <v>1-Foot Supported L-Sit</v>
          </cell>
          <cell r="Q81" t="str">
            <v>Knee Side Plank w/ Clamshell Hold</v>
          </cell>
          <cell r="BX81" t="str">
            <v>TB Deadlift</v>
          </cell>
        </row>
        <row r="82">
          <cell r="H82" t="str">
            <v>Supine SB Straight Leg Raise (Feet on Ball)</v>
          </cell>
          <cell r="Q82" t="str">
            <v>Knee Side Plank + Clamshell w/ Band</v>
          </cell>
          <cell r="BX82" t="str">
            <v>Jump Squat</v>
          </cell>
        </row>
        <row r="83">
          <cell r="Q83" t="str">
            <v>SL Knee Side Plank w/ Opp Leg Raise</v>
          </cell>
        </row>
        <row r="84">
          <cell r="H84" t="str">
            <v>Hanging Bent Knee Raise</v>
          </cell>
          <cell r="Q84" t="str">
            <v>SL Knee Side Plank w/ Forward Reach</v>
          </cell>
        </row>
        <row r="85">
          <cell r="H85" t="str">
            <v>Hanging Bent Knee Raise w/ MB</v>
          </cell>
          <cell r="Q85" t="str">
            <v>SL Knee Side Plank w/ Opp Knee Touch</v>
          </cell>
        </row>
        <row r="86">
          <cell r="H86" t="str">
            <v>Hanging Straight Leg Raise</v>
          </cell>
          <cell r="Q86" t="str">
            <v>Tall Knee Side Plank w/ Top Leg Raise &amp; Hold</v>
          </cell>
        </row>
        <row r="87">
          <cell r="H87" t="str">
            <v>L-Hang</v>
          </cell>
          <cell r="Q87" t="str">
            <v>Tall Knee Side Plank w/ Top Leg Raise</v>
          </cell>
        </row>
        <row r="88">
          <cell r="H88" t="str">
            <v>Hanging Knees to Elbows</v>
          </cell>
          <cell r="Q88" t="str">
            <v>Iso Knee Side Plank w/ Partner push</v>
          </cell>
        </row>
        <row r="89">
          <cell r="H89" t="str">
            <v>Hanging Knees to Elbows w/ MB</v>
          </cell>
          <cell r="Q89" t="str">
            <v>ECC Knee Side Plank w/ Partner push</v>
          </cell>
        </row>
        <row r="90">
          <cell r="H90" t="str">
            <v>Hanging Knees to Elbows + Toes to Bar</v>
          </cell>
          <cell r="Q90" t="str">
            <v>Fire Hydrant</v>
          </cell>
        </row>
        <row r="91">
          <cell r="H91" t="str">
            <v>Toes to Bar</v>
          </cell>
          <cell r="Q91" t="str">
            <v>Iso Fire Hydrant</v>
          </cell>
        </row>
        <row r="92">
          <cell r="H92" t="str">
            <v>Front Lever Tuck Hold</v>
          </cell>
          <cell r="Q92" t="str">
            <v>Standing Fire Hydrant</v>
          </cell>
        </row>
        <row r="93">
          <cell r="H93" t="str">
            <v>Front Lever Tuck Hold + SL Extension</v>
          </cell>
          <cell r="Q93" t="str">
            <v>Standing Iso Fire Hydrant</v>
          </cell>
        </row>
        <row r="94">
          <cell r="H94" t="str">
            <v>Front Lever Tuck + ECC SL Front Lever</v>
          </cell>
          <cell r="Q94" t="str">
            <v>Fire Hydrant - Straight Leg</v>
          </cell>
        </row>
        <row r="95">
          <cell r="H95" t="str">
            <v>Front Lever Tuck + ECC Front Lever</v>
          </cell>
          <cell r="Q95" t="str">
            <v>Fire Hydrant + Hip Ext</v>
          </cell>
        </row>
        <row r="96">
          <cell r="Q96" t="str">
            <v>Goalie Position :02 Lift Off</v>
          </cell>
        </row>
        <row r="97">
          <cell r="H97" t="str">
            <v>Dead Bug</v>
          </cell>
          <cell r="Q97" t="str">
            <v>Goalie Position :05 Lift Off</v>
          </cell>
        </row>
        <row r="98">
          <cell r="H98" t="str">
            <v>Alternating Deadbug - Squeeze Swiss Ball</v>
          </cell>
          <cell r="Q98" t="str">
            <v>Bird Dog Leg Extension</v>
          </cell>
        </row>
        <row r="99">
          <cell r="H99" t="str">
            <v>2 Limb Deadbug</v>
          </cell>
          <cell r="Q99" t="str">
            <v>Bird Dog Leg Extension - :05 Hold</v>
          </cell>
        </row>
        <row r="100">
          <cell r="H100" t="str">
            <v>2 Limb Deadbug w/ swiss ball transfer</v>
          </cell>
          <cell r="Q100" t="str">
            <v>Bird Dog Leg Extension - bent knee</v>
          </cell>
        </row>
        <row r="101">
          <cell r="H101" t="str">
            <v>2 Limb Deadbug w/ Plate</v>
          </cell>
          <cell r="Q101" t="str">
            <v>RLESS w/ Cross Body Reach</v>
          </cell>
        </row>
        <row r="102">
          <cell r="H102" t="str">
            <v>Dead Bug to L-Sit w/ Plate OH</v>
          </cell>
          <cell r="Q102" t="str">
            <v>RLESS w/ Contralateral Y</v>
          </cell>
        </row>
        <row r="103">
          <cell r="H103" t="str">
            <v>Dead Bug to L-Sit w/ Alt. MB OH</v>
          </cell>
          <cell r="Q103" t="str">
            <v>Chaos RLESS</v>
          </cell>
        </row>
        <row r="104">
          <cell r="H104" t="str">
            <v>Dead Bug SL Ext. w/ SA OH band</v>
          </cell>
          <cell r="Q104" t="str">
            <v>Split Squat w/ Foam Roller</v>
          </cell>
        </row>
        <row r="105">
          <cell r="H105" t="str">
            <v>Dead Bug SL Ext. w/ OH band</v>
          </cell>
          <cell r="Q105" t="str">
            <v>Split Squat w/ Anti-lateral Foam Roller</v>
          </cell>
        </row>
        <row r="106">
          <cell r="H106" t="str">
            <v>Dead Bug w/ SA OH band</v>
          </cell>
          <cell r="Q106" t="str">
            <v>Step Back Lunge w/ MB Rotation</v>
          </cell>
        </row>
        <row r="107">
          <cell r="H107" t="str">
            <v>Rev. Crunch + Dead Bug SL Ext. w/ OH band</v>
          </cell>
          <cell r="Q107" t="str">
            <v>Step Back Lunge w/ plate rotation</v>
          </cell>
        </row>
        <row r="108">
          <cell r="H108" t="str">
            <v>Dead Bug Iso Hold w/ DB</v>
          </cell>
          <cell r="Q108" t="str">
            <v>Lateral Split Squat</v>
          </cell>
        </row>
        <row r="109">
          <cell r="H109" t="str">
            <v>Hollow Body Hold</v>
          </cell>
          <cell r="Q109" t="str">
            <v>Lateral Split Squat w/ rot.</v>
          </cell>
        </row>
        <row r="110">
          <cell r="H110" t="str">
            <v>Hollow Body Rocks</v>
          </cell>
          <cell r="Q110" t="str">
            <v>Lateral Lunge</v>
          </cell>
        </row>
        <row r="111">
          <cell r="H111" t="str">
            <v>Hollow Body Hold + OH Reach w/ plate</v>
          </cell>
          <cell r="Q111" t="str">
            <v>3-way Lunge + Stork</v>
          </cell>
        </row>
        <row r="112">
          <cell r="H112" t="str">
            <v>Hollow Body Hold + Halo w/ plate</v>
          </cell>
          <cell r="Q112" t="str">
            <v>Transverse Lunge</v>
          </cell>
        </row>
        <row r="113">
          <cell r="H113" t="str">
            <v>Hollow Body Hold w/ dowel + alt hip touch</v>
          </cell>
          <cell r="Q113" t="str">
            <v>Curtsey Lunge</v>
          </cell>
        </row>
        <row r="114">
          <cell r="Q114" t="str">
            <v>Curtsey Lunge w/ Slider</v>
          </cell>
        </row>
        <row r="115">
          <cell r="H115" t="str">
            <v>Support on Rings</v>
          </cell>
          <cell r="Q115" t="str">
            <v>Around the Worlds w/ slider</v>
          </cell>
        </row>
        <row r="116">
          <cell r="H116" t="str">
            <v>Inverted Support on Rings</v>
          </cell>
          <cell r="Q116" t="str">
            <v>Step Back Lunge w/ plate rotation</v>
          </cell>
        </row>
        <row r="117">
          <cell r="H117" t="str">
            <v>Support + Inverted Support on Rings</v>
          </cell>
        </row>
        <row r="118">
          <cell r="H118" t="str">
            <v>L-Sit on Rings</v>
          </cell>
          <cell r="Q118" t="str">
            <v>Glute Bridge</v>
          </cell>
        </row>
        <row r="119">
          <cell r="H119" t="str">
            <v>Banded Levers</v>
          </cell>
          <cell r="Q119" t="str">
            <v>Iso Glute Bridge</v>
          </cell>
        </row>
        <row r="120">
          <cell r="H120" t="str">
            <v>Banded Front Lever</v>
          </cell>
          <cell r="Q120" t="str">
            <v>Glute Bridge w/ Mini Band</v>
          </cell>
        </row>
        <row r="121">
          <cell r="H121" t="str">
            <v>Banded Back Lever</v>
          </cell>
          <cell r="Q121" t="str">
            <v>Glute Bridge w/ Mini Band + ABD</v>
          </cell>
        </row>
        <row r="122">
          <cell r="H122" t="str">
            <v>Banded Front Lever and L-Sit on Rings</v>
          </cell>
          <cell r="Q122" t="str">
            <v>Glute Bridge Taps</v>
          </cell>
        </row>
        <row r="123">
          <cell r="Q123" t="str">
            <v>Iso Glute Bridge + Alt. SL Knee Ext.</v>
          </cell>
        </row>
        <row r="124">
          <cell r="H124" t="str">
            <v>Rev. GHD Hollow Body Hold</v>
          </cell>
          <cell r="Q124" t="str">
            <v>Iso Glute Bridge + SL Knee Ext.</v>
          </cell>
        </row>
        <row r="125">
          <cell r="H125" t="str">
            <v>Rev. GHD Sit-Up</v>
          </cell>
          <cell r="Q125" t="str">
            <v>Iso Glute Bridge + Alt. SL Hip Flex.</v>
          </cell>
        </row>
        <row r="126">
          <cell r="H126" t="str">
            <v>Rev. GHD Turkish Sit-Up</v>
          </cell>
          <cell r="Q126" t="str">
            <v>Iso Glute Bridge + SL Hip Flex.</v>
          </cell>
        </row>
        <row r="127">
          <cell r="H127" t="str">
            <v>Rev. GHD Hold + Bench Press</v>
          </cell>
          <cell r="Q127" t="str">
            <v>SL Glute Bridge (opp. Knee bent)</v>
          </cell>
        </row>
        <row r="128">
          <cell r="H128" t="str">
            <v>Rev. GHD Hold + SA Bench Press</v>
          </cell>
          <cell r="Q128" t="str">
            <v>SL Glute Bridge (opp. leg straight)</v>
          </cell>
        </row>
        <row r="129">
          <cell r="Q129" t="str">
            <v>SL Glute Bridge (opp. knee tucked)</v>
          </cell>
        </row>
        <row r="130">
          <cell r="Q130" t="str">
            <v>SL Glute Bridge + opp. Knee bent &amp; ABD</v>
          </cell>
        </row>
        <row r="131">
          <cell r="H131" t="str">
            <v>Lateral Core Stabilty</v>
          </cell>
          <cell r="Q131" t="str">
            <v>SL Glute Bridge + Straight Leg Riase &amp; ABD</v>
          </cell>
        </row>
        <row r="132">
          <cell r="H132" t="str">
            <v>Resist Lateral Flexion</v>
          </cell>
          <cell r="Q132" t="str">
            <v>Elev. SL Glute Bridge (opp. Knee bent)</v>
          </cell>
        </row>
        <row r="133">
          <cell r="H133" t="str">
            <v>Side Plank</v>
          </cell>
          <cell r="Q133" t="str">
            <v>Elev. SL Glute Bridge (opp. leg straight)</v>
          </cell>
        </row>
        <row r="134">
          <cell r="H134" t="str">
            <v>Side Plank - Arm on Bench</v>
          </cell>
          <cell r="Q134" t="str">
            <v>SB Bridge (Feet) + Leg Raise (:03 hold)</v>
          </cell>
        </row>
        <row r="135">
          <cell r="H135" t="str">
            <v>Side Plank - Feet on Bench</v>
          </cell>
          <cell r="Q135" t="str">
            <v>Glute Bridge w/ Unilateral DB</v>
          </cell>
        </row>
        <row r="136">
          <cell r="H136" t="str">
            <v>Side Plank on BOSU</v>
          </cell>
          <cell r="Q136" t="str">
            <v>Glute Bridge + Cross Body Reach</v>
          </cell>
        </row>
        <row r="137">
          <cell r="H137" t="str">
            <v>Side Plank w/ DB Reach</v>
          </cell>
          <cell r="Q137" t="str">
            <v>Bench Glute Bridge + Paloff Press</v>
          </cell>
        </row>
        <row r="138">
          <cell r="H138" t="str">
            <v>Side Plank + Cable Row</v>
          </cell>
          <cell r="Q138" t="str">
            <v>Bench Glute Bridge + DB Pullover</v>
          </cell>
        </row>
        <row r="139">
          <cell r="H139" t="str">
            <v>Side Plank + Ab Wheel Rollout</v>
          </cell>
          <cell r="Q139" t="str">
            <v>Swiss Ball Glute Bridge + DB Pullover</v>
          </cell>
        </row>
        <row r="140">
          <cell r="H140" t="str">
            <v>Side Plank + Sled Pull</v>
          </cell>
          <cell r="Q140" t="str">
            <v>SL Bench Glute Bridge + DB Pullover</v>
          </cell>
        </row>
        <row r="141">
          <cell r="H141" t="str">
            <v>Side Plank on BOSU + Sled Pull</v>
          </cell>
          <cell r="Q141" t="str">
            <v>Double Leg Hip Thrust</v>
          </cell>
        </row>
        <row r="142">
          <cell r="H142" t="str">
            <v>Side Plank - Feet in TRX</v>
          </cell>
          <cell r="Q142" t="str">
            <v>Marching Hip Thrust</v>
          </cell>
        </row>
        <row r="143">
          <cell r="H143" t="str">
            <v>Side Plank + Top Leg Raise</v>
          </cell>
          <cell r="Q143" t="str">
            <v>Marching Hip Thrust w/ Swiss Ball</v>
          </cell>
        </row>
        <row r="144">
          <cell r="H144" t="str">
            <v>Tall Side Plank + Landmine Hold</v>
          </cell>
          <cell r="Q144" t="str">
            <v>Single Leg Hip Thrust</v>
          </cell>
        </row>
        <row r="145">
          <cell r="H145" t="str">
            <v>Tall Side Plank w/ Top Leg Raise + Landmine Hold</v>
          </cell>
          <cell r="Q145" t="str">
            <v>Stork</v>
          </cell>
        </row>
        <row r="146">
          <cell r="H146" t="str">
            <v>Knee Side Plank</v>
          </cell>
          <cell r="Q146" t="str">
            <v>Stork w/ Swiss Ball</v>
          </cell>
        </row>
        <row r="147">
          <cell r="H147" t="str">
            <v>Knee Side Plank + Top Leg Raise</v>
          </cell>
          <cell r="Q147" t="str">
            <v>Stork + Hip Extension</v>
          </cell>
        </row>
        <row r="148">
          <cell r="H148" t="str">
            <v>Knee Side Plank + Cable Row</v>
          </cell>
          <cell r="Q148" t="str">
            <v>Stork March Facing Wall</v>
          </cell>
        </row>
        <row r="149">
          <cell r="H149" t="str">
            <v>Tall Knee Side Plank</v>
          </cell>
          <cell r="Q149" t="str">
            <v>Knee Drive Facing wall w/ band</v>
          </cell>
        </row>
        <row r="150">
          <cell r="H150" t="str">
            <v>Tall Knee Side Plank w/ Top Leg Raise &amp; Hold</v>
          </cell>
          <cell r="Q150" t="str">
            <v>Standing Hip Flexion w/ mini band</v>
          </cell>
        </row>
        <row r="151">
          <cell r="H151" t="str">
            <v>Tall Knee Side Plank w/ Top Leg Raise</v>
          </cell>
          <cell r="Q151" t="str">
            <v>Standing Hip Flexion w/ mini band + T-Spine Rot.</v>
          </cell>
        </row>
        <row r="152">
          <cell r="H152" t="str">
            <v>1/2 Kneel KB Windmill</v>
          </cell>
          <cell r="Q152" t="str">
            <v>Standing Hip Flex/Add/IR w/ mini band</v>
          </cell>
        </row>
        <row r="153">
          <cell r="H153" t="str">
            <v>Kneel-to-stand w/ offset KBs</v>
          </cell>
          <cell r="Q153" t="str">
            <v>Supine Hip Flexion w/ mini band</v>
          </cell>
        </row>
        <row r="154">
          <cell r="H154" t="str">
            <v>Turkish Get Up</v>
          </cell>
          <cell r="Q154" t="str">
            <v>Bridge Hip Flexion w/ mini band</v>
          </cell>
        </row>
        <row r="155">
          <cell r="H155" t="str">
            <v>1/2 Turkish Get Up</v>
          </cell>
          <cell r="Q155" t="str">
            <v>Standing Hip Flexor Activation (box)</v>
          </cell>
        </row>
        <row r="156">
          <cell r="H156" t="str">
            <v>Farmer Walk</v>
          </cell>
          <cell r="Q156" t="str">
            <v>Standing Hip Flexor Isometrics</v>
          </cell>
        </row>
        <row r="157">
          <cell r="H157" t="str">
            <v>Single Arm Suitcase Carry - Heavy DB</v>
          </cell>
          <cell r="Q157" t="str">
            <v>High Knee March w/ MB OH</v>
          </cell>
        </row>
        <row r="158">
          <cell r="H158" t="str">
            <v>Single Arm Suitcase Carry - Heavy DB - 20m</v>
          </cell>
          <cell r="Q158" t="str">
            <v>Quad Lean Backs</v>
          </cell>
        </row>
        <row r="159">
          <cell r="H159" t="str">
            <v>Seated Feet Up MB Hand Switches</v>
          </cell>
          <cell r="Q159" t="str">
            <v>Pike Straight Leg Raise</v>
          </cell>
        </row>
        <row r="160">
          <cell r="H160" t="str">
            <v>Oblique Crunches - knees to side</v>
          </cell>
          <cell r="Q160" t="str">
            <v>Pike Straight Leg Raise + Mini Hurdle</v>
          </cell>
        </row>
        <row r="161">
          <cell r="Q161" t="str">
            <v>1/2 Kneel 1" Lift Offs</v>
          </cell>
        </row>
        <row r="162">
          <cell r="Q162" t="str">
            <v>OH Squat (3:1:1)</v>
          </cell>
        </row>
        <row r="163">
          <cell r="H163" t="str">
            <v>Rotary Core Stabilty</v>
          </cell>
          <cell r="Q163" t="str">
            <v>Sit to Squat</v>
          </cell>
        </row>
        <row r="164">
          <cell r="H164" t="str">
            <v>Resist Excessive L-spine Rot.</v>
          </cell>
          <cell r="Q164" t="str">
            <v>Sit to Squat w/ KB Goblet</v>
          </cell>
        </row>
        <row r="165">
          <cell r="H165" t="str">
            <v>Hanging Straight Leg Raise over Foam Roller</v>
          </cell>
          <cell r="Q165" t="str">
            <v>Sit to Squat w/ KB Forward Press</v>
          </cell>
        </row>
        <row r="166">
          <cell r="H166" t="str">
            <v>Hanging 3-Way Knee Lifts</v>
          </cell>
        </row>
        <row r="167">
          <cell r="H167" t="str">
            <v>Hanging 3-Way Knee Lifts w/ DB</v>
          </cell>
          <cell r="Q167" t="str">
            <v>SL SQUAT</v>
          </cell>
        </row>
        <row r="168">
          <cell r="H168" t="str">
            <v>Bicycle Crunch - Bent Legs</v>
          </cell>
        </row>
        <row r="169">
          <cell r="H169" t="str">
            <v>Bicycle Crunch - Straight Legs</v>
          </cell>
          <cell r="Q169" t="str">
            <v>ECC SL Squat</v>
          </cell>
        </row>
        <row r="170">
          <cell r="H170" t="str">
            <v>Landmine Rotation</v>
          </cell>
          <cell r="Q170" t="str">
            <v>Single Leg Squat</v>
          </cell>
        </row>
        <row r="171">
          <cell r="H171" t="str">
            <v>Standing Cable Rotation</v>
          </cell>
          <cell r="Q171" t="str">
            <v>SL Squat w. band to wall</v>
          </cell>
        </row>
        <row r="172">
          <cell r="H172" t="str">
            <v>Cable Rotation + Palloff Press</v>
          </cell>
          <cell r="Q172" t="str">
            <v>SL Squat w/ lateral distraction</v>
          </cell>
        </row>
        <row r="173">
          <cell r="H173" t="str">
            <v>1/2 Kneeling Cable Rot.</v>
          </cell>
          <cell r="Q173" t="str">
            <v>SL Squat w/ posterior distraction</v>
          </cell>
        </row>
        <row r="174">
          <cell r="H174" t="str">
            <v>Kneeling Cable Rot. w/ Paloff Press</v>
          </cell>
          <cell r="Q174" t="str">
            <v>SL Squat w/ medial band pull</v>
          </cell>
        </row>
        <row r="175">
          <cell r="H175" t="str">
            <v>1/2 Kneeling Cable Rot. w/ Paloff Press</v>
          </cell>
          <cell r="Q175" t="str">
            <v>SL Posterior Step Down</v>
          </cell>
        </row>
        <row r="176">
          <cell r="H176" t="str">
            <v>1/2 Kneeling Cable Rot. w/ Paloff Press (+ band)</v>
          </cell>
          <cell r="Q176" t="str">
            <v>SL Lateral Step Down</v>
          </cell>
        </row>
        <row r="177">
          <cell r="H177" t="str">
            <v>Cable Rotation Stops</v>
          </cell>
          <cell r="Q177" t="str">
            <v>SL Anterior Step Down</v>
          </cell>
        </row>
        <row r="178">
          <cell r="H178" t="str">
            <v>Switch Stance Cable Rotation Stops</v>
          </cell>
          <cell r="Q178" t="str">
            <v>SL 3-way Step Down</v>
          </cell>
        </row>
        <row r="179">
          <cell r="H179" t="str">
            <v xml:space="preserve">Switch Stance - Facing Cable Rotations - Low to High </v>
          </cell>
          <cell r="Q179" t="str">
            <v>SL Squat + triple-ext (wall support)</v>
          </cell>
        </row>
        <row r="180">
          <cell r="H180" t="str">
            <v>Kaiser Push-Pull</v>
          </cell>
          <cell r="Q180" t="str">
            <v>Anti-Sliding Split Squat w/ Goblet</v>
          </cell>
        </row>
        <row r="181">
          <cell r="H181" t="str">
            <v>Seated Rotational MB Pass (Feet Up)</v>
          </cell>
        </row>
        <row r="182">
          <cell r="H182" t="str">
            <v>Seated Rotational MB Pass (Feet Down)</v>
          </cell>
        </row>
        <row r="183">
          <cell r="H183" t="str">
            <v>Seated Rotational MB Pass Against Wall (Feet Up)</v>
          </cell>
          <cell r="Q183" t="str">
            <v>HAMSTRINGS</v>
          </cell>
        </row>
        <row r="184">
          <cell r="H184" t="str">
            <v>Rotational MB Pass (Half Lunge)</v>
          </cell>
        </row>
        <row r="185">
          <cell r="H185" t="str">
            <v>Rotational MB Pass</v>
          </cell>
          <cell r="Q185" t="str">
            <v>SL RDL</v>
          </cell>
        </row>
        <row r="186">
          <cell r="H186" t="str">
            <v>Rotational MB Pass w/ Countermove</v>
          </cell>
          <cell r="Q186" t="str">
            <v>SL RDL w/ OH Reach</v>
          </cell>
        </row>
        <row r="187">
          <cell r="H187" t="str">
            <v>Forward Rot. MB Catch &amp; Pass</v>
          </cell>
          <cell r="Q187" t="str">
            <v>SL RDL w/ Opp Hand KB + Post. Band Pull</v>
          </cell>
        </row>
        <row r="188">
          <cell r="H188" t="str">
            <v>2 side shuffle + Rot. MB Pass</v>
          </cell>
          <cell r="Q188" t="str">
            <v>SL RDL w/ KB Hand Switch</v>
          </cell>
        </row>
        <row r="189">
          <cell r="H189" t="str">
            <v>Semi Circle MB Pass - Seated, Feet Up</v>
          </cell>
          <cell r="Q189" t="str">
            <v>SL RDL w/ Cable Row</v>
          </cell>
        </row>
        <row r="190">
          <cell r="H190" t="str">
            <v>Russian Twist w/ MB</v>
          </cell>
          <cell r="Q190" t="str">
            <v>ISO SL RDL w/ band Row</v>
          </cell>
        </row>
        <row r="191">
          <cell r="H191" t="str">
            <v>Russian Twist w/ Plate</v>
          </cell>
          <cell r="Q191" t="str">
            <v>Hip Airplane - back foot down</v>
          </cell>
        </row>
        <row r="192">
          <cell r="H192" t="str">
            <v>Pallof Press</v>
          </cell>
          <cell r="Q192" t="str">
            <v>SL RDL + Rotation</v>
          </cell>
        </row>
        <row r="193">
          <cell r="H193" t="str">
            <v>Pallof Press - Feet Staggered</v>
          </cell>
          <cell r="Q193" t="str">
            <v>SL RDL - Airplane + Rotation</v>
          </cell>
        </row>
        <row r="194">
          <cell r="H194" t="str">
            <v>Tall Kneeling Pallof Press</v>
          </cell>
          <cell r="Q194" t="str">
            <v>SL RDL + Rotation (medial band)</v>
          </cell>
        </row>
        <row r="195">
          <cell r="H195" t="str">
            <v>Wide Stance Pallof Press</v>
          </cell>
          <cell r="Q195" t="str">
            <v>SL RDL + Rotaion Hold</v>
          </cell>
        </row>
        <row r="196">
          <cell r="H196" t="str">
            <v>Lateral Split Squat + Pallof Press</v>
          </cell>
          <cell r="Q196" t="str">
            <v>SL RDL w/ weight (eyes closed)</v>
          </cell>
        </row>
        <row r="197">
          <cell r="H197" t="str">
            <v>Pallof Press - 2 steps + press (+ mini band)</v>
          </cell>
          <cell r="Q197" t="str">
            <v>SL RDL + MB Chest Pass Top &amp; Bottom</v>
          </cell>
        </row>
        <row r="198">
          <cell r="H198" t="str">
            <v>Palof Press w/ OH Raise</v>
          </cell>
          <cell r="Q198" t="str">
            <v>Iso RDL w/ band</v>
          </cell>
        </row>
        <row r="199">
          <cell r="H199" t="str">
            <v>Iso Lateral Split Squat + Pallof OH Reach</v>
          </cell>
          <cell r="Q199" t="str">
            <v>Swiss Ball Hamstring Curl</v>
          </cell>
        </row>
        <row r="200">
          <cell r="H200" t="str">
            <v>Partner Pallof Press w/ band</v>
          </cell>
          <cell r="Q200" t="str">
            <v>SL Ham Curl + Bridge</v>
          </cell>
        </row>
        <row r="201">
          <cell r="H201" t="str">
            <v>Kneel. Partner Pallof Press w/ band</v>
          </cell>
          <cell r="Q201" t="str">
            <v>SL Ham Curl + Bridge + Curl Out</v>
          </cell>
        </row>
        <row r="202">
          <cell r="H202" t="str">
            <v>1/2 Kneel. Partner Pallof Press w/ band</v>
          </cell>
          <cell r="Q202" t="str">
            <v>SL Hamstring Curl w/ Slider</v>
          </cell>
        </row>
        <row r="203">
          <cell r="H203" t="str">
            <v>Palof Press - Seated Pike</v>
          </cell>
          <cell r="Q203" t="str">
            <v>Good Morning w/ band</v>
          </cell>
        </row>
        <row r="204">
          <cell r="H204" t="str">
            <v>Cable Rotation Chop - Low to High</v>
          </cell>
          <cell r="Q204" t="str">
            <v>1/2 Kneel Rear Hamstring :03 Lift Offs</v>
          </cell>
        </row>
        <row r="205">
          <cell r="H205" t="str">
            <v>Cable Rotation Chop - High to Low</v>
          </cell>
          <cell r="Q205" t="str">
            <v>Lying Hamstring Stretch w/ Dural Slider</v>
          </cell>
        </row>
        <row r="206">
          <cell r="H206" t="str">
            <v xml:space="preserve">1/2 Kneel High-Low Chop </v>
          </cell>
          <cell r="Q206" t="str">
            <v>Alt SL Straight Leg Bridge (:02 hold)</v>
          </cell>
        </row>
        <row r="207">
          <cell r="H207" t="str">
            <v>1/2 Kneel High-Low Chop w/ band</v>
          </cell>
          <cell r="Q207" t="str">
            <v>SL Hamstring Bridge Ups</v>
          </cell>
        </row>
        <row r="208">
          <cell r="Q208" t="str">
            <v>1/2 Kneel Forward Hamstring Slide</v>
          </cell>
        </row>
        <row r="210">
          <cell r="Q210" t="str">
            <v>SHOULDER MOBILITY</v>
          </cell>
        </row>
        <row r="212">
          <cell r="H212" t="str">
            <v>Posterior Core Stability</v>
          </cell>
          <cell r="Q212" t="str">
            <v>Supine Shoulder Flexion &amp; ER/IR</v>
          </cell>
        </row>
        <row r="213">
          <cell r="H213" t="str">
            <v>Resist Excessive L-spine Flexion</v>
          </cell>
          <cell r="Q213" t="str">
            <v>Back to Wall Shoulder Flexion</v>
          </cell>
        </row>
        <row r="214">
          <cell r="H214" t="str">
            <v>Bird Dog</v>
          </cell>
          <cell r="Q214" t="str">
            <v>Quadruped Cross Body Reach w/ Roller</v>
          </cell>
        </row>
        <row r="215">
          <cell r="H215" t="str">
            <v>Slow Bird Dog w/ Glute contraction</v>
          </cell>
          <cell r="Q215" t="str">
            <v>Bench Lat Stretch</v>
          </cell>
        </row>
        <row r="216">
          <cell r="H216" t="str">
            <v>Bird Dog Iso Hold</v>
          </cell>
          <cell r="Q216" t="str">
            <v>Doorway Lat Stretch</v>
          </cell>
        </row>
        <row r="217">
          <cell r="H217" t="str">
            <v>Bear Crawl</v>
          </cell>
          <cell r="Q217" t="str">
            <v>Banded Lat Stretch</v>
          </cell>
        </row>
        <row r="218">
          <cell r="H218" t="str">
            <v>Bear Crawl Position + SL Extension</v>
          </cell>
          <cell r="Q218" t="str">
            <v>Elbows together Lat Stretch</v>
          </cell>
        </row>
        <row r="219">
          <cell r="H219" t="str">
            <v>Bear Crawl Position + SL Extension (Rings)</v>
          </cell>
          <cell r="Q219" t="str">
            <v>Supine Banded Shoulder Flexion on Roller</v>
          </cell>
        </row>
        <row r="220">
          <cell r="H220" t="str">
            <v>GHD Hip Extension</v>
          </cell>
          <cell r="Q220" t="str">
            <v>Wall Angel</v>
          </cell>
        </row>
        <row r="221">
          <cell r="H221" t="str">
            <v>GHD Back Extension</v>
          </cell>
          <cell r="Q221" t="str">
            <v>90-90 Pec Stretch</v>
          </cell>
        </row>
        <row r="222">
          <cell r="H222" t="str">
            <v>GHD Back Extension Hold</v>
          </cell>
          <cell r="Q222" t="str">
            <v>90-90 Pec Stretch (Floor)</v>
          </cell>
        </row>
        <row r="223">
          <cell r="H223" t="str">
            <v>Banded Good Mornings</v>
          </cell>
          <cell r="Q223" t="str">
            <v>90-90 Pec Stretch + :05 ER</v>
          </cell>
        </row>
        <row r="224">
          <cell r="H224" t="str">
            <v>Good Morning</v>
          </cell>
          <cell r="Q224" t="str">
            <v>Wall Child's Pose</v>
          </cell>
        </row>
        <row r="225">
          <cell r="H225" t="str">
            <v>Reverse Hyper</v>
          </cell>
          <cell r="Q225" t="str">
            <v>Wall Child's Pose + Lift Off</v>
          </cell>
        </row>
        <row r="226">
          <cell r="H226" t="str">
            <v>GHD Back Extension w/ plate</v>
          </cell>
          <cell r="Q226" t="str">
            <v>Child's Pose - Reach, Roll, Lift</v>
          </cell>
        </row>
        <row r="227">
          <cell r="H227" t="str">
            <v>Half Kneel. Shoulder Ext. w/ Cable</v>
          </cell>
          <cell r="Q227" t="str">
            <v>Child's Pose - Palm Up Stretch</v>
          </cell>
        </row>
        <row r="228">
          <cell r="Q228" t="str">
            <v>Loaded Shoulder Flexion on Bench</v>
          </cell>
        </row>
        <row r="229">
          <cell r="Q229" t="str">
            <v>Open/Close Shutter + Y</v>
          </cell>
        </row>
        <row r="232">
          <cell r="Q232" t="str">
            <v>SHOULDER ACTIVATION</v>
          </cell>
        </row>
        <row r="234">
          <cell r="Q234" t="str">
            <v>Band Pull-Aparts (Shoulder ER)</v>
          </cell>
        </row>
        <row r="235">
          <cell r="Q235" t="str">
            <v>Unilateral ER + Iso Hold w/ band</v>
          </cell>
        </row>
        <row r="236">
          <cell r="Q236" t="str">
            <v>Wall C's w/ Theraband</v>
          </cell>
        </row>
        <row r="237">
          <cell r="H237" t="str">
            <v>Core Acheivments</v>
          </cell>
          <cell r="Q237" t="str">
            <v>Prone Shoulder Hor. Abd. + ER</v>
          </cell>
        </row>
        <row r="238">
          <cell r="Q238" t="str">
            <v>Prone Shoulder Hor. Abd.</v>
          </cell>
        </row>
        <row r="239">
          <cell r="H239" t="str">
            <v>Front Lever</v>
          </cell>
          <cell r="Q239" t="str">
            <v>Prone Shoulder Hor. Abd. + Up. Rot.</v>
          </cell>
        </row>
        <row r="240">
          <cell r="H240" t="str">
            <v>L-Sit</v>
          </cell>
          <cell r="Q240" t="str">
            <v>Prone Shoulder Ext.</v>
          </cell>
        </row>
        <row r="241">
          <cell r="H241" t="str">
            <v>L-Pullup</v>
          </cell>
          <cell r="Q241" t="str">
            <v>Prone Lying Lift Offs w/ Dowel</v>
          </cell>
        </row>
        <row r="242">
          <cell r="H242" t="str">
            <v>Iron Cross</v>
          </cell>
          <cell r="Q242" t="str">
            <v>Quadruped Overhead Reach</v>
          </cell>
        </row>
        <row r="243">
          <cell r="H243" t="str">
            <v>Windshield Wipers</v>
          </cell>
          <cell r="Q243" t="str">
            <v>Side Lying Shouler ER</v>
          </cell>
        </row>
        <row r="244">
          <cell r="H244" t="str">
            <v>Pike Supine Row (Pull Up Bar)</v>
          </cell>
          <cell r="Q244" t="str">
            <v>Side Lying Shoulder Flexion</v>
          </cell>
        </row>
        <row r="245">
          <cell r="H245" t="str">
            <v>Toes to bar</v>
          </cell>
          <cell r="Q245" t="str">
            <v>Wall Slides w/ band</v>
          </cell>
        </row>
        <row r="246">
          <cell r="Q246" t="str">
            <v>SA Wall Sliders (Facing Wall)</v>
          </cell>
        </row>
        <row r="247">
          <cell r="Q247" t="str">
            <v>Wall Sliders (Facing Wall) w/ foam roller</v>
          </cell>
        </row>
        <row r="248">
          <cell r="Q248" t="str">
            <v>Wall Sliders (Facing Wall) w/ roller and mini band</v>
          </cell>
        </row>
        <row r="249">
          <cell r="Q249" t="str">
            <v>Wall Sliders w/ therband + Flexion</v>
          </cell>
        </row>
        <row r="250">
          <cell r="Q250" t="str">
            <v>Reverse Fly</v>
          </cell>
        </row>
        <row r="251">
          <cell r="Q251" t="str">
            <v>Isometric Y,W,T</v>
          </cell>
        </row>
        <row r="252">
          <cell r="Q252" t="str">
            <v>Isometric Y,W,T on Swiss Ball</v>
          </cell>
        </row>
        <row r="253">
          <cell r="Q253" t="str">
            <v>Y,T,I,A Wall Sliders</v>
          </cell>
        </row>
        <row r="254">
          <cell r="Q254" t="str">
            <v>Hand Plank + Y,T,I</v>
          </cell>
        </row>
        <row r="255">
          <cell r="Q255" t="str">
            <v>TRX Supine Row</v>
          </cell>
        </row>
        <row r="256">
          <cell r="Q256" t="str">
            <v>TRX T-Rows</v>
          </cell>
        </row>
        <row r="257">
          <cell r="Q257" t="str">
            <v xml:space="preserve">Shoulder Med Ball Clock </v>
          </cell>
        </row>
        <row r="258">
          <cell r="Q258" t="str">
            <v>Face Pull</v>
          </cell>
        </row>
        <row r="259">
          <cell r="Q259" t="str">
            <v>Face Pull + OH Press</v>
          </cell>
        </row>
        <row r="260">
          <cell r="Q260" t="str">
            <v>Face Pull + ER + Y</v>
          </cell>
        </row>
        <row r="261">
          <cell r="Q261" t="str">
            <v>90-90 Shoulder ER w/ :03 Iso</v>
          </cell>
        </row>
        <row r="262">
          <cell r="Q262" t="str">
            <v>Iso Hold 3 ways + Shoulder Perturbations</v>
          </cell>
        </row>
        <row r="263">
          <cell r="Q263" t="str">
            <v>Shoulder Perturbations w/ swiss ball</v>
          </cell>
        </row>
        <row r="264">
          <cell r="Q264" t="str">
            <v>Half Plank Shoulder Perturbations</v>
          </cell>
        </row>
        <row r="265">
          <cell r="Q265" t="str">
            <v>90-90 Wall Dribble</v>
          </cell>
        </row>
        <row r="266">
          <cell r="Q266" t="str">
            <v>Wall Dribble - Up &amp; Down</v>
          </cell>
        </row>
        <row r="267">
          <cell r="Q267" t="str">
            <v>Push-Up + Rot, Reach, :03 Hold</v>
          </cell>
        </row>
        <row r="268">
          <cell r="Q268" t="str">
            <v>Yoga Push Up</v>
          </cell>
        </row>
        <row r="269">
          <cell r="Q269" t="str">
            <v>Yoga Push Up + Opp. Toe touch</v>
          </cell>
        </row>
        <row r="270">
          <cell r="Q270" t="str">
            <v>Push Up + Slider Y</v>
          </cell>
        </row>
        <row r="271">
          <cell r="Q271" t="str">
            <v>Yoga Push Up + Slider Y</v>
          </cell>
        </row>
        <row r="272">
          <cell r="Q272" t="str">
            <v>Floor Pike + BB OH Press</v>
          </cell>
        </row>
        <row r="273">
          <cell r="Q273" t="str">
            <v>Floor Pike + SA DB OH Press</v>
          </cell>
        </row>
        <row r="274">
          <cell r="Q274" t="str">
            <v>Floor Pike + SA Upside Down KB OH Press</v>
          </cell>
        </row>
        <row r="275">
          <cell r="Q275" t="str">
            <v>Single Arm OH Carry</v>
          </cell>
        </row>
        <row r="276">
          <cell r="Q276" t="str">
            <v>Single Arm Suitcase Carry</v>
          </cell>
        </row>
        <row r="277">
          <cell r="Q277" t="str">
            <v>Suitcase + OH Carry</v>
          </cell>
        </row>
        <row r="280">
          <cell r="Q280" t="str">
            <v>CORE ACTIVATION</v>
          </cell>
        </row>
        <row r="282">
          <cell r="Q282" t="str">
            <v>Dead Bug</v>
          </cell>
        </row>
        <row r="283">
          <cell r="Q283" t="str">
            <v>Dead Bug w/ hand/foot band</v>
          </cell>
        </row>
        <row r="284">
          <cell r="Q284" t="str">
            <v>Dead Bug w/ Iso Pallof Press</v>
          </cell>
        </row>
        <row r="285">
          <cell r="Q285" t="str">
            <v>Dead Bug w/ Pallof Press</v>
          </cell>
        </row>
        <row r="286">
          <cell r="Q286" t="str">
            <v>Dead Bug SL Extension w/ OH Band Pull</v>
          </cell>
        </row>
        <row r="287">
          <cell r="Q287" t="str">
            <v>Dead Bug SL Extension w/ OH Band Pull + Pike</v>
          </cell>
        </row>
        <row r="288">
          <cell r="Q288" t="str">
            <v>Dead Bug 2-leg Extension w/ OH Band Pull</v>
          </cell>
        </row>
        <row r="289">
          <cell r="Q289" t="str">
            <v>Dead Bug w/ Swiss Ball Squeeze</v>
          </cell>
        </row>
        <row r="290">
          <cell r="Q290" t="str">
            <v>Arms Only Deadbug w/ Cable Pullover</v>
          </cell>
        </row>
        <row r="291">
          <cell r="Q291" t="str">
            <v>Hollow Body KB Pullovers</v>
          </cell>
        </row>
        <row r="292">
          <cell r="Q292" t="str">
            <v>2 Limb Dead Bug w/ Plate</v>
          </cell>
        </row>
        <row r="293">
          <cell r="Q293" t="str">
            <v>Rev. GHD Hollow Body Hold</v>
          </cell>
        </row>
        <row r="294">
          <cell r="Q294" t="str">
            <v>Hollow Body Rocks</v>
          </cell>
        </row>
        <row r="295">
          <cell r="Q295" t="str">
            <v>Candlestick</v>
          </cell>
        </row>
        <row r="296">
          <cell r="Q296" t="str">
            <v>Supine SL Straight Leg Lowers w/ band</v>
          </cell>
        </row>
        <row r="297">
          <cell r="Q297" t="str">
            <v>Supine SL Straight Leg Lowers</v>
          </cell>
        </row>
        <row r="298">
          <cell r="Q298" t="str">
            <v>Supine SL Straight Leg Lowers w/ OH band</v>
          </cell>
        </row>
        <row r="301">
          <cell r="Q301" t="str">
            <v>Reverse Crunch</v>
          </cell>
        </row>
        <row r="302">
          <cell r="Q302" t="str">
            <v>Bird Dog</v>
          </cell>
        </row>
        <row r="303">
          <cell r="Q303" t="str">
            <v>Bird Dog w/ limb touch</v>
          </cell>
        </row>
        <row r="304">
          <cell r="Q304" t="str">
            <v>Bird Dog + ABD</v>
          </cell>
        </row>
        <row r="305">
          <cell r="Q305" t="str">
            <v>Plank + Bird Dog</v>
          </cell>
        </row>
        <row r="306">
          <cell r="Q306" t="str">
            <v>Bear Crawl Position + SL Extension</v>
          </cell>
        </row>
        <row r="307">
          <cell r="Q307" t="str">
            <v>Bear Crawl Position Bird Dog</v>
          </cell>
        </row>
        <row r="308">
          <cell r="Q308" t="str">
            <v>Ant. Sling Crunch</v>
          </cell>
        </row>
        <row r="309">
          <cell r="Q309" t="str">
            <v>Kneel. High-Low Chop w/ ball squeeze</v>
          </cell>
        </row>
        <row r="310">
          <cell r="Q310" t="str">
            <v>1/2 Kneel. High-Low Chop w/ band</v>
          </cell>
        </row>
        <row r="311">
          <cell r="Q311" t="str">
            <v>Split Stance High-Low Chop w/ band</v>
          </cell>
        </row>
        <row r="312">
          <cell r="Q312" t="str">
            <v>Half Kneel. Cable Rot.</v>
          </cell>
        </row>
        <row r="313">
          <cell r="Q313" t="str">
            <v>Half Kneel. Cable Rot. + Paloff Press</v>
          </cell>
        </row>
        <row r="314">
          <cell r="Q314" t="str">
            <v>1/2 Kneel. High-Low Chop w/ hip ext.</v>
          </cell>
        </row>
        <row r="315">
          <cell r="Q315" t="str">
            <v>Step-Up Rot. Cable Lift</v>
          </cell>
        </row>
        <row r="316">
          <cell r="Q316" t="str">
            <v>Wide Stance Cable Rotations</v>
          </cell>
        </row>
        <row r="317">
          <cell r="Q317" t="str">
            <v>BirdDog w/ Shoulder Ext.</v>
          </cell>
        </row>
        <row r="318">
          <cell r="Q318" t="str">
            <v>BirdDog w/ DB Row</v>
          </cell>
        </row>
        <row r="319">
          <cell r="Q319" t="str">
            <v>Half Kneel. Shoulder Ext.</v>
          </cell>
        </row>
        <row r="320">
          <cell r="Q320" t="str">
            <v>Lunge + Shoulder Ext.</v>
          </cell>
        </row>
        <row r="321">
          <cell r="Q321" t="str">
            <v>Step Up + Shoulder Ext.</v>
          </cell>
        </row>
        <row r="322">
          <cell r="Q322" t="str">
            <v>RKC Plank</v>
          </cell>
        </row>
        <row r="323">
          <cell r="Q323" t="str">
            <v>Stir the Pot</v>
          </cell>
        </row>
        <row r="324">
          <cell r="Q324" t="str">
            <v>Swiss Ball Plank w/ Knee Raise</v>
          </cell>
        </row>
        <row r="325">
          <cell r="Q325" t="str">
            <v>Swiss Ball Roll Out</v>
          </cell>
        </row>
        <row r="326">
          <cell r="Q326" t="str">
            <v>TRX/Ring Roll Out</v>
          </cell>
        </row>
        <row r="327">
          <cell r="Q327" t="str">
            <v>SL Plank Rollout w/ Foot Slider</v>
          </cell>
        </row>
        <row r="328">
          <cell r="Q328" t="str">
            <v>Plank + Bent Knee Hip Ext.</v>
          </cell>
        </row>
        <row r="329">
          <cell r="Q329" t="str">
            <v>Hand Plank + Shoulder Taps</v>
          </cell>
        </row>
        <row r="330">
          <cell r="Q330" t="str">
            <v>Hand Plank + Shoulder Taps (Alt)</v>
          </cell>
        </row>
        <row r="331">
          <cell r="Q331" t="str">
            <v>Plank + Sliding KB Press</v>
          </cell>
        </row>
        <row r="332">
          <cell r="Q332" t="str">
            <v>Plank w/ KB Reach and Drag</v>
          </cell>
        </row>
        <row r="333">
          <cell r="Q333" t="str">
            <v>Hand Plank + Cable  Pull Through</v>
          </cell>
        </row>
        <row r="334">
          <cell r="Q334" t="str">
            <v>Spiderman Push Ups</v>
          </cell>
        </row>
        <row r="335">
          <cell r="Q335" t="str">
            <v>Swiss Ball Plank - feet + Alt. Shoulder Taps</v>
          </cell>
        </row>
        <row r="336">
          <cell r="Q336" t="str">
            <v>Plank Rollout on Foam Roller w/ band</v>
          </cell>
        </row>
        <row r="337">
          <cell r="Q337" t="str">
            <v>Plank w/ MB Pass</v>
          </cell>
        </row>
        <row r="338">
          <cell r="Q338" t="str">
            <v>Side Plank</v>
          </cell>
        </row>
        <row r="339">
          <cell r="Q339" t="str">
            <v>Side Plank - Feet on Bench + Cable Row</v>
          </cell>
        </row>
        <row r="340">
          <cell r="Q340" t="str">
            <v>Side Plank + Rot. &amp; Reach</v>
          </cell>
        </row>
        <row r="341">
          <cell r="Q341" t="str">
            <v>Side Plank + DB Hold</v>
          </cell>
        </row>
        <row r="342">
          <cell r="Q342" t="str">
            <v>Side Plank + Top Leg Raise &amp; Hold</v>
          </cell>
        </row>
        <row r="343">
          <cell r="Q343" t="str">
            <v>Kneel. Side Plank w/ top knee run</v>
          </cell>
        </row>
        <row r="344">
          <cell r="Q344" t="str">
            <v>Side Plank + Knee Flexion</v>
          </cell>
        </row>
        <row r="345">
          <cell r="Q345" t="str">
            <v>Side Plank + Alt. Knee Flexion</v>
          </cell>
        </row>
        <row r="346">
          <cell r="Q346" t="str">
            <v>Palloff Press</v>
          </cell>
        </row>
        <row r="347">
          <cell r="Q347" t="str">
            <v>Tall Kneeling Palloff Press</v>
          </cell>
        </row>
        <row r="348">
          <cell r="Q348" t="str">
            <v>SL Pallof Press</v>
          </cell>
        </row>
        <row r="349">
          <cell r="Q349" t="str">
            <v>Switch Stance Pallof Press</v>
          </cell>
        </row>
        <row r="350">
          <cell r="Q350" t="str">
            <v>Deep Squat Pallof Press</v>
          </cell>
        </row>
        <row r="351">
          <cell r="Q351" t="str">
            <v>Lateral Mini Band Walk w/ Iso Pallof</v>
          </cell>
        </row>
        <row r="352">
          <cell r="Q352" t="str">
            <v>Split Squat w/ Iso Pallof</v>
          </cell>
        </row>
        <row r="353">
          <cell r="Q353" t="str">
            <v>Lateral Lunge w/ Iso Pallof</v>
          </cell>
        </row>
        <row r="354">
          <cell r="Q354" t="str">
            <v>Lateral Lunge w/ Pallof Press &amp; OH Reach</v>
          </cell>
        </row>
        <row r="355">
          <cell r="Q355" t="str">
            <v>Iso Pallof Stir the Pot</v>
          </cell>
        </row>
        <row r="356">
          <cell r="Q356" t="str">
            <v>Cable Rotation Stops</v>
          </cell>
        </row>
        <row r="357">
          <cell r="Q357" t="str">
            <v>Iso Lunge Cable Rotation Stops</v>
          </cell>
        </row>
        <row r="358">
          <cell r="Q358" t="str">
            <v>Switch Stance Cable Rotation Stops</v>
          </cell>
        </row>
        <row r="359">
          <cell r="Q359" t="str">
            <v>Hanging Knees to Elbows</v>
          </cell>
        </row>
        <row r="360">
          <cell r="Q360" t="str">
            <v>Hanging Knee Raise to Tuck</v>
          </cell>
        </row>
        <row r="361">
          <cell r="Q361" t="str">
            <v>Hanging 3-Way Knee Lifts</v>
          </cell>
        </row>
        <row r="362">
          <cell r="Q362" t="str">
            <v>Hanging 3-Way Knee Lifts w/ DB</v>
          </cell>
        </row>
        <row r="363">
          <cell r="Q363" t="str">
            <v>V-Ups</v>
          </cell>
        </row>
        <row r="365">
          <cell r="Q365" t="str">
            <v>T-SPINE MOBILITY</v>
          </cell>
        </row>
        <row r="367">
          <cell r="Q367" t="str">
            <v>Cat Camel</v>
          </cell>
        </row>
        <row r="368">
          <cell r="Q368" t="str">
            <v>Camel Hold</v>
          </cell>
        </row>
        <row r="369">
          <cell r="Q369" t="str">
            <v>Cat Camel - T-Spine focus</v>
          </cell>
        </row>
        <row r="370">
          <cell r="Q370" t="str">
            <v>Slump Test</v>
          </cell>
        </row>
        <row r="371">
          <cell r="Q371" t="str">
            <v>1/2 Kneeling Clock Rotation on wall</v>
          </cell>
        </row>
        <row r="372">
          <cell r="Q372" t="str">
            <v>1/2 Kneeling Clock Rotation on wall (elbow)</v>
          </cell>
        </row>
        <row r="373">
          <cell r="Q373" t="str">
            <v>1/2 Kneeling Open/Close Book on wall</v>
          </cell>
        </row>
        <row r="374">
          <cell r="Q374" t="str">
            <v>1/2 Kneeling Open/Close Book on wall w/ band</v>
          </cell>
        </row>
        <row r="375">
          <cell r="Q375" t="str">
            <v>1/2 Kneel Thoracic Rot (Wall Press 1-arm KB)</v>
          </cell>
        </row>
        <row r="376">
          <cell r="Q376" t="str">
            <v>Split Squat w/ Rotational Row</v>
          </cell>
        </row>
        <row r="377">
          <cell r="Q377" t="str">
            <v>ISO SL RDL on wall w/ T-spine Rot</v>
          </cell>
        </row>
        <row r="378">
          <cell r="Q378" t="str">
            <v>Quadruped T-Spine Rot. &amp; Reach</v>
          </cell>
        </row>
        <row r="379">
          <cell r="Q379" t="str">
            <v>Quadruped T-Spine Rot. &amp; Reach (elbow)</v>
          </cell>
        </row>
        <row r="380">
          <cell r="Q380" t="str">
            <v>Quadruped T-Spine 2-way Rot. &amp; Reach</v>
          </cell>
        </row>
        <row r="381">
          <cell r="Q381" t="str">
            <v>T-Spine Thread the Needle w/ band</v>
          </cell>
        </row>
        <row r="382">
          <cell r="Q382" t="str">
            <v>T-Spine Bridge</v>
          </cell>
        </row>
        <row r="383">
          <cell r="Q383" t="str">
            <v>Bear Position to T-Spine Bridge</v>
          </cell>
        </row>
        <row r="384">
          <cell r="Q384" t="str">
            <v>Seated Thoracic Rotation</v>
          </cell>
        </row>
        <row r="385">
          <cell r="Q385" t="str">
            <v>Seated Thoracic Rotation w/ dowel</v>
          </cell>
        </row>
        <row r="386">
          <cell r="Q386" t="str">
            <v>T-Spine Ext. on Foam Roller</v>
          </cell>
        </row>
        <row r="387">
          <cell r="Q387" t="str">
            <v>T-Spine Ext. on Foam Roller + Dowel Press</v>
          </cell>
        </row>
        <row r="388">
          <cell r="Q388" t="str">
            <v>T-Spine Rot. On Foam Roller</v>
          </cell>
        </row>
        <row r="389">
          <cell r="Q389" t="str">
            <v>T-Spine Ext. then Rot. On Foam Roller</v>
          </cell>
        </row>
        <row r="390">
          <cell r="Q390" t="str">
            <v>Supine Alt. Shoulder Flexion on Double LAX Ball</v>
          </cell>
        </row>
        <row r="391">
          <cell r="Q391" t="str">
            <v>Bent Over T-Spine Rot.</v>
          </cell>
        </row>
        <row r="392">
          <cell r="Q392" t="str">
            <v>Open/Close Book T-Spine Rot.</v>
          </cell>
        </row>
        <row r="393">
          <cell r="Q393" t="str">
            <v>Open/Close Book T-Spine Rot. w/ band</v>
          </cell>
        </row>
        <row r="394">
          <cell r="Q394" t="str">
            <v>T-Spine Rotation Sidelying</v>
          </cell>
        </row>
        <row r="395">
          <cell r="Q395" t="str">
            <v>Sidelying KB Arm Bar</v>
          </cell>
        </row>
        <row r="396">
          <cell r="Q396" t="str">
            <v>Pretzel Stretch</v>
          </cell>
        </row>
        <row r="397">
          <cell r="Q397" t="str">
            <v>QL Doorway Stretch</v>
          </cell>
        </row>
        <row r="398">
          <cell r="Q398" t="str">
            <v>1/2 Kneeling QL Doorway Stretch</v>
          </cell>
        </row>
        <row r="400">
          <cell r="Q400" t="str">
            <v>NECK</v>
          </cell>
        </row>
        <row r="403">
          <cell r="Q403" t="str">
            <v>Towel 4-way Neck ISO</v>
          </cell>
        </row>
        <row r="404">
          <cell r="Q404" t="str">
            <v>ISO Towel Neck Flexion (moderate)</v>
          </cell>
        </row>
        <row r="405">
          <cell r="Q405" t="str">
            <v>ISO Towel Neck Flexion (max)</v>
          </cell>
        </row>
        <row r="406">
          <cell r="Q406" t="str">
            <v>Towel Neck Flexion on bench</v>
          </cell>
        </row>
        <row r="407">
          <cell r="Q407" t="str">
            <v>Supine Neck Rotation</v>
          </cell>
        </row>
        <row r="408">
          <cell r="Q408" t="str">
            <v>Neck Protraction w/ band</v>
          </cell>
        </row>
        <row r="409">
          <cell r="Q409" t="str">
            <v>Neck Retraction w/ band</v>
          </cell>
        </row>
        <row r="410">
          <cell r="Q410" t="str">
            <v>Partner 4-way Neck ISO</v>
          </cell>
        </row>
        <row r="411">
          <cell r="Q411" t="str">
            <v>Partner 4-way Reactive Neck ISO</v>
          </cell>
        </row>
        <row r="412">
          <cell r="Q412" t="str">
            <v>Chin Tuck + Cervical Rotation</v>
          </cell>
        </row>
        <row r="413">
          <cell r="Q413" t="str">
            <v>Iso Neck Flexion</v>
          </cell>
        </row>
        <row r="414">
          <cell r="Q414" t="str">
            <v>FRC: Neck CARS</v>
          </cell>
        </row>
        <row r="415">
          <cell r="Q415" t="str">
            <v>Levator Scap Stretch</v>
          </cell>
        </row>
        <row r="417">
          <cell r="Q417" t="str">
            <v>ADDUCTOR PREHAB</v>
          </cell>
        </row>
        <row r="419">
          <cell r="Q419" t="str">
            <v>Banded Adduction w/ Slider</v>
          </cell>
        </row>
        <row r="420">
          <cell r="Q420" t="str">
            <v>Banded Adduction w/ Slider (+ EXT)</v>
          </cell>
        </row>
        <row r="421">
          <cell r="Q421" t="str">
            <v>Banded Adduction w/ Slider (+ FLEX)</v>
          </cell>
        </row>
        <row r="422">
          <cell r="Q422" t="str">
            <v>Banded Adduction w/ Slider (3-ways)</v>
          </cell>
        </row>
        <row r="423">
          <cell r="Q423" t="str">
            <v>1/2 Kneel Adduction w/ slider</v>
          </cell>
        </row>
        <row r="424">
          <cell r="Q424" t="str">
            <v>Tall 1/2 Kneel Adduction w/ slider</v>
          </cell>
        </row>
        <row r="425">
          <cell r="Q425" t="str">
            <v>Goalie Position Push Press</v>
          </cell>
        </row>
        <row r="426">
          <cell r="Q426" t="str">
            <v>Frog Adductor Slides</v>
          </cell>
        </row>
        <row r="427">
          <cell r="Q427" t="str">
            <v>Copenhagen Plank 1</v>
          </cell>
        </row>
        <row r="428">
          <cell r="Q428" t="str">
            <v>Copenhagen Plank 2</v>
          </cell>
        </row>
        <row r="429">
          <cell r="Q429" t="str">
            <v>Copenhagen Plank 3</v>
          </cell>
        </row>
        <row r="430">
          <cell r="Q430" t="str">
            <v>Copenhagen Plank 4</v>
          </cell>
        </row>
        <row r="431">
          <cell r="Q431" t="str">
            <v>Copenhagen Plank 5</v>
          </cell>
        </row>
        <row r="432">
          <cell r="Q432" t="str">
            <v>Copenhagen Plank - Swiss Ball</v>
          </cell>
        </row>
        <row r="433">
          <cell r="Q433" t="str">
            <v>Iso Copenhagen Plank w/ Partner Press</v>
          </cell>
        </row>
        <row r="434">
          <cell r="Q434" t="str">
            <v>:03 ECC Copenhagen Plank w/ Partner Press</v>
          </cell>
        </row>
        <row r="435">
          <cell r="Q435" t="str">
            <v>3x Lengthening Side Lunge</v>
          </cell>
        </row>
        <row r="436">
          <cell r="Q436" t="str">
            <v>Adductor Mobility Flow</v>
          </cell>
        </row>
        <row r="438">
          <cell r="Q438" t="str">
            <v>COMPOUND MOVEMENTS</v>
          </cell>
        </row>
        <row r="440">
          <cell r="Q440" t="str">
            <v>Inch Worm + Lunge</v>
          </cell>
        </row>
        <row r="441">
          <cell r="Q441" t="str">
            <v>Inch Worm + Lunge + Rot. &amp; Reach</v>
          </cell>
        </row>
        <row r="442">
          <cell r="Q442" t="str">
            <v>Squat + Bear Crawl + Lunge</v>
          </cell>
        </row>
        <row r="444">
          <cell r="Q444" t="str">
            <v>7-Way Hips</v>
          </cell>
        </row>
        <row r="445">
          <cell r="Q445" t="str">
            <v>Comerford Hip Complex</v>
          </cell>
        </row>
        <row r="447">
          <cell r="Q447" t="str">
            <v>VOODOO</v>
          </cell>
        </row>
        <row r="449">
          <cell r="Q449" t="str">
            <v>Leg Swings + Squats w/ Hip Voodoo</v>
          </cell>
        </row>
        <row r="452">
          <cell r="Q452" t="str">
            <v>KNEE</v>
          </cell>
        </row>
        <row r="454">
          <cell r="Q454" t="str">
            <v>Iso Wall Squat</v>
          </cell>
        </row>
        <row r="455">
          <cell r="Q455" t="str">
            <v>SL Iso Wall Squat</v>
          </cell>
        </row>
        <row r="456">
          <cell r="Q456" t="str">
            <v>Seated Iso Knee Ext w/ band</v>
          </cell>
        </row>
        <row r="457">
          <cell r="Q457" t="str">
            <v>Seated Knee Ext.</v>
          </cell>
        </row>
        <row r="458">
          <cell r="Q458" t="str">
            <v>Seated Iso Knee Ext</v>
          </cell>
        </row>
        <row r="459">
          <cell r="Q459" t="str">
            <v>Deep 6" Squat</v>
          </cell>
        </row>
        <row r="460">
          <cell r="Q460" t="str">
            <v>Slant Board SL Ecc. Squat</v>
          </cell>
        </row>
        <row r="461">
          <cell r="Q461" t="str">
            <v>Slant Board SL Squat</v>
          </cell>
        </row>
        <row r="462">
          <cell r="Q462" t="str">
            <v>Anterior/Posterior Step Down</v>
          </cell>
        </row>
        <row r="463">
          <cell r="Q463" t="str">
            <v>Goblet Squat :10 Hold</v>
          </cell>
        </row>
        <row r="464">
          <cell r="Q464" t="str">
            <v>Iso Spanish Squat</v>
          </cell>
        </row>
        <row r="465">
          <cell r="Q465" t="str">
            <v>SL Spanish Squat</v>
          </cell>
        </row>
        <row r="466">
          <cell r="Q466" t="str">
            <v>Standing TKE w/ band</v>
          </cell>
        </row>
        <row r="467">
          <cell r="Q467" t="str">
            <v>Standing 3-way TKE w/ band</v>
          </cell>
        </row>
        <row r="468">
          <cell r="Q468" t="str">
            <v>Down Dog TKE w/ band</v>
          </cell>
        </row>
        <row r="469">
          <cell r="Q469" t="str">
            <v>TKE w/ band + SL Heel Raise</v>
          </cell>
        </row>
        <row r="470">
          <cell r="Q470" t="str">
            <v>Reverse Nordic</v>
          </cell>
        </row>
        <row r="471">
          <cell r="Q471" t="str">
            <v>ISO Reverse Nordic</v>
          </cell>
        </row>
        <row r="472">
          <cell r="Q472" t="str">
            <v>ECC Reverse Nordic</v>
          </cell>
        </row>
        <row r="473">
          <cell r="Q473" t="str">
            <v>Reverse Nordic w/ arms overhead</v>
          </cell>
        </row>
        <row r="474">
          <cell r="Q474" t="str">
            <v>ISO Lunge on toes w/ Hip EXT</v>
          </cell>
        </row>
        <row r="478">
          <cell r="Q478" t="str">
            <v>ANKLE/FOOT</v>
          </cell>
        </row>
        <row r="480">
          <cell r="Q480" t="str">
            <v>Ankle Flexion w/ Posterior Band Pull</v>
          </cell>
        </row>
        <row r="481">
          <cell r="Q481" t="str">
            <v>Elevated Ankle Flexion w/ Posterior Band Pull</v>
          </cell>
        </row>
        <row r="482">
          <cell r="Q482" t="str">
            <v>3-way Ankle Flexion w/ Posterior Band Pull</v>
          </cell>
        </row>
        <row r="483">
          <cell r="Q483" t="str">
            <v>Loaded Dorsiflexion</v>
          </cell>
        </row>
        <row r="484">
          <cell r="Q484" t="str">
            <v>Straight Leg Calf Stretch + Opp leg Step Up</v>
          </cell>
        </row>
        <row r="485">
          <cell r="Q485" t="str">
            <v>Forward Slider Reaches</v>
          </cell>
        </row>
        <row r="486">
          <cell r="Q486" t="str">
            <v>SL Calf Raises</v>
          </cell>
        </row>
        <row r="487">
          <cell r="Q487" t="str">
            <v>DL Calf Raises</v>
          </cell>
        </row>
        <row r="488">
          <cell r="Q488" t="str">
            <v>Stork + SL Calf Raises</v>
          </cell>
        </row>
        <row r="489">
          <cell r="Q489" t="str">
            <v>SL Balance on Foam Pad</v>
          </cell>
        </row>
        <row r="490">
          <cell r="Q490" t="str">
            <v>SL Balance on Foam Pad - Eyes closed</v>
          </cell>
        </row>
        <row r="491">
          <cell r="Q491" t="str">
            <v>Roll Calf/Shin</v>
          </cell>
        </row>
        <row r="492">
          <cell r="Q492" t="str">
            <v>Skipping</v>
          </cell>
        </row>
        <row r="493">
          <cell r="Q493" t="str">
            <v>Pedal/Press w/ mini band</v>
          </cell>
        </row>
        <row r="494">
          <cell r="Q494" t="str">
            <v>Peroneal Forward Bend Stretch</v>
          </cell>
        </row>
        <row r="496">
          <cell r="Q496" t="str">
            <v>JUMP/LAND</v>
          </cell>
        </row>
        <row r="498">
          <cell r="Q498" t="str">
            <v>Rev. Drop Landing - low box</v>
          </cell>
        </row>
        <row r="499">
          <cell r="Q499" t="str">
            <v>Snapdown</v>
          </cell>
        </row>
        <row r="500">
          <cell r="Q500" t="str">
            <v>SL Snap Down</v>
          </cell>
        </row>
        <row r="501">
          <cell r="Q501" t="str">
            <v>SL Lateral Rebound hops</v>
          </cell>
        </row>
        <row r="502">
          <cell r="Q502" t="str">
            <v>4-way Drop Landing (24)</v>
          </cell>
        </row>
        <row r="503">
          <cell r="Q503" t="str">
            <v>4-way 180 Drop Landing (24)</v>
          </cell>
        </row>
        <row r="504">
          <cell r="Q504" t="str">
            <v>SL Forward Hop &amp; Stick</v>
          </cell>
        </row>
        <row r="507">
          <cell r="Q507" t="str">
            <v>BFR</v>
          </cell>
        </row>
        <row r="509">
          <cell r="Q509" t="str">
            <v>BFR Front Squat</v>
          </cell>
        </row>
        <row r="510">
          <cell r="Q510" t="str">
            <v>BFR Back Squat</v>
          </cell>
        </row>
        <row r="511">
          <cell r="Q511" t="str">
            <v>BFR Goblet Squat</v>
          </cell>
        </row>
        <row r="512">
          <cell r="Q512" t="str">
            <v>BFR Squat Bodyweight</v>
          </cell>
        </row>
        <row r="513">
          <cell r="Q513" t="str">
            <v>3-way toe taps w/ elevated heel</v>
          </cell>
        </row>
        <row r="514">
          <cell r="Q514" t="str">
            <v>BFR RDL</v>
          </cell>
        </row>
        <row r="515">
          <cell r="Q515" t="str">
            <v>BFR Prone Hamstring Curl</v>
          </cell>
        </row>
        <row r="516">
          <cell r="Q516" t="str">
            <v>BFR Glute Bridge</v>
          </cell>
        </row>
        <row r="517">
          <cell r="Q517" t="str">
            <v>BFR Knee Extensions</v>
          </cell>
        </row>
        <row r="518">
          <cell r="Q518" t="str">
            <v>BFR Calf Raises</v>
          </cell>
        </row>
        <row r="519">
          <cell r="Q519" t="str">
            <v>SL BFR Calf Raises w/ TKE</v>
          </cell>
        </row>
        <row r="523">
          <cell r="Q523" t="str">
            <v>CARRIES/HOLDS</v>
          </cell>
        </row>
        <row r="525">
          <cell r="Q525" t="str">
            <v>Kneel-to-Stand OH DB Hold</v>
          </cell>
        </row>
        <row r="526">
          <cell r="Q526" t="str">
            <v>Waiters Carry - SA Bottom Up KB</v>
          </cell>
        </row>
        <row r="528">
          <cell r="Q528" t="str">
            <v>YOGA</v>
          </cell>
        </row>
        <row r="530">
          <cell r="Q530" t="str">
            <v>Stick Pose Sequence</v>
          </cell>
        </row>
        <row r="531">
          <cell r="Q531" t="str">
            <v>Up Dog - Down Dog</v>
          </cell>
        </row>
        <row r="532">
          <cell r="Q532" t="str">
            <v>Lateral Split Squat - Deep Lunge Rot &amp; Reach</v>
          </cell>
        </row>
        <row r="535">
          <cell r="Q535" t="str">
            <v>ROLLING</v>
          </cell>
        </row>
        <row r="537">
          <cell r="Q537" t="str">
            <v>Roll Quads</v>
          </cell>
        </row>
        <row r="538">
          <cell r="Q538" t="str">
            <v>Roll Quads &amp; Hip Flexors</v>
          </cell>
        </row>
        <row r="539">
          <cell r="Q539" t="str">
            <v>Roll Hamstrings</v>
          </cell>
        </row>
        <row r="540">
          <cell r="Q540" t="str">
            <v>Roll Hamstrings w/ BB</v>
          </cell>
        </row>
        <row r="541">
          <cell r="Q541" t="str">
            <v>Roll Adductors</v>
          </cell>
        </row>
        <row r="542">
          <cell r="Q542" t="str">
            <v>Roll Adductors w/ BB</v>
          </cell>
        </row>
        <row r="543">
          <cell r="Q543" t="str">
            <v>Roll Upper Traps w/ LAX Ball</v>
          </cell>
        </row>
        <row r="544">
          <cell r="Q544" t="str">
            <v>Biceps Femoris Release</v>
          </cell>
        </row>
      </sheetData>
      <sheetData sheetId="5">
        <row r="3">
          <cell r="AM3" t="str">
            <v>Training Season</v>
          </cell>
        </row>
        <row r="4">
          <cell r="AM4" t="str">
            <v>Meso 1</v>
          </cell>
        </row>
        <row r="5">
          <cell r="AM5" t="str">
            <v>Meso 2</v>
          </cell>
        </row>
        <row r="6">
          <cell r="A6" t="str">
            <v>Empty</v>
          </cell>
          <cell r="D6">
            <v>0</v>
          </cell>
          <cell r="E6">
            <v>0</v>
          </cell>
          <cell r="F6">
            <v>0</v>
          </cell>
          <cell r="G6">
            <v>0</v>
          </cell>
          <cell r="H6">
            <v>0</v>
          </cell>
          <cell r="I6">
            <v>0</v>
          </cell>
          <cell r="M6">
            <v>0</v>
          </cell>
          <cell r="N6">
            <v>0</v>
          </cell>
          <cell r="O6">
            <v>0</v>
          </cell>
          <cell r="P6">
            <v>0</v>
          </cell>
          <cell r="Q6">
            <v>0</v>
          </cell>
          <cell r="R6">
            <v>0</v>
          </cell>
          <cell r="V6">
            <v>0</v>
          </cell>
          <cell r="W6">
            <v>0</v>
          </cell>
          <cell r="X6">
            <v>0</v>
          </cell>
          <cell r="Y6">
            <v>0</v>
          </cell>
          <cell r="Z6">
            <v>0</v>
          </cell>
          <cell r="AA6">
            <v>0</v>
          </cell>
          <cell r="AE6">
            <v>0</v>
          </cell>
          <cell r="AF6">
            <v>0</v>
          </cell>
          <cell r="AG6">
            <v>0</v>
          </cell>
          <cell r="AH6">
            <v>0</v>
          </cell>
          <cell r="AI6">
            <v>0</v>
          </cell>
          <cell r="AJ6">
            <v>0</v>
          </cell>
          <cell r="AM6" t="str">
            <v>Meso 3</v>
          </cell>
          <cell r="AS6" t="str">
            <v>Mikaël Kingsbury</v>
          </cell>
        </row>
        <row r="7">
          <cell r="AM7" t="str">
            <v>WR Camp 1</v>
          </cell>
          <cell r="AS7" t="str">
            <v>Gab Dufresne</v>
          </cell>
        </row>
        <row r="8">
          <cell r="A8" t="str">
            <v>PLYOMETRIC</v>
          </cell>
          <cell r="AM8" t="str">
            <v>Tignes</v>
          </cell>
          <cell r="AS8" t="str">
            <v>Elliot Vaillancourt</v>
          </cell>
        </row>
        <row r="9">
          <cell r="A9" t="str">
            <v>PE1A</v>
          </cell>
          <cell r="D9">
            <v>24</v>
          </cell>
          <cell r="M9">
            <v>27</v>
          </cell>
          <cell r="V9">
            <v>30</v>
          </cell>
          <cell r="AE9">
            <v>25</v>
          </cell>
          <cell r="AM9" t="str">
            <v>Meso 6</v>
          </cell>
          <cell r="AS9" t="str">
            <v>Julien Viel</v>
          </cell>
        </row>
        <row r="10">
          <cell r="A10" t="str">
            <v>PE1B</v>
          </cell>
          <cell r="D10">
            <v>64</v>
          </cell>
          <cell r="M10">
            <v>80</v>
          </cell>
          <cell r="V10">
            <v>100</v>
          </cell>
          <cell r="AE10">
            <v>80</v>
          </cell>
          <cell r="AM10" t="str">
            <v>Meso 7</v>
          </cell>
          <cell r="AS10" t="str">
            <v>Louis-David Chalifoux</v>
          </cell>
        </row>
        <row r="11">
          <cell r="A11" t="str">
            <v>PE1C</v>
          </cell>
          <cell r="AM11" t="str">
            <v>WR Camp 2</v>
          </cell>
          <cell r="AS11" t="str">
            <v>Sam Goodison</v>
          </cell>
        </row>
        <row r="12">
          <cell r="A12" t="str">
            <v>PE1D</v>
          </cell>
          <cell r="AM12" t="str">
            <v>Break</v>
          </cell>
          <cell r="AS12" t="str">
            <v>Sam Cordell</v>
          </cell>
        </row>
        <row r="13">
          <cell r="A13" t="str">
            <v>PE1E</v>
          </cell>
          <cell r="D13">
            <v>32</v>
          </cell>
          <cell r="M13">
            <v>40</v>
          </cell>
          <cell r="V13">
            <v>48</v>
          </cell>
          <cell r="AE13">
            <v>48</v>
          </cell>
          <cell r="AM13" t="str">
            <v>Chile</v>
          </cell>
        </row>
        <row r="14">
          <cell r="A14" t="str">
            <v>PE1F</v>
          </cell>
          <cell r="AM14" t="str">
            <v>Meso 10</v>
          </cell>
        </row>
        <row r="15">
          <cell r="A15" t="str">
            <v>PE1G</v>
          </cell>
          <cell r="AM15" t="str">
            <v>Idre</v>
          </cell>
          <cell r="AS15" t="str">
            <v>Charles Beaulieu</v>
          </cell>
        </row>
        <row r="16">
          <cell r="A16" t="str">
            <v>PE1H</v>
          </cell>
          <cell r="AM16" t="str">
            <v>Meso 12</v>
          </cell>
          <cell r="AS16" t="str">
            <v>JC Bougie</v>
          </cell>
        </row>
        <row r="17">
          <cell r="AS17" t="str">
            <v>Cole Carey</v>
          </cell>
        </row>
        <row r="18">
          <cell r="A18" t="str">
            <v>DYNAMIC</v>
          </cell>
          <cell r="AS18" t="str">
            <v>Joey Dubuc</v>
          </cell>
        </row>
        <row r="19">
          <cell r="A19" t="str">
            <v>DE1A</v>
          </cell>
          <cell r="D19">
            <v>6</v>
          </cell>
          <cell r="E19">
            <v>6</v>
          </cell>
          <cell r="F19">
            <v>6</v>
          </cell>
          <cell r="G19">
            <v>6</v>
          </cell>
          <cell r="M19">
            <v>6</v>
          </cell>
          <cell r="N19">
            <v>6</v>
          </cell>
          <cell r="O19">
            <v>6</v>
          </cell>
          <cell r="P19">
            <v>6</v>
          </cell>
          <cell r="V19">
            <v>6</v>
          </cell>
          <cell r="W19">
            <v>6</v>
          </cell>
          <cell r="X19">
            <v>6</v>
          </cell>
          <cell r="Y19">
            <v>6</v>
          </cell>
          <cell r="AE19">
            <v>6</v>
          </cell>
          <cell r="AF19">
            <v>6</v>
          </cell>
          <cell r="AG19">
            <v>6</v>
          </cell>
        </row>
        <row r="20">
          <cell r="A20" t="str">
            <v>DE1B</v>
          </cell>
          <cell r="D20">
            <v>5</v>
          </cell>
          <cell r="E20">
            <v>5</v>
          </cell>
          <cell r="F20">
            <v>5</v>
          </cell>
          <cell r="G20">
            <v>5</v>
          </cell>
          <cell r="M20">
            <v>5</v>
          </cell>
          <cell r="N20">
            <v>5</v>
          </cell>
          <cell r="O20">
            <v>5</v>
          </cell>
          <cell r="P20">
            <v>5</v>
          </cell>
          <cell r="V20">
            <v>5</v>
          </cell>
          <cell r="W20">
            <v>5</v>
          </cell>
          <cell r="X20">
            <v>5</v>
          </cell>
          <cell r="Y20">
            <v>5</v>
          </cell>
          <cell r="AE20">
            <v>5</v>
          </cell>
          <cell r="AF20">
            <v>5</v>
          </cell>
          <cell r="AG20">
            <v>5</v>
          </cell>
          <cell r="AM20" t="str">
            <v>Comp Season</v>
          </cell>
        </row>
        <row r="21">
          <cell r="A21" t="str">
            <v>DE1C</v>
          </cell>
          <cell r="AM21" t="str">
            <v>World Cup Block 1</v>
          </cell>
          <cell r="AS21" t="str">
            <v>Maia Schwinghammer</v>
          </cell>
        </row>
        <row r="22">
          <cell r="A22" t="str">
            <v>DE1D</v>
          </cell>
          <cell r="AM22" t="str">
            <v>Christmas 2025</v>
          </cell>
          <cell r="AS22" t="str">
            <v>Berkley Brown</v>
          </cell>
        </row>
        <row r="23">
          <cell r="AS23" t="str">
            <v>Laurianne Gilbert</v>
          </cell>
        </row>
        <row r="24">
          <cell r="A24" t="str">
            <v>MAXIMUM</v>
          </cell>
          <cell r="AS24" t="str">
            <v>Jessie Linton</v>
          </cell>
        </row>
        <row r="25">
          <cell r="A25" t="str">
            <v>ME1A</v>
          </cell>
          <cell r="D25">
            <v>6</v>
          </cell>
          <cell r="E25">
            <v>6</v>
          </cell>
          <cell r="F25">
            <v>6</v>
          </cell>
          <cell r="G25">
            <v>6</v>
          </cell>
          <cell r="M25">
            <v>6</v>
          </cell>
          <cell r="N25">
            <v>6</v>
          </cell>
          <cell r="O25">
            <v>6</v>
          </cell>
          <cell r="P25">
            <v>6</v>
          </cell>
          <cell r="V25">
            <v>6</v>
          </cell>
          <cell r="W25">
            <v>6</v>
          </cell>
          <cell r="X25">
            <v>6</v>
          </cell>
          <cell r="Y25">
            <v>6</v>
          </cell>
          <cell r="AE25">
            <v>6</v>
          </cell>
          <cell r="AF25">
            <v>6</v>
          </cell>
          <cell r="AG25">
            <v>6</v>
          </cell>
          <cell r="AS25" t="str">
            <v>Maya Mikkelsen</v>
          </cell>
        </row>
        <row r="26">
          <cell r="A26" t="str">
            <v>ME1B</v>
          </cell>
          <cell r="D26">
            <v>5</v>
          </cell>
          <cell r="E26">
            <v>4</v>
          </cell>
          <cell r="F26">
            <v>3</v>
          </cell>
          <cell r="M26">
            <v>5</v>
          </cell>
          <cell r="N26">
            <v>4</v>
          </cell>
          <cell r="O26">
            <v>3</v>
          </cell>
          <cell r="V26">
            <v>5</v>
          </cell>
          <cell r="W26">
            <v>4</v>
          </cell>
          <cell r="X26">
            <v>3</v>
          </cell>
          <cell r="AE26">
            <v>5</v>
          </cell>
          <cell r="AF26">
            <v>4</v>
          </cell>
          <cell r="AG26">
            <v>3</v>
          </cell>
          <cell r="AS26" t="str">
            <v>Ashley Koehler</v>
          </cell>
        </row>
        <row r="27">
          <cell r="A27" t="str">
            <v>ME1C</v>
          </cell>
          <cell r="AS27" t="str">
            <v>Sina Clegg</v>
          </cell>
        </row>
        <row r="28">
          <cell r="A28" t="str">
            <v>ME1D</v>
          </cell>
          <cell r="AS28" t="str">
            <v>Florence Laroche</v>
          </cell>
        </row>
        <row r="29">
          <cell r="A29" t="str">
            <v>Wendler</v>
          </cell>
          <cell r="D29">
            <v>5</v>
          </cell>
          <cell r="E29">
            <v>5</v>
          </cell>
          <cell r="F29">
            <v>5</v>
          </cell>
          <cell r="M29">
            <v>3</v>
          </cell>
          <cell r="N29">
            <v>3</v>
          </cell>
          <cell r="O29">
            <v>3</v>
          </cell>
          <cell r="V29">
            <v>5</v>
          </cell>
          <cell r="W29">
            <v>3</v>
          </cell>
          <cell r="X29">
            <v>1</v>
          </cell>
          <cell r="AE29">
            <v>5</v>
          </cell>
          <cell r="AF29">
            <v>5</v>
          </cell>
          <cell r="AG29">
            <v>5</v>
          </cell>
        </row>
        <row r="31">
          <cell r="A31" t="str">
            <v>REPEATED</v>
          </cell>
        </row>
        <row r="32">
          <cell r="A32" t="str">
            <v>RE1A</v>
          </cell>
          <cell r="D32">
            <v>15</v>
          </cell>
          <cell r="E32">
            <v>15</v>
          </cell>
          <cell r="F32">
            <v>15</v>
          </cell>
          <cell r="G32">
            <v>15</v>
          </cell>
          <cell r="M32">
            <v>15</v>
          </cell>
          <cell r="N32">
            <v>15</v>
          </cell>
          <cell r="O32">
            <v>15</v>
          </cell>
          <cell r="P32">
            <v>15</v>
          </cell>
          <cell r="V32">
            <v>15</v>
          </cell>
          <cell r="W32">
            <v>15</v>
          </cell>
          <cell r="X32">
            <v>15</v>
          </cell>
          <cell r="Y32">
            <v>15</v>
          </cell>
          <cell r="AE32">
            <v>15</v>
          </cell>
          <cell r="AF32">
            <v>15</v>
          </cell>
          <cell r="AG32">
            <v>15</v>
          </cell>
          <cell r="BI32" t="str">
            <v>% MAX</v>
          </cell>
        </row>
        <row r="33">
          <cell r="A33" t="str">
            <v>RE1B</v>
          </cell>
          <cell r="D33">
            <v>12</v>
          </cell>
          <cell r="E33">
            <v>12</v>
          </cell>
          <cell r="F33">
            <v>12</v>
          </cell>
          <cell r="G33">
            <v>12</v>
          </cell>
          <cell r="M33">
            <v>12</v>
          </cell>
          <cell r="N33">
            <v>12</v>
          </cell>
          <cell r="O33">
            <v>12</v>
          </cell>
          <cell r="P33">
            <v>12</v>
          </cell>
          <cell r="V33">
            <v>12</v>
          </cell>
          <cell r="W33">
            <v>12</v>
          </cell>
          <cell r="X33">
            <v>12</v>
          </cell>
          <cell r="Y33">
            <v>12</v>
          </cell>
          <cell r="AE33">
            <v>12</v>
          </cell>
          <cell r="AF33">
            <v>12</v>
          </cell>
          <cell r="AG33">
            <v>12</v>
          </cell>
          <cell r="BI33">
            <v>1</v>
          </cell>
        </row>
        <row r="34">
          <cell r="A34" t="str">
            <v>RE1C</v>
          </cell>
          <cell r="D34">
            <v>10</v>
          </cell>
          <cell r="E34">
            <v>10</v>
          </cell>
          <cell r="F34">
            <v>10</v>
          </cell>
          <cell r="G34">
            <v>10</v>
          </cell>
          <cell r="M34">
            <v>10</v>
          </cell>
          <cell r="N34">
            <v>10</v>
          </cell>
          <cell r="O34">
            <v>10</v>
          </cell>
          <cell r="P34">
            <v>10</v>
          </cell>
          <cell r="V34">
            <v>10</v>
          </cell>
          <cell r="W34">
            <v>10</v>
          </cell>
          <cell r="X34">
            <v>10</v>
          </cell>
          <cell r="Y34">
            <v>10</v>
          </cell>
          <cell r="AE34">
            <v>10</v>
          </cell>
          <cell r="AF34">
            <v>10</v>
          </cell>
          <cell r="AG34">
            <v>10</v>
          </cell>
          <cell r="BI34">
            <v>0.95</v>
          </cell>
        </row>
        <row r="35">
          <cell r="A35" t="str">
            <v>RE1D</v>
          </cell>
          <cell r="D35">
            <v>8</v>
          </cell>
          <cell r="E35">
            <v>8</v>
          </cell>
          <cell r="F35">
            <v>8</v>
          </cell>
          <cell r="G35">
            <v>8</v>
          </cell>
          <cell r="M35">
            <v>8</v>
          </cell>
          <cell r="N35">
            <v>8</v>
          </cell>
          <cell r="O35">
            <v>8</v>
          </cell>
          <cell r="P35">
            <v>8</v>
          </cell>
          <cell r="V35">
            <v>8</v>
          </cell>
          <cell r="W35">
            <v>8</v>
          </cell>
          <cell r="X35">
            <v>8</v>
          </cell>
          <cell r="Y35">
            <v>8</v>
          </cell>
          <cell r="AE35">
            <v>8</v>
          </cell>
          <cell r="AF35">
            <v>8</v>
          </cell>
          <cell r="AG35">
            <v>8</v>
          </cell>
          <cell r="BI35">
            <v>0.93</v>
          </cell>
        </row>
        <row r="36">
          <cell r="A36" t="str">
            <v>RE1E</v>
          </cell>
          <cell r="D36">
            <v>8</v>
          </cell>
          <cell r="E36">
            <v>8</v>
          </cell>
          <cell r="F36">
            <v>8</v>
          </cell>
          <cell r="G36">
            <v>8</v>
          </cell>
          <cell r="M36">
            <v>10</v>
          </cell>
          <cell r="N36">
            <v>10</v>
          </cell>
          <cell r="O36">
            <v>8</v>
          </cell>
          <cell r="P36">
            <v>8</v>
          </cell>
          <cell r="V36">
            <v>10</v>
          </cell>
          <cell r="W36">
            <v>10</v>
          </cell>
          <cell r="X36">
            <v>10</v>
          </cell>
          <cell r="Y36">
            <v>10</v>
          </cell>
          <cell r="AE36">
            <v>10</v>
          </cell>
          <cell r="AF36">
            <v>10</v>
          </cell>
          <cell r="AG36">
            <v>10</v>
          </cell>
          <cell r="BI36">
            <v>0.9</v>
          </cell>
        </row>
        <row r="39">
          <cell r="A39" t="str">
            <v>MISC</v>
          </cell>
        </row>
        <row r="40">
          <cell r="A40" t="str">
            <v>3xMax</v>
          </cell>
          <cell r="D40" t="str">
            <v>Max</v>
          </cell>
          <cell r="E40" t="str">
            <v>Max</v>
          </cell>
          <cell r="F40" t="str">
            <v>Max</v>
          </cell>
          <cell r="M40" t="str">
            <v>Max</v>
          </cell>
          <cell r="N40" t="str">
            <v>Max</v>
          </cell>
          <cell r="O40" t="str">
            <v>Max</v>
          </cell>
          <cell r="V40" t="str">
            <v>Max</v>
          </cell>
          <cell r="W40" t="str">
            <v>Max</v>
          </cell>
          <cell r="X40" t="str">
            <v>Max</v>
          </cell>
          <cell r="AE40" t="str">
            <v>Max</v>
          </cell>
          <cell r="AF40" t="str">
            <v>Max</v>
          </cell>
          <cell r="AG40" t="str">
            <v>Max</v>
          </cell>
        </row>
        <row r="41">
          <cell r="A41" t="str">
            <v>4xMax</v>
          </cell>
          <cell r="D41" t="str">
            <v>Max</v>
          </cell>
          <cell r="E41" t="str">
            <v>Max</v>
          </cell>
          <cell r="F41" t="str">
            <v>Max</v>
          </cell>
          <cell r="G41" t="str">
            <v>Max</v>
          </cell>
          <cell r="M41" t="str">
            <v>Max</v>
          </cell>
          <cell r="N41" t="str">
            <v>Max</v>
          </cell>
          <cell r="O41" t="str">
            <v>Max</v>
          </cell>
          <cell r="P41" t="str">
            <v>Max</v>
          </cell>
          <cell r="V41" t="str">
            <v>Max</v>
          </cell>
          <cell r="W41" t="str">
            <v>Max</v>
          </cell>
          <cell r="X41" t="str">
            <v>Max</v>
          </cell>
          <cell r="Y41" t="str">
            <v>Max</v>
          </cell>
          <cell r="AE41" t="str">
            <v>Max</v>
          </cell>
          <cell r="AF41" t="str">
            <v>Max</v>
          </cell>
          <cell r="AG41" t="str">
            <v>Max</v>
          </cell>
          <cell r="AH41" t="str">
            <v>Max</v>
          </cell>
        </row>
        <row r="43">
          <cell r="A43" t="str">
            <v>PREHAB</v>
          </cell>
        </row>
        <row r="44">
          <cell r="A44" t="str">
            <v>1AB</v>
          </cell>
          <cell r="D44" t="str">
            <v>1A</v>
          </cell>
          <cell r="E44" t="str">
            <v>1B</v>
          </cell>
          <cell r="M44" t="str">
            <v>1A</v>
          </cell>
          <cell r="N44" t="str">
            <v>1B</v>
          </cell>
          <cell r="V44" t="str">
            <v>1A</v>
          </cell>
          <cell r="W44" t="str">
            <v>1B</v>
          </cell>
          <cell r="AE44" t="str">
            <v>1A</v>
          </cell>
          <cell r="AF44" t="str">
            <v>1B</v>
          </cell>
        </row>
        <row r="45">
          <cell r="A45" t="str">
            <v>1A</v>
          </cell>
          <cell r="D45" t="str">
            <v>1A</v>
          </cell>
          <cell r="M45" t="str">
            <v>1A</v>
          </cell>
          <cell r="V45" t="str">
            <v>1A</v>
          </cell>
          <cell r="AE45" t="str">
            <v>1A</v>
          </cell>
          <cell r="AM45" t="str">
            <v>Program Objectives</v>
          </cell>
        </row>
        <row r="46">
          <cell r="A46" t="str">
            <v>1B</v>
          </cell>
          <cell r="D46" t="str">
            <v>1B</v>
          </cell>
          <cell r="M46" t="str">
            <v>1B</v>
          </cell>
          <cell r="V46" t="str">
            <v>1B</v>
          </cell>
          <cell r="AE46" t="str">
            <v>1B</v>
          </cell>
          <cell r="AM46" t="str">
            <v>Accumulation</v>
          </cell>
        </row>
        <row r="47">
          <cell r="A47" t="str">
            <v>2AB</v>
          </cell>
          <cell r="D47" t="str">
            <v>2A</v>
          </cell>
          <cell r="E47" t="str">
            <v>2B</v>
          </cell>
          <cell r="M47" t="str">
            <v>2A</v>
          </cell>
          <cell r="N47" t="str">
            <v>2B</v>
          </cell>
          <cell r="V47" t="str">
            <v>2A</v>
          </cell>
          <cell r="W47" t="str">
            <v>2B</v>
          </cell>
          <cell r="AE47" t="str">
            <v>2A</v>
          </cell>
          <cell r="AF47" t="str">
            <v>2B</v>
          </cell>
          <cell r="AM47" t="str">
            <v>Hypertrophy</v>
          </cell>
        </row>
        <row r="48">
          <cell r="A48" t="str">
            <v>2A</v>
          </cell>
          <cell r="D48" t="str">
            <v>2A</v>
          </cell>
          <cell r="M48" t="str">
            <v>2A</v>
          </cell>
          <cell r="V48" t="str">
            <v>2A</v>
          </cell>
          <cell r="AE48" t="str">
            <v>2A</v>
          </cell>
          <cell r="AM48" t="str">
            <v>Max Strength</v>
          </cell>
        </row>
        <row r="49">
          <cell r="A49" t="str">
            <v>2B</v>
          </cell>
          <cell r="D49" t="str">
            <v>2B</v>
          </cell>
          <cell r="M49" t="str">
            <v>2B</v>
          </cell>
          <cell r="V49" t="str">
            <v>2B</v>
          </cell>
          <cell r="AE49" t="str">
            <v>2B</v>
          </cell>
          <cell r="AM49" t="str">
            <v>Strength-Speed</v>
          </cell>
        </row>
        <row r="50">
          <cell r="A50" t="str">
            <v>3AB</v>
          </cell>
          <cell r="D50" t="str">
            <v>3A</v>
          </cell>
          <cell r="E50" t="str">
            <v>3B</v>
          </cell>
          <cell r="M50" t="str">
            <v>3A</v>
          </cell>
          <cell r="N50" t="str">
            <v>3B</v>
          </cell>
          <cell r="V50" t="str">
            <v>3A</v>
          </cell>
          <cell r="W50" t="str">
            <v>3B</v>
          </cell>
          <cell r="AE50" t="str">
            <v>3A</v>
          </cell>
          <cell r="AF50" t="str">
            <v>3B</v>
          </cell>
          <cell r="AM50" t="str">
            <v>Speed-Strength</v>
          </cell>
        </row>
        <row r="51">
          <cell r="A51" t="str">
            <v>3A</v>
          </cell>
          <cell r="D51" t="str">
            <v>3A</v>
          </cell>
          <cell r="M51" t="str">
            <v>3A</v>
          </cell>
          <cell r="V51" t="str">
            <v>3A</v>
          </cell>
          <cell r="AE51" t="str">
            <v>3A</v>
          </cell>
          <cell r="AM51" t="str">
            <v>Speed</v>
          </cell>
        </row>
        <row r="52">
          <cell r="AM52" t="str">
            <v>Plyometrics</v>
          </cell>
        </row>
        <row r="53">
          <cell r="A53" t="str">
            <v>Pre Season/Accumulation</v>
          </cell>
          <cell r="AM53" t="str">
            <v>Slow Eccentric</v>
          </cell>
        </row>
        <row r="54">
          <cell r="A54" t="str">
            <v>PS-PE1</v>
          </cell>
          <cell r="D54">
            <v>12</v>
          </cell>
          <cell r="E54">
            <v>12</v>
          </cell>
          <cell r="M54">
            <v>10</v>
          </cell>
          <cell r="N54">
            <v>10</v>
          </cell>
          <cell r="O54">
            <v>10</v>
          </cell>
          <cell r="V54">
            <v>12</v>
          </cell>
          <cell r="W54">
            <v>12</v>
          </cell>
          <cell r="X54">
            <v>12</v>
          </cell>
          <cell r="AM54" t="str">
            <v>Fast Eccentric</v>
          </cell>
        </row>
        <row r="55">
          <cell r="A55" t="str">
            <v>PS-PE1a</v>
          </cell>
        </row>
        <row r="56">
          <cell r="A56" t="str">
            <v>PS-PE2</v>
          </cell>
          <cell r="D56">
            <v>10</v>
          </cell>
          <cell r="E56">
            <v>10</v>
          </cell>
          <cell r="F56">
            <v>10</v>
          </cell>
          <cell r="M56">
            <v>12</v>
          </cell>
          <cell r="N56">
            <v>12</v>
          </cell>
          <cell r="O56">
            <v>12</v>
          </cell>
          <cell r="V56">
            <v>14</v>
          </cell>
          <cell r="W56">
            <v>14</v>
          </cell>
          <cell r="X56">
            <v>14</v>
          </cell>
        </row>
        <row r="57">
          <cell r="A57" t="str">
            <v>PS-PE2a</v>
          </cell>
          <cell r="D57">
            <v>6</v>
          </cell>
          <cell r="E57">
            <v>6</v>
          </cell>
          <cell r="F57">
            <v>6</v>
          </cell>
          <cell r="M57">
            <v>8</v>
          </cell>
          <cell r="N57">
            <v>8</v>
          </cell>
          <cell r="O57">
            <v>8</v>
          </cell>
          <cell r="V57">
            <v>10</v>
          </cell>
          <cell r="W57">
            <v>10</v>
          </cell>
          <cell r="X57">
            <v>10</v>
          </cell>
        </row>
        <row r="58">
          <cell r="AM58" t="str">
            <v>Phases</v>
          </cell>
        </row>
        <row r="59">
          <cell r="AM59" t="str">
            <v>General Prep - Technique Development</v>
          </cell>
        </row>
        <row r="60">
          <cell r="A60" t="str">
            <v>PS-RE1</v>
          </cell>
          <cell r="D60">
            <v>8</v>
          </cell>
          <cell r="E60">
            <v>8</v>
          </cell>
          <cell r="F60">
            <v>8</v>
          </cell>
          <cell r="G60">
            <v>8</v>
          </cell>
          <cell r="M60">
            <v>8</v>
          </cell>
          <cell r="N60">
            <v>8</v>
          </cell>
          <cell r="O60">
            <v>8</v>
          </cell>
          <cell r="P60">
            <v>8</v>
          </cell>
          <cell r="V60">
            <v>8</v>
          </cell>
          <cell r="W60">
            <v>8</v>
          </cell>
          <cell r="X60">
            <v>8</v>
          </cell>
          <cell r="AM60" t="str">
            <v>General Prep - Hypertrophy</v>
          </cell>
        </row>
        <row r="61">
          <cell r="A61" t="str">
            <v>PS-RE1a</v>
          </cell>
          <cell r="D61">
            <v>10</v>
          </cell>
          <cell r="E61">
            <v>10</v>
          </cell>
          <cell r="F61">
            <v>10</v>
          </cell>
          <cell r="G61">
            <v>10</v>
          </cell>
          <cell r="M61">
            <v>10</v>
          </cell>
          <cell r="N61">
            <v>10</v>
          </cell>
          <cell r="O61">
            <v>8</v>
          </cell>
          <cell r="P61">
            <v>8</v>
          </cell>
          <cell r="V61">
            <v>8</v>
          </cell>
          <cell r="W61">
            <v>8</v>
          </cell>
          <cell r="X61">
            <v>8</v>
          </cell>
          <cell r="Y61">
            <v>8</v>
          </cell>
          <cell r="AE61">
            <v>8</v>
          </cell>
          <cell r="AF61">
            <v>8</v>
          </cell>
          <cell r="AG61">
            <v>8</v>
          </cell>
          <cell r="AM61" t="str">
            <v>General Prep - Strength Base</v>
          </cell>
        </row>
        <row r="62">
          <cell r="A62" t="str">
            <v>PS-RE1b</v>
          </cell>
          <cell r="D62">
            <v>8</v>
          </cell>
          <cell r="E62">
            <v>8</v>
          </cell>
          <cell r="F62">
            <v>8</v>
          </cell>
          <cell r="G62">
            <v>8</v>
          </cell>
          <cell r="M62">
            <v>8</v>
          </cell>
          <cell r="N62">
            <v>8</v>
          </cell>
          <cell r="O62">
            <v>8</v>
          </cell>
          <cell r="P62">
            <v>8</v>
          </cell>
          <cell r="V62">
            <v>7</v>
          </cell>
          <cell r="W62">
            <v>7</v>
          </cell>
          <cell r="X62">
            <v>7</v>
          </cell>
          <cell r="Y62">
            <v>7</v>
          </cell>
          <cell r="AE62">
            <v>7</v>
          </cell>
          <cell r="AF62">
            <v>7</v>
          </cell>
          <cell r="AG62">
            <v>7</v>
          </cell>
          <cell r="AM62" t="str">
            <v>General Prep - Muscle Endurance</v>
          </cell>
        </row>
        <row r="63">
          <cell r="A63" t="str">
            <v>PS-RE1c</v>
          </cell>
          <cell r="D63">
            <v>8</v>
          </cell>
          <cell r="E63">
            <v>8</v>
          </cell>
          <cell r="F63">
            <v>7</v>
          </cell>
          <cell r="G63">
            <v>7</v>
          </cell>
          <cell r="M63">
            <v>8</v>
          </cell>
          <cell r="N63">
            <v>7</v>
          </cell>
          <cell r="O63">
            <v>7</v>
          </cell>
          <cell r="P63">
            <v>6</v>
          </cell>
          <cell r="V63">
            <v>7</v>
          </cell>
          <cell r="W63">
            <v>7</v>
          </cell>
          <cell r="X63">
            <v>6</v>
          </cell>
          <cell r="Y63">
            <v>6</v>
          </cell>
          <cell r="AE63">
            <v>7</v>
          </cell>
          <cell r="AF63">
            <v>6</v>
          </cell>
          <cell r="AG63">
            <v>6</v>
          </cell>
          <cell r="AM63" t="str">
            <v>Specific Prep - Strength</v>
          </cell>
        </row>
        <row r="64">
          <cell r="A64" t="str">
            <v>PS-RE2</v>
          </cell>
          <cell r="D64">
            <v>8</v>
          </cell>
          <cell r="E64">
            <v>8</v>
          </cell>
          <cell r="F64">
            <v>8</v>
          </cell>
          <cell r="G64">
            <v>8</v>
          </cell>
          <cell r="M64">
            <v>10</v>
          </cell>
          <cell r="N64">
            <v>10</v>
          </cell>
          <cell r="O64">
            <v>10</v>
          </cell>
          <cell r="P64">
            <v>10</v>
          </cell>
          <cell r="V64">
            <v>12</v>
          </cell>
          <cell r="W64">
            <v>12</v>
          </cell>
          <cell r="X64">
            <v>12</v>
          </cell>
          <cell r="AM64" t="str">
            <v>Specifc Prep - Strength/Power</v>
          </cell>
        </row>
        <row r="65">
          <cell r="A65" t="str">
            <v>PS-RE3</v>
          </cell>
          <cell r="D65">
            <v>12</v>
          </cell>
          <cell r="E65">
            <v>12</v>
          </cell>
          <cell r="F65">
            <v>12</v>
          </cell>
          <cell r="G65">
            <v>12</v>
          </cell>
          <cell r="M65">
            <v>14</v>
          </cell>
          <cell r="N65">
            <v>14</v>
          </cell>
          <cell r="O65">
            <v>14</v>
          </cell>
          <cell r="P65">
            <v>14</v>
          </cell>
          <cell r="V65">
            <v>16</v>
          </cell>
          <cell r="W65">
            <v>16</v>
          </cell>
          <cell r="X65">
            <v>16</v>
          </cell>
          <cell r="Y65">
            <v>16</v>
          </cell>
          <cell r="AE65">
            <v>18</v>
          </cell>
          <cell r="AF65">
            <v>18</v>
          </cell>
          <cell r="AG65">
            <v>18</v>
          </cell>
          <cell r="AM65" t="str">
            <v>Specifc Prep - Power</v>
          </cell>
        </row>
        <row r="66">
          <cell r="A66" t="str">
            <v>PS-RE3a</v>
          </cell>
          <cell r="D66">
            <v>10</v>
          </cell>
          <cell r="E66">
            <v>10</v>
          </cell>
          <cell r="F66">
            <v>10</v>
          </cell>
          <cell r="G66">
            <v>10</v>
          </cell>
          <cell r="M66">
            <v>12</v>
          </cell>
          <cell r="N66">
            <v>12</v>
          </cell>
          <cell r="O66">
            <v>12</v>
          </cell>
          <cell r="P66">
            <v>12</v>
          </cell>
          <cell r="V66">
            <v>14</v>
          </cell>
          <cell r="W66">
            <v>14</v>
          </cell>
          <cell r="X66">
            <v>12</v>
          </cell>
          <cell r="Y66">
            <v>12</v>
          </cell>
          <cell r="AE66">
            <v>14</v>
          </cell>
          <cell r="AF66">
            <v>14</v>
          </cell>
          <cell r="AG66">
            <v>14</v>
          </cell>
          <cell r="AM66" t="str">
            <v>Specific Prep - Power Endurance</v>
          </cell>
        </row>
        <row r="67">
          <cell r="A67" t="str">
            <v>PS-DE1</v>
          </cell>
          <cell r="D67">
            <v>6</v>
          </cell>
          <cell r="E67">
            <v>6</v>
          </cell>
          <cell r="F67">
            <v>6</v>
          </cell>
          <cell r="M67">
            <v>5</v>
          </cell>
          <cell r="N67">
            <v>5</v>
          </cell>
          <cell r="O67">
            <v>5</v>
          </cell>
          <cell r="V67">
            <v>4</v>
          </cell>
          <cell r="W67">
            <v>4</v>
          </cell>
          <cell r="X67">
            <v>4</v>
          </cell>
          <cell r="AM67" t="str">
            <v>Strength Maintenance</v>
          </cell>
        </row>
        <row r="70">
          <cell r="A70" t="str">
            <v>Pull Ups</v>
          </cell>
        </row>
        <row r="71">
          <cell r="A71" t="str">
            <v>PU-RE1</v>
          </cell>
          <cell r="D71">
            <v>8</v>
          </cell>
          <cell r="E71">
            <v>8</v>
          </cell>
          <cell r="F71">
            <v>8</v>
          </cell>
          <cell r="G71">
            <v>8</v>
          </cell>
          <cell r="M71">
            <v>10</v>
          </cell>
          <cell r="N71">
            <v>10</v>
          </cell>
          <cell r="O71">
            <v>8</v>
          </cell>
          <cell r="P71">
            <v>8</v>
          </cell>
          <cell r="V71">
            <v>12</v>
          </cell>
          <cell r="W71">
            <v>10</v>
          </cell>
          <cell r="X71">
            <v>10</v>
          </cell>
          <cell r="Y71">
            <v>8</v>
          </cell>
        </row>
        <row r="72">
          <cell r="A72" t="str">
            <v>PU-RE2</v>
          </cell>
          <cell r="D72">
            <v>6</v>
          </cell>
          <cell r="E72">
            <v>6</v>
          </cell>
          <cell r="F72">
            <v>6</v>
          </cell>
          <cell r="G72">
            <v>6</v>
          </cell>
          <cell r="M72">
            <v>8</v>
          </cell>
          <cell r="N72">
            <v>6</v>
          </cell>
          <cell r="O72">
            <v>6</v>
          </cell>
          <cell r="P72">
            <v>6</v>
          </cell>
          <cell r="V72">
            <v>8</v>
          </cell>
          <cell r="W72">
            <v>8</v>
          </cell>
          <cell r="X72">
            <v>6</v>
          </cell>
          <cell r="Y72">
            <v>6</v>
          </cell>
          <cell r="AE72">
            <v>8</v>
          </cell>
          <cell r="AF72">
            <v>8</v>
          </cell>
          <cell r="AG72">
            <v>8</v>
          </cell>
        </row>
        <row r="73">
          <cell r="A73" t="str">
            <v>3xMax</v>
          </cell>
          <cell r="D73" t="str">
            <v>Max</v>
          </cell>
          <cell r="E73" t="str">
            <v>Max</v>
          </cell>
          <cell r="F73" t="str">
            <v>Max</v>
          </cell>
          <cell r="M73" t="str">
            <v>Max</v>
          </cell>
          <cell r="N73" t="str">
            <v>Max</v>
          </cell>
          <cell r="O73" t="str">
            <v>Max</v>
          </cell>
          <cell r="V73" t="str">
            <v>Max</v>
          </cell>
          <cell r="W73" t="str">
            <v>Max</v>
          </cell>
          <cell r="X73" t="str">
            <v>Max</v>
          </cell>
          <cell r="AE73" t="str">
            <v>Max</v>
          </cell>
          <cell r="AF73" t="str">
            <v>Max</v>
          </cell>
          <cell r="AG73" t="str">
            <v>Max</v>
          </cell>
        </row>
        <row r="74">
          <cell r="A74" t="str">
            <v>RC-RE1</v>
          </cell>
          <cell r="D74">
            <v>4</v>
          </cell>
          <cell r="E74">
            <v>3</v>
          </cell>
          <cell r="F74">
            <v>3</v>
          </cell>
          <cell r="G74">
            <v>3</v>
          </cell>
          <cell r="M74">
            <v>4</v>
          </cell>
          <cell r="N74">
            <v>4</v>
          </cell>
          <cell r="O74">
            <v>3</v>
          </cell>
          <cell r="P74">
            <v>3</v>
          </cell>
          <cell r="V74">
            <v>5</v>
          </cell>
          <cell r="W74">
            <v>4</v>
          </cell>
          <cell r="X74">
            <v>3</v>
          </cell>
          <cell r="Y74">
            <v>3</v>
          </cell>
          <cell r="AE74">
            <v>5</v>
          </cell>
          <cell r="AF74">
            <v>4</v>
          </cell>
          <cell r="AG74">
            <v>4</v>
          </cell>
        </row>
        <row r="77">
          <cell r="A77" t="str">
            <v>1x1</v>
          </cell>
          <cell r="D77">
            <v>1</v>
          </cell>
          <cell r="M77">
            <v>1</v>
          </cell>
          <cell r="V77">
            <v>1</v>
          </cell>
          <cell r="AE77">
            <v>1</v>
          </cell>
        </row>
        <row r="78">
          <cell r="A78" t="str">
            <v>2x1</v>
          </cell>
          <cell r="D78">
            <v>1</v>
          </cell>
          <cell r="E78">
            <v>1</v>
          </cell>
          <cell r="M78">
            <v>1</v>
          </cell>
          <cell r="N78">
            <v>1</v>
          </cell>
          <cell r="V78">
            <v>1</v>
          </cell>
          <cell r="W78">
            <v>1</v>
          </cell>
          <cell r="AE78">
            <v>1</v>
          </cell>
          <cell r="AF78">
            <v>1</v>
          </cell>
        </row>
        <row r="79">
          <cell r="A79" t="str">
            <v>3x1</v>
          </cell>
          <cell r="D79">
            <v>1</v>
          </cell>
          <cell r="E79">
            <v>1</v>
          </cell>
          <cell r="F79">
            <v>1</v>
          </cell>
          <cell r="M79">
            <v>1</v>
          </cell>
          <cell r="N79">
            <v>1</v>
          </cell>
          <cell r="O79">
            <v>1</v>
          </cell>
          <cell r="V79">
            <v>1</v>
          </cell>
          <cell r="W79">
            <v>1</v>
          </cell>
          <cell r="X79">
            <v>1</v>
          </cell>
          <cell r="AE79">
            <v>1</v>
          </cell>
          <cell r="AF79">
            <v>1</v>
          </cell>
          <cell r="AG79">
            <v>1</v>
          </cell>
        </row>
        <row r="80">
          <cell r="A80" t="str">
            <v>3x1+1</v>
          </cell>
          <cell r="D80">
            <v>1</v>
          </cell>
          <cell r="E80">
            <v>1</v>
          </cell>
          <cell r="F80">
            <v>1</v>
          </cell>
          <cell r="M80">
            <v>2</v>
          </cell>
          <cell r="N80">
            <v>2</v>
          </cell>
          <cell r="O80">
            <v>2</v>
          </cell>
          <cell r="V80">
            <v>3</v>
          </cell>
          <cell r="W80">
            <v>3</v>
          </cell>
          <cell r="X80">
            <v>3</v>
          </cell>
          <cell r="AE80">
            <v>4</v>
          </cell>
          <cell r="AF80">
            <v>4</v>
          </cell>
          <cell r="AG80">
            <v>4</v>
          </cell>
        </row>
        <row r="81">
          <cell r="A81" t="str">
            <v>3x1&lt;2</v>
          </cell>
          <cell r="D81">
            <v>1</v>
          </cell>
          <cell r="E81">
            <v>1</v>
          </cell>
          <cell r="F81">
            <v>1</v>
          </cell>
          <cell r="M81">
            <v>2</v>
          </cell>
          <cell r="N81">
            <v>1</v>
          </cell>
          <cell r="O81">
            <v>1</v>
          </cell>
          <cell r="V81">
            <v>2</v>
          </cell>
          <cell r="W81">
            <v>2</v>
          </cell>
          <cell r="X81">
            <v>1</v>
          </cell>
          <cell r="AE81">
            <v>2</v>
          </cell>
          <cell r="AF81">
            <v>2</v>
          </cell>
          <cell r="AG81">
            <v>2</v>
          </cell>
        </row>
        <row r="82">
          <cell r="A82" t="str">
            <v>4x1</v>
          </cell>
          <cell r="D82">
            <v>1</v>
          </cell>
          <cell r="E82">
            <v>1</v>
          </cell>
          <cell r="F82">
            <v>1</v>
          </cell>
          <cell r="G82">
            <v>1</v>
          </cell>
          <cell r="M82">
            <v>1</v>
          </cell>
          <cell r="N82">
            <v>1</v>
          </cell>
          <cell r="O82">
            <v>1</v>
          </cell>
          <cell r="P82">
            <v>1</v>
          </cell>
          <cell r="V82">
            <v>1</v>
          </cell>
          <cell r="W82">
            <v>1</v>
          </cell>
          <cell r="X82">
            <v>1</v>
          </cell>
          <cell r="Y82">
            <v>1</v>
          </cell>
          <cell r="AE82">
            <v>1</v>
          </cell>
          <cell r="AF82">
            <v>1</v>
          </cell>
          <cell r="AG82">
            <v>1</v>
          </cell>
          <cell r="AH82">
            <v>1</v>
          </cell>
        </row>
        <row r="83">
          <cell r="A83" t="str">
            <v>5x1</v>
          </cell>
          <cell r="D83">
            <v>1</v>
          </cell>
          <cell r="E83">
            <v>1</v>
          </cell>
          <cell r="F83">
            <v>1</v>
          </cell>
          <cell r="G83">
            <v>1</v>
          </cell>
          <cell r="H83">
            <v>1</v>
          </cell>
          <cell r="M83">
            <v>1</v>
          </cell>
          <cell r="N83">
            <v>1</v>
          </cell>
          <cell r="O83">
            <v>1</v>
          </cell>
          <cell r="P83">
            <v>1</v>
          </cell>
          <cell r="Q83">
            <v>1</v>
          </cell>
          <cell r="V83">
            <v>1</v>
          </cell>
          <cell r="W83">
            <v>1</v>
          </cell>
          <cell r="X83">
            <v>1</v>
          </cell>
          <cell r="Y83">
            <v>1</v>
          </cell>
          <cell r="Z83">
            <v>1</v>
          </cell>
          <cell r="AE83">
            <v>1</v>
          </cell>
          <cell r="AF83">
            <v>1</v>
          </cell>
          <cell r="AG83">
            <v>1</v>
          </cell>
          <cell r="AH83">
            <v>1</v>
          </cell>
          <cell r="AI83">
            <v>1</v>
          </cell>
        </row>
        <row r="84">
          <cell r="A84" t="str">
            <v>6x1</v>
          </cell>
          <cell r="D84">
            <v>1</v>
          </cell>
          <cell r="E84">
            <v>1</v>
          </cell>
          <cell r="F84">
            <v>1</v>
          </cell>
          <cell r="G84">
            <v>1</v>
          </cell>
          <cell r="H84">
            <v>1</v>
          </cell>
          <cell r="I84">
            <v>1</v>
          </cell>
          <cell r="M84">
            <v>1</v>
          </cell>
          <cell r="N84">
            <v>1</v>
          </cell>
          <cell r="O84">
            <v>1</v>
          </cell>
          <cell r="P84">
            <v>1</v>
          </cell>
          <cell r="Q84">
            <v>1</v>
          </cell>
          <cell r="R84">
            <v>1</v>
          </cell>
          <cell r="V84">
            <v>1</v>
          </cell>
          <cell r="W84">
            <v>1</v>
          </cell>
          <cell r="X84">
            <v>1</v>
          </cell>
          <cell r="Y84">
            <v>1</v>
          </cell>
          <cell r="Z84">
            <v>1</v>
          </cell>
          <cell r="AA84">
            <v>1</v>
          </cell>
          <cell r="AE84">
            <v>1</v>
          </cell>
          <cell r="AF84">
            <v>1</v>
          </cell>
          <cell r="AG84">
            <v>1</v>
          </cell>
          <cell r="AH84">
            <v>1</v>
          </cell>
          <cell r="AI84">
            <v>1</v>
          </cell>
          <cell r="AJ84">
            <v>1</v>
          </cell>
        </row>
        <row r="85">
          <cell r="A85" t="str">
            <v>2x2</v>
          </cell>
          <cell r="D85">
            <v>2</v>
          </cell>
          <cell r="E85">
            <v>2</v>
          </cell>
          <cell r="M85">
            <v>2</v>
          </cell>
          <cell r="N85">
            <v>2</v>
          </cell>
          <cell r="V85">
            <v>2</v>
          </cell>
          <cell r="W85">
            <v>2</v>
          </cell>
          <cell r="AE85">
            <v>2</v>
          </cell>
          <cell r="AF85">
            <v>2</v>
          </cell>
        </row>
        <row r="86">
          <cell r="A86" t="str">
            <v>3x2</v>
          </cell>
          <cell r="D86">
            <v>2</v>
          </cell>
          <cell r="E86">
            <v>2</v>
          </cell>
          <cell r="F86">
            <v>2</v>
          </cell>
          <cell r="M86">
            <v>2</v>
          </cell>
          <cell r="N86">
            <v>2</v>
          </cell>
          <cell r="O86">
            <v>2</v>
          </cell>
          <cell r="V86">
            <v>2</v>
          </cell>
          <cell r="W86">
            <v>2</v>
          </cell>
          <cell r="X86">
            <v>2</v>
          </cell>
          <cell r="AE86">
            <v>2</v>
          </cell>
          <cell r="AF86">
            <v>2</v>
          </cell>
          <cell r="AG86">
            <v>2</v>
          </cell>
        </row>
        <row r="87">
          <cell r="A87" t="str">
            <v>3x2+1</v>
          </cell>
          <cell r="D87">
            <v>2</v>
          </cell>
          <cell r="E87">
            <v>2</v>
          </cell>
          <cell r="F87">
            <v>2</v>
          </cell>
          <cell r="M87">
            <v>3</v>
          </cell>
          <cell r="N87">
            <v>3</v>
          </cell>
          <cell r="O87">
            <v>3</v>
          </cell>
          <cell r="V87">
            <v>4</v>
          </cell>
          <cell r="W87">
            <v>4</v>
          </cell>
          <cell r="X87">
            <v>4</v>
          </cell>
          <cell r="AE87">
            <v>5</v>
          </cell>
          <cell r="AF87">
            <v>5</v>
          </cell>
          <cell r="AG87">
            <v>5</v>
          </cell>
        </row>
        <row r="88">
          <cell r="A88" t="str">
            <v>3x2&lt;3</v>
          </cell>
          <cell r="D88">
            <v>2</v>
          </cell>
          <cell r="E88">
            <v>2</v>
          </cell>
          <cell r="F88">
            <v>2</v>
          </cell>
          <cell r="M88">
            <v>3</v>
          </cell>
          <cell r="N88">
            <v>2</v>
          </cell>
          <cell r="O88">
            <v>2</v>
          </cell>
          <cell r="V88">
            <v>3</v>
          </cell>
          <cell r="W88">
            <v>3</v>
          </cell>
          <cell r="X88">
            <v>2</v>
          </cell>
          <cell r="AE88">
            <v>3</v>
          </cell>
          <cell r="AF88">
            <v>3</v>
          </cell>
          <cell r="AG88">
            <v>3</v>
          </cell>
        </row>
        <row r="89">
          <cell r="A89" t="str">
            <v>4x2</v>
          </cell>
          <cell r="D89">
            <v>2</v>
          </cell>
          <cell r="E89">
            <v>2</v>
          </cell>
          <cell r="F89">
            <v>2</v>
          </cell>
          <cell r="G89">
            <v>2</v>
          </cell>
          <cell r="M89">
            <v>2</v>
          </cell>
          <cell r="N89">
            <v>2</v>
          </cell>
          <cell r="O89">
            <v>2</v>
          </cell>
          <cell r="P89">
            <v>2</v>
          </cell>
          <cell r="V89">
            <v>2</v>
          </cell>
          <cell r="W89">
            <v>2</v>
          </cell>
          <cell r="X89">
            <v>2</v>
          </cell>
          <cell r="Y89">
            <v>2</v>
          </cell>
          <cell r="AE89">
            <v>2</v>
          </cell>
          <cell r="AF89">
            <v>2</v>
          </cell>
          <cell r="AG89">
            <v>2</v>
          </cell>
          <cell r="AH89">
            <v>2</v>
          </cell>
        </row>
        <row r="90">
          <cell r="A90" t="str">
            <v>5x2</v>
          </cell>
          <cell r="D90">
            <v>2</v>
          </cell>
          <cell r="E90">
            <v>2</v>
          </cell>
          <cell r="F90">
            <v>2</v>
          </cell>
          <cell r="G90">
            <v>2</v>
          </cell>
          <cell r="H90">
            <v>2</v>
          </cell>
          <cell r="M90">
            <v>2</v>
          </cell>
          <cell r="N90">
            <v>2</v>
          </cell>
          <cell r="O90">
            <v>2</v>
          </cell>
          <cell r="P90">
            <v>2</v>
          </cell>
          <cell r="Q90">
            <v>2</v>
          </cell>
          <cell r="V90">
            <v>2</v>
          </cell>
          <cell r="W90">
            <v>2</v>
          </cell>
          <cell r="X90">
            <v>2</v>
          </cell>
          <cell r="Y90">
            <v>2</v>
          </cell>
          <cell r="Z90">
            <v>2</v>
          </cell>
          <cell r="AE90">
            <v>2</v>
          </cell>
          <cell r="AF90">
            <v>2</v>
          </cell>
          <cell r="AG90">
            <v>2</v>
          </cell>
          <cell r="AH90">
            <v>2</v>
          </cell>
          <cell r="AI90">
            <v>2</v>
          </cell>
        </row>
        <row r="91">
          <cell r="A91" t="str">
            <v>6x2</v>
          </cell>
          <cell r="D91">
            <v>2</v>
          </cell>
          <cell r="E91">
            <v>2</v>
          </cell>
          <cell r="F91">
            <v>2</v>
          </cell>
          <cell r="G91">
            <v>2</v>
          </cell>
          <cell r="H91">
            <v>2</v>
          </cell>
          <cell r="I91">
            <v>2</v>
          </cell>
          <cell r="M91">
            <v>2</v>
          </cell>
          <cell r="N91">
            <v>2</v>
          </cell>
          <cell r="O91">
            <v>2</v>
          </cell>
          <cell r="P91">
            <v>2</v>
          </cell>
          <cell r="Q91">
            <v>2</v>
          </cell>
          <cell r="R91">
            <v>2</v>
          </cell>
          <cell r="V91">
            <v>2</v>
          </cell>
          <cell r="W91">
            <v>2</v>
          </cell>
          <cell r="X91">
            <v>2</v>
          </cell>
          <cell r="Y91">
            <v>2</v>
          </cell>
          <cell r="Z91">
            <v>2</v>
          </cell>
          <cell r="AA91">
            <v>2</v>
          </cell>
          <cell r="AE91">
            <v>2</v>
          </cell>
          <cell r="AF91">
            <v>2</v>
          </cell>
          <cell r="AG91">
            <v>2</v>
          </cell>
          <cell r="AH91">
            <v>2</v>
          </cell>
          <cell r="AI91">
            <v>2</v>
          </cell>
          <cell r="AJ91">
            <v>2</v>
          </cell>
        </row>
        <row r="92">
          <cell r="A92" t="str">
            <v>2x3</v>
          </cell>
          <cell r="D92">
            <v>3</v>
          </cell>
          <cell r="E92">
            <v>3</v>
          </cell>
          <cell r="M92">
            <v>3</v>
          </cell>
          <cell r="N92">
            <v>3</v>
          </cell>
          <cell r="V92">
            <v>3</v>
          </cell>
          <cell r="W92">
            <v>3</v>
          </cell>
          <cell r="AE92">
            <v>3</v>
          </cell>
          <cell r="AF92">
            <v>3</v>
          </cell>
        </row>
        <row r="93">
          <cell r="A93" t="str">
            <v>3x3</v>
          </cell>
          <cell r="D93">
            <v>3</v>
          </cell>
          <cell r="E93">
            <v>3</v>
          </cell>
          <cell r="F93">
            <v>3</v>
          </cell>
          <cell r="M93">
            <v>3</v>
          </cell>
          <cell r="N93">
            <v>3</v>
          </cell>
          <cell r="O93">
            <v>3</v>
          </cell>
          <cell r="V93">
            <v>3</v>
          </cell>
          <cell r="W93">
            <v>3</v>
          </cell>
          <cell r="X93">
            <v>3</v>
          </cell>
          <cell r="AE93">
            <v>3</v>
          </cell>
          <cell r="AF93">
            <v>3</v>
          </cell>
          <cell r="AG93">
            <v>3</v>
          </cell>
        </row>
        <row r="94">
          <cell r="A94" t="str">
            <v>3x3-1</v>
          </cell>
          <cell r="D94">
            <v>3</v>
          </cell>
          <cell r="E94">
            <v>3</v>
          </cell>
          <cell r="F94">
            <v>3</v>
          </cell>
          <cell r="M94">
            <v>2</v>
          </cell>
          <cell r="N94">
            <v>2</v>
          </cell>
          <cell r="O94">
            <v>2</v>
          </cell>
          <cell r="V94">
            <v>1</v>
          </cell>
          <cell r="W94">
            <v>1</v>
          </cell>
          <cell r="X94">
            <v>1</v>
          </cell>
          <cell r="AE94">
            <v>3</v>
          </cell>
          <cell r="AF94">
            <v>2</v>
          </cell>
          <cell r="AG94">
            <v>1</v>
          </cell>
        </row>
        <row r="95">
          <cell r="A95" t="str">
            <v>3x3+1</v>
          </cell>
          <cell r="D95">
            <v>3</v>
          </cell>
          <cell r="E95">
            <v>3</v>
          </cell>
          <cell r="F95">
            <v>3</v>
          </cell>
          <cell r="M95">
            <v>4</v>
          </cell>
          <cell r="N95">
            <v>4</v>
          </cell>
          <cell r="O95">
            <v>4</v>
          </cell>
          <cell r="V95">
            <v>5</v>
          </cell>
          <cell r="W95">
            <v>5</v>
          </cell>
          <cell r="X95">
            <v>5</v>
          </cell>
          <cell r="AE95">
            <v>6</v>
          </cell>
          <cell r="AF95">
            <v>6</v>
          </cell>
          <cell r="AG95">
            <v>6</v>
          </cell>
        </row>
        <row r="96">
          <cell r="A96" t="str">
            <v>3x3&gt;</v>
          </cell>
          <cell r="D96">
            <v>3</v>
          </cell>
          <cell r="E96">
            <v>2</v>
          </cell>
          <cell r="F96">
            <v>1</v>
          </cell>
          <cell r="M96">
            <v>3</v>
          </cell>
          <cell r="N96">
            <v>2</v>
          </cell>
          <cell r="O96">
            <v>1</v>
          </cell>
          <cell r="V96">
            <v>3</v>
          </cell>
          <cell r="W96">
            <v>2</v>
          </cell>
          <cell r="X96">
            <v>1</v>
          </cell>
          <cell r="AE96">
            <v>3</v>
          </cell>
          <cell r="AF96">
            <v>2</v>
          </cell>
          <cell r="AG96">
            <v>1</v>
          </cell>
        </row>
        <row r="97">
          <cell r="A97" t="str">
            <v>3x3&gt;+1</v>
          </cell>
          <cell r="D97">
            <v>3</v>
          </cell>
          <cell r="E97">
            <v>2</v>
          </cell>
          <cell r="F97">
            <v>1</v>
          </cell>
          <cell r="M97">
            <v>4</v>
          </cell>
          <cell r="N97">
            <v>3</v>
          </cell>
          <cell r="O97">
            <v>2</v>
          </cell>
          <cell r="V97">
            <v>5</v>
          </cell>
          <cell r="W97">
            <v>4</v>
          </cell>
          <cell r="X97">
            <v>3</v>
          </cell>
          <cell r="AE97">
            <v>6</v>
          </cell>
          <cell r="AF97">
            <v>5</v>
          </cell>
          <cell r="AG97">
            <v>4</v>
          </cell>
        </row>
        <row r="98">
          <cell r="A98" t="str">
            <v>4x3</v>
          </cell>
          <cell r="D98">
            <v>3</v>
          </cell>
          <cell r="E98">
            <v>3</v>
          </cell>
          <cell r="F98">
            <v>3</v>
          </cell>
          <cell r="G98">
            <v>3</v>
          </cell>
          <cell r="M98">
            <v>3</v>
          </cell>
          <cell r="N98">
            <v>3</v>
          </cell>
          <cell r="O98">
            <v>3</v>
          </cell>
          <cell r="P98">
            <v>3</v>
          </cell>
          <cell r="V98">
            <v>3</v>
          </cell>
          <cell r="W98">
            <v>3</v>
          </cell>
          <cell r="X98">
            <v>3</v>
          </cell>
          <cell r="Y98">
            <v>3</v>
          </cell>
          <cell r="AE98">
            <v>3</v>
          </cell>
          <cell r="AF98">
            <v>3</v>
          </cell>
          <cell r="AG98">
            <v>3</v>
          </cell>
          <cell r="AH98">
            <v>3</v>
          </cell>
        </row>
        <row r="99">
          <cell r="A99" t="str">
            <v>5x3</v>
          </cell>
          <cell r="D99">
            <v>3</v>
          </cell>
          <cell r="E99">
            <v>3</v>
          </cell>
          <cell r="F99">
            <v>3</v>
          </cell>
          <cell r="G99">
            <v>3</v>
          </cell>
          <cell r="H99">
            <v>3</v>
          </cell>
          <cell r="M99">
            <v>3</v>
          </cell>
          <cell r="N99">
            <v>3</v>
          </cell>
          <cell r="O99">
            <v>3</v>
          </cell>
          <cell r="P99">
            <v>3</v>
          </cell>
          <cell r="Q99">
            <v>3</v>
          </cell>
          <cell r="V99">
            <v>3</v>
          </cell>
          <cell r="W99">
            <v>3</v>
          </cell>
          <cell r="X99">
            <v>3</v>
          </cell>
          <cell r="Y99">
            <v>3</v>
          </cell>
          <cell r="Z99">
            <v>3</v>
          </cell>
          <cell r="AE99">
            <v>3</v>
          </cell>
          <cell r="AF99">
            <v>3</v>
          </cell>
          <cell r="AG99">
            <v>3</v>
          </cell>
          <cell r="AH99">
            <v>3</v>
          </cell>
          <cell r="AI99">
            <v>3</v>
          </cell>
        </row>
        <row r="100">
          <cell r="A100" t="str">
            <v>6x3</v>
          </cell>
          <cell r="D100">
            <v>3</v>
          </cell>
          <cell r="E100">
            <v>3</v>
          </cell>
          <cell r="F100">
            <v>3</v>
          </cell>
          <cell r="G100">
            <v>3</v>
          </cell>
          <cell r="H100">
            <v>3</v>
          </cell>
          <cell r="I100">
            <v>3</v>
          </cell>
          <cell r="M100">
            <v>3</v>
          </cell>
          <cell r="N100">
            <v>3</v>
          </cell>
          <cell r="O100">
            <v>3</v>
          </cell>
          <cell r="P100">
            <v>3</v>
          </cell>
          <cell r="Q100">
            <v>3</v>
          </cell>
          <cell r="R100">
            <v>3</v>
          </cell>
          <cell r="V100">
            <v>3</v>
          </cell>
          <cell r="W100">
            <v>3</v>
          </cell>
          <cell r="X100">
            <v>3</v>
          </cell>
          <cell r="Y100">
            <v>3</v>
          </cell>
          <cell r="Z100">
            <v>3</v>
          </cell>
          <cell r="AA100">
            <v>3</v>
          </cell>
          <cell r="AE100">
            <v>3</v>
          </cell>
          <cell r="AF100">
            <v>3</v>
          </cell>
          <cell r="AG100">
            <v>3</v>
          </cell>
          <cell r="AH100">
            <v>3</v>
          </cell>
          <cell r="AI100">
            <v>3</v>
          </cell>
          <cell r="AJ100">
            <v>3</v>
          </cell>
        </row>
        <row r="101">
          <cell r="A101" t="str">
            <v>2x4</v>
          </cell>
          <cell r="D101">
            <v>4</v>
          </cell>
          <cell r="E101">
            <v>4</v>
          </cell>
          <cell r="M101">
            <v>4</v>
          </cell>
          <cell r="N101">
            <v>4</v>
          </cell>
          <cell r="V101">
            <v>4</v>
          </cell>
          <cell r="W101">
            <v>4</v>
          </cell>
          <cell r="AE101">
            <v>4</v>
          </cell>
          <cell r="AF101">
            <v>4</v>
          </cell>
        </row>
        <row r="102">
          <cell r="A102" t="str">
            <v>3x4</v>
          </cell>
          <cell r="D102">
            <v>4</v>
          </cell>
          <cell r="E102">
            <v>4</v>
          </cell>
          <cell r="F102">
            <v>4</v>
          </cell>
          <cell r="M102">
            <v>4</v>
          </cell>
          <cell r="N102">
            <v>4</v>
          </cell>
          <cell r="O102">
            <v>4</v>
          </cell>
          <cell r="V102">
            <v>4</v>
          </cell>
          <cell r="W102">
            <v>4</v>
          </cell>
          <cell r="X102">
            <v>4</v>
          </cell>
          <cell r="AE102">
            <v>4</v>
          </cell>
          <cell r="AF102">
            <v>4</v>
          </cell>
          <cell r="AG102">
            <v>4</v>
          </cell>
        </row>
        <row r="103">
          <cell r="A103" t="str">
            <v>3x4-1</v>
          </cell>
          <cell r="D103">
            <v>4</v>
          </cell>
          <cell r="E103">
            <v>4</v>
          </cell>
          <cell r="F103">
            <v>4</v>
          </cell>
          <cell r="M103">
            <v>3</v>
          </cell>
          <cell r="N103">
            <v>3</v>
          </cell>
          <cell r="O103">
            <v>3</v>
          </cell>
          <cell r="V103">
            <v>2</v>
          </cell>
          <cell r="W103">
            <v>2</v>
          </cell>
          <cell r="X103">
            <v>2</v>
          </cell>
          <cell r="AE103">
            <v>4</v>
          </cell>
          <cell r="AF103">
            <v>3</v>
          </cell>
          <cell r="AG103">
            <v>2</v>
          </cell>
        </row>
        <row r="104">
          <cell r="A104" t="str">
            <v>3x4+1</v>
          </cell>
          <cell r="D104">
            <v>4</v>
          </cell>
          <cell r="E104">
            <v>4</v>
          </cell>
          <cell r="F104">
            <v>4</v>
          </cell>
          <cell r="M104">
            <v>5</v>
          </cell>
          <cell r="N104">
            <v>5</v>
          </cell>
          <cell r="O104">
            <v>5</v>
          </cell>
          <cell r="V104">
            <v>6</v>
          </cell>
          <cell r="W104">
            <v>6</v>
          </cell>
          <cell r="X104">
            <v>6</v>
          </cell>
          <cell r="AE104">
            <v>7</v>
          </cell>
          <cell r="AF104">
            <v>7</v>
          </cell>
          <cell r="AG104">
            <v>7</v>
          </cell>
        </row>
        <row r="105">
          <cell r="A105" t="str">
            <v>3x4&gt;</v>
          </cell>
          <cell r="D105">
            <v>4</v>
          </cell>
          <cell r="E105">
            <v>3</v>
          </cell>
          <cell r="F105">
            <v>2</v>
          </cell>
          <cell r="M105">
            <v>4</v>
          </cell>
          <cell r="N105">
            <v>3</v>
          </cell>
          <cell r="O105">
            <v>2</v>
          </cell>
          <cell r="V105">
            <v>4</v>
          </cell>
          <cell r="W105">
            <v>3</v>
          </cell>
          <cell r="X105">
            <v>2</v>
          </cell>
          <cell r="AE105">
            <v>4</v>
          </cell>
          <cell r="AF105">
            <v>3</v>
          </cell>
          <cell r="AG105">
            <v>2</v>
          </cell>
        </row>
        <row r="106">
          <cell r="A106" t="str">
            <v>3x4&gt;+1</v>
          </cell>
          <cell r="D106">
            <v>4</v>
          </cell>
          <cell r="E106">
            <v>3</v>
          </cell>
          <cell r="F106">
            <v>2</v>
          </cell>
          <cell r="M106">
            <v>5</v>
          </cell>
          <cell r="N106">
            <v>4</v>
          </cell>
          <cell r="O106">
            <v>3</v>
          </cell>
          <cell r="V106">
            <v>6</v>
          </cell>
          <cell r="W106">
            <v>5</v>
          </cell>
          <cell r="X106">
            <v>4</v>
          </cell>
          <cell r="AE106">
            <v>7</v>
          </cell>
          <cell r="AF106">
            <v>6</v>
          </cell>
          <cell r="AG106">
            <v>5</v>
          </cell>
        </row>
        <row r="107">
          <cell r="A107" t="str">
            <v>4x4</v>
          </cell>
          <cell r="D107">
            <v>4</v>
          </cell>
          <cell r="E107">
            <v>4</v>
          </cell>
          <cell r="F107">
            <v>4</v>
          </cell>
          <cell r="G107">
            <v>4</v>
          </cell>
          <cell r="M107">
            <v>4</v>
          </cell>
          <cell r="N107">
            <v>4</v>
          </cell>
          <cell r="O107">
            <v>4</v>
          </cell>
          <cell r="P107">
            <v>4</v>
          </cell>
          <cell r="V107">
            <v>4</v>
          </cell>
          <cell r="W107">
            <v>4</v>
          </cell>
          <cell r="X107">
            <v>4</v>
          </cell>
          <cell r="Y107">
            <v>4</v>
          </cell>
          <cell r="AE107">
            <v>4</v>
          </cell>
          <cell r="AF107">
            <v>4</v>
          </cell>
          <cell r="AG107">
            <v>4</v>
          </cell>
          <cell r="AH107">
            <v>4</v>
          </cell>
        </row>
        <row r="108">
          <cell r="A108" t="str">
            <v>5x4</v>
          </cell>
          <cell r="D108">
            <v>4</v>
          </cell>
          <cell r="E108">
            <v>4</v>
          </cell>
          <cell r="F108">
            <v>4</v>
          </cell>
          <cell r="G108">
            <v>4</v>
          </cell>
          <cell r="H108">
            <v>4</v>
          </cell>
          <cell r="M108">
            <v>4</v>
          </cell>
          <cell r="N108">
            <v>4</v>
          </cell>
          <cell r="O108">
            <v>4</v>
          </cell>
          <cell r="P108">
            <v>4</v>
          </cell>
          <cell r="Q108">
            <v>4</v>
          </cell>
          <cell r="V108">
            <v>4</v>
          </cell>
          <cell r="W108">
            <v>4</v>
          </cell>
          <cell r="X108">
            <v>4</v>
          </cell>
          <cell r="Y108">
            <v>4</v>
          </cell>
          <cell r="Z108">
            <v>4</v>
          </cell>
          <cell r="AE108">
            <v>4</v>
          </cell>
          <cell r="AF108">
            <v>4</v>
          </cell>
          <cell r="AG108">
            <v>4</v>
          </cell>
          <cell r="AH108">
            <v>4</v>
          </cell>
          <cell r="AI108">
            <v>4</v>
          </cell>
        </row>
        <row r="109">
          <cell r="A109" t="str">
            <v>6x4</v>
          </cell>
          <cell r="D109">
            <v>4</v>
          </cell>
          <cell r="E109">
            <v>4</v>
          </cell>
          <cell r="F109">
            <v>4</v>
          </cell>
          <cell r="G109">
            <v>4</v>
          </cell>
          <cell r="H109">
            <v>4</v>
          </cell>
          <cell r="I109">
            <v>4</v>
          </cell>
          <cell r="M109">
            <v>4</v>
          </cell>
          <cell r="N109">
            <v>4</v>
          </cell>
          <cell r="O109">
            <v>4</v>
          </cell>
          <cell r="P109">
            <v>4</v>
          </cell>
          <cell r="Q109">
            <v>4</v>
          </cell>
          <cell r="R109">
            <v>4</v>
          </cell>
          <cell r="V109">
            <v>4</v>
          </cell>
          <cell r="W109">
            <v>4</v>
          </cell>
          <cell r="X109">
            <v>4</v>
          </cell>
          <cell r="Y109">
            <v>4</v>
          </cell>
          <cell r="Z109">
            <v>4</v>
          </cell>
          <cell r="AA109">
            <v>4</v>
          </cell>
          <cell r="AE109">
            <v>4</v>
          </cell>
          <cell r="AF109">
            <v>4</v>
          </cell>
          <cell r="AG109">
            <v>4</v>
          </cell>
          <cell r="AH109">
            <v>4</v>
          </cell>
          <cell r="AI109">
            <v>4</v>
          </cell>
          <cell r="AJ109">
            <v>4</v>
          </cell>
        </row>
        <row r="110">
          <cell r="A110" t="str">
            <v>2x5</v>
          </cell>
          <cell r="D110">
            <v>5</v>
          </cell>
          <cell r="E110">
            <v>5</v>
          </cell>
          <cell r="M110">
            <v>5</v>
          </cell>
          <cell r="N110">
            <v>5</v>
          </cell>
          <cell r="V110">
            <v>5</v>
          </cell>
          <cell r="W110">
            <v>5</v>
          </cell>
          <cell r="AE110">
            <v>5</v>
          </cell>
          <cell r="AF110">
            <v>5</v>
          </cell>
        </row>
        <row r="111">
          <cell r="A111" t="str">
            <v>3x5</v>
          </cell>
          <cell r="D111">
            <v>5</v>
          </cell>
          <cell r="E111">
            <v>5</v>
          </cell>
          <cell r="F111">
            <v>5</v>
          </cell>
          <cell r="M111">
            <v>5</v>
          </cell>
          <cell r="N111">
            <v>5</v>
          </cell>
          <cell r="O111">
            <v>5</v>
          </cell>
          <cell r="V111">
            <v>5</v>
          </cell>
          <cell r="W111">
            <v>5</v>
          </cell>
          <cell r="X111">
            <v>5</v>
          </cell>
          <cell r="AE111">
            <v>5</v>
          </cell>
          <cell r="AF111">
            <v>5</v>
          </cell>
          <cell r="AG111">
            <v>5</v>
          </cell>
        </row>
        <row r="112">
          <cell r="A112" t="str">
            <v>3x5-1</v>
          </cell>
          <cell r="D112">
            <v>5</v>
          </cell>
          <cell r="E112">
            <v>5</v>
          </cell>
          <cell r="F112">
            <v>5</v>
          </cell>
          <cell r="M112">
            <v>4</v>
          </cell>
          <cell r="N112">
            <v>4</v>
          </cell>
          <cell r="O112">
            <v>4</v>
          </cell>
          <cell r="V112">
            <v>3</v>
          </cell>
          <cell r="W112">
            <v>3</v>
          </cell>
          <cell r="X112">
            <v>3</v>
          </cell>
          <cell r="AE112">
            <v>2</v>
          </cell>
          <cell r="AF112">
            <v>2</v>
          </cell>
          <cell r="AG112">
            <v>2</v>
          </cell>
        </row>
        <row r="113">
          <cell r="A113" t="str">
            <v>3x5+1</v>
          </cell>
          <cell r="D113">
            <v>5</v>
          </cell>
          <cell r="E113">
            <v>5</v>
          </cell>
          <cell r="F113">
            <v>5</v>
          </cell>
          <cell r="M113">
            <v>6</v>
          </cell>
          <cell r="N113">
            <v>6</v>
          </cell>
          <cell r="O113">
            <v>6</v>
          </cell>
          <cell r="V113">
            <v>7</v>
          </cell>
          <cell r="W113">
            <v>7</v>
          </cell>
          <cell r="X113">
            <v>7</v>
          </cell>
          <cell r="AE113">
            <v>8</v>
          </cell>
          <cell r="AF113">
            <v>8</v>
          </cell>
          <cell r="AG113">
            <v>8</v>
          </cell>
        </row>
        <row r="114">
          <cell r="A114" t="str">
            <v>3x5&gt;</v>
          </cell>
          <cell r="D114">
            <v>5</v>
          </cell>
          <cell r="E114">
            <v>4</v>
          </cell>
          <cell r="F114">
            <v>3</v>
          </cell>
          <cell r="M114">
            <v>5</v>
          </cell>
          <cell r="N114">
            <v>4</v>
          </cell>
          <cell r="O114">
            <v>3</v>
          </cell>
          <cell r="V114">
            <v>5</v>
          </cell>
          <cell r="W114">
            <v>4</v>
          </cell>
          <cell r="X114">
            <v>3</v>
          </cell>
          <cell r="AE114">
            <v>5</v>
          </cell>
          <cell r="AF114">
            <v>4</v>
          </cell>
          <cell r="AG114">
            <v>3</v>
          </cell>
        </row>
        <row r="115">
          <cell r="A115" t="str">
            <v>3x5&gt;+1</v>
          </cell>
          <cell r="D115">
            <v>5</v>
          </cell>
          <cell r="E115">
            <v>4</v>
          </cell>
          <cell r="F115">
            <v>3</v>
          </cell>
          <cell r="M115">
            <v>6</v>
          </cell>
          <cell r="N115">
            <v>5</v>
          </cell>
          <cell r="O115">
            <v>4</v>
          </cell>
          <cell r="V115">
            <v>7</v>
          </cell>
          <cell r="W115">
            <v>6</v>
          </cell>
          <cell r="X115">
            <v>5</v>
          </cell>
          <cell r="AE115">
            <v>8</v>
          </cell>
          <cell r="AF115">
            <v>7</v>
          </cell>
          <cell r="AG115">
            <v>6</v>
          </cell>
        </row>
        <row r="116">
          <cell r="A116" t="str">
            <v>3x5&gt;-1</v>
          </cell>
          <cell r="D116">
            <v>5</v>
          </cell>
          <cell r="E116">
            <v>4</v>
          </cell>
          <cell r="F116">
            <v>3</v>
          </cell>
          <cell r="M116">
            <v>4</v>
          </cell>
          <cell r="N116">
            <v>3</v>
          </cell>
          <cell r="O116">
            <v>2</v>
          </cell>
          <cell r="V116">
            <v>3</v>
          </cell>
          <cell r="W116">
            <v>2</v>
          </cell>
          <cell r="X116">
            <v>1</v>
          </cell>
          <cell r="AE116">
            <v>3</v>
          </cell>
          <cell r="AF116">
            <v>2</v>
          </cell>
          <cell r="AG116">
            <v>1</v>
          </cell>
        </row>
        <row r="117">
          <cell r="A117" t="str">
            <v>4x5</v>
          </cell>
          <cell r="D117">
            <v>5</v>
          </cell>
          <cell r="E117">
            <v>5</v>
          </cell>
          <cell r="F117">
            <v>5</v>
          </cell>
          <cell r="G117">
            <v>5</v>
          </cell>
          <cell r="M117">
            <v>5</v>
          </cell>
          <cell r="N117">
            <v>5</v>
          </cell>
          <cell r="O117">
            <v>5</v>
          </cell>
          <cell r="P117">
            <v>5</v>
          </cell>
          <cell r="V117">
            <v>5</v>
          </cell>
          <cell r="W117">
            <v>5</v>
          </cell>
          <cell r="X117">
            <v>5</v>
          </cell>
          <cell r="Y117">
            <v>5</v>
          </cell>
          <cell r="AE117">
            <v>5</v>
          </cell>
          <cell r="AF117">
            <v>5</v>
          </cell>
          <cell r="AG117">
            <v>5</v>
          </cell>
          <cell r="AH117">
            <v>5</v>
          </cell>
        </row>
        <row r="118">
          <cell r="A118" t="str">
            <v>5x5</v>
          </cell>
          <cell r="D118">
            <v>5</v>
          </cell>
          <cell r="E118">
            <v>5</v>
          </cell>
          <cell r="F118">
            <v>5</v>
          </cell>
          <cell r="G118">
            <v>5</v>
          </cell>
          <cell r="H118">
            <v>5</v>
          </cell>
          <cell r="M118">
            <v>5</v>
          </cell>
          <cell r="N118">
            <v>5</v>
          </cell>
          <cell r="O118">
            <v>5</v>
          </cell>
          <cell r="P118">
            <v>5</v>
          </cell>
          <cell r="Q118">
            <v>5</v>
          </cell>
          <cell r="V118">
            <v>5</v>
          </cell>
          <cell r="W118">
            <v>5</v>
          </cell>
          <cell r="X118">
            <v>5</v>
          </cell>
          <cell r="Y118">
            <v>5</v>
          </cell>
          <cell r="Z118">
            <v>5</v>
          </cell>
          <cell r="AE118">
            <v>5</v>
          </cell>
          <cell r="AF118">
            <v>5</v>
          </cell>
          <cell r="AG118">
            <v>5</v>
          </cell>
          <cell r="AH118">
            <v>5</v>
          </cell>
          <cell r="AI118">
            <v>5</v>
          </cell>
        </row>
        <row r="119">
          <cell r="A119" t="str">
            <v>6x5</v>
          </cell>
          <cell r="D119">
            <v>5</v>
          </cell>
          <cell r="E119">
            <v>5</v>
          </cell>
          <cell r="F119">
            <v>5</v>
          </cell>
          <cell r="G119">
            <v>5</v>
          </cell>
          <cell r="H119">
            <v>5</v>
          </cell>
          <cell r="I119">
            <v>5</v>
          </cell>
          <cell r="M119">
            <v>5</v>
          </cell>
          <cell r="N119">
            <v>5</v>
          </cell>
          <cell r="O119">
            <v>5</v>
          </cell>
          <cell r="P119">
            <v>5</v>
          </cell>
          <cell r="Q119">
            <v>5</v>
          </cell>
          <cell r="R119">
            <v>5</v>
          </cell>
          <cell r="V119">
            <v>5</v>
          </cell>
          <cell r="W119">
            <v>5</v>
          </cell>
          <cell r="X119">
            <v>5</v>
          </cell>
          <cell r="Y119">
            <v>5</v>
          </cell>
          <cell r="Z119">
            <v>5</v>
          </cell>
          <cell r="AA119">
            <v>5</v>
          </cell>
          <cell r="AE119">
            <v>5</v>
          </cell>
          <cell r="AF119">
            <v>5</v>
          </cell>
          <cell r="AG119">
            <v>5</v>
          </cell>
          <cell r="AH119">
            <v>5</v>
          </cell>
          <cell r="AI119">
            <v>5</v>
          </cell>
          <cell r="AJ119">
            <v>5</v>
          </cell>
        </row>
        <row r="120">
          <cell r="A120" t="str">
            <v>2x6</v>
          </cell>
          <cell r="D120">
            <v>6</v>
          </cell>
          <cell r="E120">
            <v>6</v>
          </cell>
          <cell r="M120">
            <v>6</v>
          </cell>
          <cell r="N120">
            <v>6</v>
          </cell>
          <cell r="V120">
            <v>6</v>
          </cell>
          <cell r="W120">
            <v>6</v>
          </cell>
          <cell r="AE120">
            <v>6</v>
          </cell>
          <cell r="AF120">
            <v>6</v>
          </cell>
        </row>
        <row r="121">
          <cell r="A121" t="str">
            <v>3x6</v>
          </cell>
          <cell r="D121">
            <v>6</v>
          </cell>
          <cell r="E121">
            <v>6</v>
          </cell>
          <cell r="F121">
            <v>6</v>
          </cell>
          <cell r="M121">
            <v>6</v>
          </cell>
          <cell r="N121">
            <v>6</v>
          </cell>
          <cell r="O121">
            <v>6</v>
          </cell>
          <cell r="V121">
            <v>6</v>
          </cell>
          <cell r="W121">
            <v>6</v>
          </cell>
          <cell r="X121">
            <v>6</v>
          </cell>
          <cell r="AE121">
            <v>6</v>
          </cell>
          <cell r="AF121">
            <v>6</v>
          </cell>
          <cell r="AG121">
            <v>6</v>
          </cell>
        </row>
        <row r="122">
          <cell r="A122" t="str">
            <v>3x6-1</v>
          </cell>
          <cell r="D122">
            <v>6</v>
          </cell>
          <cell r="E122">
            <v>6</v>
          </cell>
          <cell r="F122">
            <v>6</v>
          </cell>
          <cell r="M122">
            <v>5</v>
          </cell>
          <cell r="N122">
            <v>5</v>
          </cell>
          <cell r="O122">
            <v>5</v>
          </cell>
          <cell r="V122">
            <v>4</v>
          </cell>
          <cell r="W122">
            <v>4</v>
          </cell>
          <cell r="X122">
            <v>4</v>
          </cell>
          <cell r="AE122">
            <v>3</v>
          </cell>
          <cell r="AF122">
            <v>3</v>
          </cell>
          <cell r="AG122">
            <v>3</v>
          </cell>
        </row>
        <row r="123">
          <cell r="A123" t="str">
            <v>3x6+1</v>
          </cell>
          <cell r="D123">
            <v>6</v>
          </cell>
          <cell r="E123">
            <v>6</v>
          </cell>
          <cell r="F123">
            <v>6</v>
          </cell>
          <cell r="M123">
            <v>7</v>
          </cell>
          <cell r="N123">
            <v>7</v>
          </cell>
          <cell r="O123">
            <v>7</v>
          </cell>
          <cell r="V123">
            <v>8</v>
          </cell>
          <cell r="W123">
            <v>8</v>
          </cell>
          <cell r="X123">
            <v>8</v>
          </cell>
          <cell r="AE123">
            <v>9</v>
          </cell>
          <cell r="AF123">
            <v>9</v>
          </cell>
          <cell r="AG123">
            <v>9</v>
          </cell>
        </row>
        <row r="124">
          <cell r="A124" t="str">
            <v>3x6&gt;</v>
          </cell>
          <cell r="D124">
            <v>6</v>
          </cell>
          <cell r="E124">
            <v>5</v>
          </cell>
          <cell r="F124">
            <v>4</v>
          </cell>
          <cell r="M124">
            <v>6</v>
          </cell>
          <cell r="N124">
            <v>5</v>
          </cell>
          <cell r="O124">
            <v>4</v>
          </cell>
          <cell r="V124">
            <v>6</v>
          </cell>
          <cell r="W124">
            <v>5</v>
          </cell>
          <cell r="X124">
            <v>4</v>
          </cell>
          <cell r="AE124">
            <v>6</v>
          </cell>
          <cell r="AF124">
            <v>5</v>
          </cell>
          <cell r="AG124">
            <v>4</v>
          </cell>
        </row>
        <row r="125">
          <cell r="A125" t="str">
            <v>3x6&gt;+1</v>
          </cell>
          <cell r="D125">
            <v>6</v>
          </cell>
          <cell r="E125">
            <v>5</v>
          </cell>
          <cell r="F125">
            <v>4</v>
          </cell>
          <cell r="M125">
            <v>7</v>
          </cell>
          <cell r="N125">
            <v>6</v>
          </cell>
          <cell r="O125">
            <v>5</v>
          </cell>
          <cell r="V125">
            <v>8</v>
          </cell>
          <cell r="W125">
            <v>7</v>
          </cell>
          <cell r="X125">
            <v>6</v>
          </cell>
          <cell r="AE125">
            <v>9</v>
          </cell>
          <cell r="AF125">
            <v>8</v>
          </cell>
          <cell r="AG125">
            <v>7</v>
          </cell>
        </row>
        <row r="126">
          <cell r="A126" t="str">
            <v>3x6&gt;-1</v>
          </cell>
          <cell r="D126">
            <v>6</v>
          </cell>
          <cell r="E126">
            <v>5</v>
          </cell>
          <cell r="F126">
            <v>4</v>
          </cell>
          <cell r="M126">
            <v>5</v>
          </cell>
          <cell r="N126">
            <v>4</v>
          </cell>
          <cell r="O126">
            <v>3</v>
          </cell>
          <cell r="V126">
            <v>4</v>
          </cell>
          <cell r="W126">
            <v>3</v>
          </cell>
          <cell r="X126">
            <v>2</v>
          </cell>
          <cell r="AE126">
            <v>3</v>
          </cell>
          <cell r="AF126">
            <v>2</v>
          </cell>
          <cell r="AG126">
            <v>1</v>
          </cell>
        </row>
        <row r="127">
          <cell r="A127" t="str">
            <v>4x6</v>
          </cell>
          <cell r="D127">
            <v>6</v>
          </cell>
          <cell r="E127">
            <v>6</v>
          </cell>
          <cell r="F127">
            <v>6</v>
          </cell>
          <cell r="G127">
            <v>6</v>
          </cell>
          <cell r="M127">
            <v>6</v>
          </cell>
          <cell r="N127">
            <v>6</v>
          </cell>
          <cell r="O127">
            <v>6</v>
          </cell>
          <cell r="P127">
            <v>6</v>
          </cell>
          <cell r="V127">
            <v>6</v>
          </cell>
          <cell r="W127">
            <v>6</v>
          </cell>
          <cell r="X127">
            <v>6</v>
          </cell>
          <cell r="Y127">
            <v>6</v>
          </cell>
          <cell r="AE127">
            <v>6</v>
          </cell>
          <cell r="AF127">
            <v>6</v>
          </cell>
          <cell r="AG127">
            <v>6</v>
          </cell>
          <cell r="AH127">
            <v>6</v>
          </cell>
        </row>
        <row r="128">
          <cell r="A128" t="str">
            <v>5x6</v>
          </cell>
          <cell r="D128">
            <v>6</v>
          </cell>
          <cell r="E128">
            <v>6</v>
          </cell>
          <cell r="F128">
            <v>6</v>
          </cell>
          <cell r="G128">
            <v>6</v>
          </cell>
          <cell r="H128">
            <v>6</v>
          </cell>
          <cell r="M128">
            <v>6</v>
          </cell>
          <cell r="N128">
            <v>6</v>
          </cell>
          <cell r="O128">
            <v>6</v>
          </cell>
          <cell r="P128">
            <v>6</v>
          </cell>
          <cell r="Q128">
            <v>6</v>
          </cell>
          <cell r="V128">
            <v>6</v>
          </cell>
          <cell r="W128">
            <v>6</v>
          </cell>
          <cell r="X128">
            <v>6</v>
          </cell>
          <cell r="Y128">
            <v>6</v>
          </cell>
          <cell r="Z128">
            <v>6</v>
          </cell>
          <cell r="AE128">
            <v>6</v>
          </cell>
          <cell r="AF128">
            <v>6</v>
          </cell>
          <cell r="AG128">
            <v>6</v>
          </cell>
          <cell r="AH128">
            <v>6</v>
          </cell>
          <cell r="AI128">
            <v>6</v>
          </cell>
        </row>
        <row r="129">
          <cell r="A129" t="str">
            <v>6x6</v>
          </cell>
          <cell r="D129">
            <v>6</v>
          </cell>
          <cell r="E129">
            <v>6</v>
          </cell>
          <cell r="F129">
            <v>6</v>
          </cell>
          <cell r="G129">
            <v>6</v>
          </cell>
          <cell r="H129">
            <v>6</v>
          </cell>
          <cell r="I129">
            <v>6</v>
          </cell>
          <cell r="M129">
            <v>6</v>
          </cell>
          <cell r="N129">
            <v>6</v>
          </cell>
          <cell r="O129">
            <v>6</v>
          </cell>
          <cell r="P129">
            <v>6</v>
          </cell>
          <cell r="Q129">
            <v>6</v>
          </cell>
          <cell r="R129">
            <v>6</v>
          </cell>
          <cell r="V129">
            <v>6</v>
          </cell>
          <cell r="W129">
            <v>6</v>
          </cell>
          <cell r="X129">
            <v>6</v>
          </cell>
          <cell r="Y129">
            <v>6</v>
          </cell>
          <cell r="Z129">
            <v>6</v>
          </cell>
          <cell r="AA129">
            <v>6</v>
          </cell>
          <cell r="AE129">
            <v>6</v>
          </cell>
          <cell r="AF129">
            <v>6</v>
          </cell>
          <cell r="AG129">
            <v>6</v>
          </cell>
          <cell r="AH129">
            <v>6</v>
          </cell>
          <cell r="AI129">
            <v>6</v>
          </cell>
          <cell r="AJ129">
            <v>6</v>
          </cell>
        </row>
        <row r="130">
          <cell r="A130" t="str">
            <v>2x7</v>
          </cell>
          <cell r="D130">
            <v>7</v>
          </cell>
          <cell r="E130">
            <v>7</v>
          </cell>
          <cell r="M130">
            <v>7</v>
          </cell>
          <cell r="N130">
            <v>7</v>
          </cell>
          <cell r="V130">
            <v>7</v>
          </cell>
          <cell r="W130">
            <v>7</v>
          </cell>
          <cell r="AE130">
            <v>7</v>
          </cell>
          <cell r="AF130">
            <v>7</v>
          </cell>
        </row>
        <row r="131">
          <cell r="A131" t="str">
            <v>3x7</v>
          </cell>
          <cell r="D131">
            <v>7</v>
          </cell>
          <cell r="E131">
            <v>7</v>
          </cell>
          <cell r="F131">
            <v>7</v>
          </cell>
          <cell r="M131">
            <v>7</v>
          </cell>
          <cell r="N131">
            <v>7</v>
          </cell>
          <cell r="O131">
            <v>7</v>
          </cell>
          <cell r="V131">
            <v>7</v>
          </cell>
          <cell r="W131">
            <v>7</v>
          </cell>
          <cell r="X131">
            <v>7</v>
          </cell>
          <cell r="AE131">
            <v>7</v>
          </cell>
          <cell r="AF131">
            <v>7</v>
          </cell>
          <cell r="AG131">
            <v>7</v>
          </cell>
        </row>
        <row r="132">
          <cell r="A132" t="str">
            <v>3x7-1</v>
          </cell>
          <cell r="D132">
            <v>7</v>
          </cell>
          <cell r="E132">
            <v>7</v>
          </cell>
          <cell r="F132">
            <v>7</v>
          </cell>
          <cell r="M132">
            <v>6</v>
          </cell>
          <cell r="N132">
            <v>6</v>
          </cell>
          <cell r="O132">
            <v>6</v>
          </cell>
          <cell r="V132">
            <v>5</v>
          </cell>
          <cell r="W132">
            <v>5</v>
          </cell>
          <cell r="X132">
            <v>5</v>
          </cell>
          <cell r="AE132">
            <v>4</v>
          </cell>
          <cell r="AF132">
            <v>4</v>
          </cell>
          <cell r="AG132">
            <v>4</v>
          </cell>
        </row>
        <row r="133">
          <cell r="A133" t="str">
            <v>3x7+1</v>
          </cell>
          <cell r="D133">
            <v>7</v>
          </cell>
          <cell r="E133">
            <v>7</v>
          </cell>
          <cell r="F133">
            <v>7</v>
          </cell>
          <cell r="M133">
            <v>8</v>
          </cell>
          <cell r="N133">
            <v>8</v>
          </cell>
          <cell r="O133">
            <v>8</v>
          </cell>
          <cell r="V133">
            <v>9</v>
          </cell>
          <cell r="W133">
            <v>9</v>
          </cell>
          <cell r="X133">
            <v>9</v>
          </cell>
          <cell r="AE133">
            <v>10</v>
          </cell>
          <cell r="AF133">
            <v>10</v>
          </cell>
          <cell r="AG133">
            <v>10</v>
          </cell>
        </row>
        <row r="134">
          <cell r="A134" t="str">
            <v>3x7&gt;</v>
          </cell>
          <cell r="D134">
            <v>7</v>
          </cell>
          <cell r="E134">
            <v>6</v>
          </cell>
          <cell r="F134">
            <v>5</v>
          </cell>
          <cell r="M134">
            <v>7</v>
          </cell>
          <cell r="N134">
            <v>6</v>
          </cell>
          <cell r="O134">
            <v>5</v>
          </cell>
          <cell r="V134">
            <v>7</v>
          </cell>
          <cell r="W134">
            <v>6</v>
          </cell>
          <cell r="X134">
            <v>5</v>
          </cell>
          <cell r="AE134">
            <v>7</v>
          </cell>
          <cell r="AF134">
            <v>6</v>
          </cell>
          <cell r="AG134">
            <v>5</v>
          </cell>
        </row>
        <row r="135">
          <cell r="A135" t="str">
            <v>3x7&gt;+1</v>
          </cell>
          <cell r="D135">
            <v>7</v>
          </cell>
          <cell r="E135">
            <v>6</v>
          </cell>
          <cell r="F135">
            <v>5</v>
          </cell>
          <cell r="M135">
            <v>8</v>
          </cell>
          <cell r="N135">
            <v>7</v>
          </cell>
          <cell r="O135">
            <v>6</v>
          </cell>
          <cell r="V135">
            <v>9</v>
          </cell>
          <cell r="W135">
            <v>8</v>
          </cell>
          <cell r="X135">
            <v>7</v>
          </cell>
          <cell r="AE135">
            <v>10</v>
          </cell>
          <cell r="AF135">
            <v>9</v>
          </cell>
          <cell r="AG135">
            <v>8</v>
          </cell>
        </row>
        <row r="136">
          <cell r="A136" t="str">
            <v>3x7&gt;-1</v>
          </cell>
          <cell r="D136">
            <v>7</v>
          </cell>
          <cell r="E136">
            <v>6</v>
          </cell>
          <cell r="F136">
            <v>5</v>
          </cell>
          <cell r="M136">
            <v>6</v>
          </cell>
          <cell r="N136">
            <v>5</v>
          </cell>
          <cell r="O136">
            <v>4</v>
          </cell>
          <cell r="V136">
            <v>5</v>
          </cell>
          <cell r="W136">
            <v>4</v>
          </cell>
          <cell r="X136">
            <v>3</v>
          </cell>
          <cell r="AE136">
            <v>4</v>
          </cell>
          <cell r="AF136">
            <v>3</v>
          </cell>
          <cell r="AG136">
            <v>2</v>
          </cell>
        </row>
        <row r="137">
          <cell r="A137" t="str">
            <v>4x7</v>
          </cell>
          <cell r="D137">
            <v>7</v>
          </cell>
          <cell r="E137">
            <v>7</v>
          </cell>
          <cell r="F137">
            <v>7</v>
          </cell>
          <cell r="G137">
            <v>7</v>
          </cell>
          <cell r="M137">
            <v>7</v>
          </cell>
          <cell r="N137">
            <v>7</v>
          </cell>
          <cell r="O137">
            <v>7</v>
          </cell>
          <cell r="P137">
            <v>7</v>
          </cell>
          <cell r="V137">
            <v>7</v>
          </cell>
          <cell r="W137">
            <v>7</v>
          </cell>
          <cell r="X137">
            <v>7</v>
          </cell>
          <cell r="Y137">
            <v>7</v>
          </cell>
          <cell r="AE137">
            <v>7</v>
          </cell>
          <cell r="AF137">
            <v>7</v>
          </cell>
          <cell r="AG137">
            <v>7</v>
          </cell>
          <cell r="AH137">
            <v>7</v>
          </cell>
        </row>
        <row r="138">
          <cell r="A138" t="str">
            <v>5x7</v>
          </cell>
          <cell r="D138">
            <v>7</v>
          </cell>
          <cell r="E138">
            <v>7</v>
          </cell>
          <cell r="F138">
            <v>7</v>
          </cell>
          <cell r="G138">
            <v>7</v>
          </cell>
          <cell r="H138">
            <v>7</v>
          </cell>
          <cell r="M138">
            <v>7</v>
          </cell>
          <cell r="N138">
            <v>7</v>
          </cell>
          <cell r="O138">
            <v>7</v>
          </cell>
          <cell r="P138">
            <v>7</v>
          </cell>
          <cell r="Q138">
            <v>7</v>
          </cell>
          <cell r="V138">
            <v>7</v>
          </cell>
          <cell r="W138">
            <v>7</v>
          </cell>
          <cell r="X138">
            <v>7</v>
          </cell>
          <cell r="Y138">
            <v>7</v>
          </cell>
          <cell r="Z138">
            <v>7</v>
          </cell>
          <cell r="AE138">
            <v>7</v>
          </cell>
          <cell r="AF138">
            <v>7</v>
          </cell>
          <cell r="AG138">
            <v>7</v>
          </cell>
          <cell r="AH138">
            <v>7</v>
          </cell>
          <cell r="AI138">
            <v>7</v>
          </cell>
        </row>
        <row r="139">
          <cell r="A139" t="str">
            <v>6x7</v>
          </cell>
          <cell r="D139">
            <v>7</v>
          </cell>
          <cell r="E139">
            <v>7</v>
          </cell>
          <cell r="F139">
            <v>7</v>
          </cell>
          <cell r="G139">
            <v>7</v>
          </cell>
          <cell r="H139">
            <v>7</v>
          </cell>
          <cell r="I139">
            <v>7</v>
          </cell>
          <cell r="M139">
            <v>7</v>
          </cell>
          <cell r="N139">
            <v>7</v>
          </cell>
          <cell r="O139">
            <v>7</v>
          </cell>
          <cell r="P139">
            <v>7</v>
          </cell>
          <cell r="Q139">
            <v>7</v>
          </cell>
          <cell r="R139">
            <v>7</v>
          </cell>
          <cell r="V139">
            <v>7</v>
          </cell>
          <cell r="W139">
            <v>7</v>
          </cell>
          <cell r="X139">
            <v>7</v>
          </cell>
          <cell r="Y139">
            <v>7</v>
          </cell>
          <cell r="Z139">
            <v>7</v>
          </cell>
          <cell r="AA139">
            <v>7</v>
          </cell>
          <cell r="AE139">
            <v>7</v>
          </cell>
          <cell r="AF139">
            <v>7</v>
          </cell>
          <cell r="AG139">
            <v>7</v>
          </cell>
          <cell r="AH139">
            <v>7</v>
          </cell>
          <cell r="AI139">
            <v>7</v>
          </cell>
          <cell r="AJ139">
            <v>7</v>
          </cell>
        </row>
        <row r="140">
          <cell r="A140" t="str">
            <v>2x8</v>
          </cell>
          <cell r="D140">
            <v>8</v>
          </cell>
          <cell r="E140">
            <v>8</v>
          </cell>
          <cell r="M140">
            <v>8</v>
          </cell>
          <cell r="N140">
            <v>8</v>
          </cell>
          <cell r="V140">
            <v>8</v>
          </cell>
          <cell r="W140">
            <v>8</v>
          </cell>
          <cell r="AE140">
            <v>8</v>
          </cell>
          <cell r="AF140">
            <v>8</v>
          </cell>
        </row>
        <row r="141">
          <cell r="A141" t="str">
            <v>3x8</v>
          </cell>
          <cell r="D141">
            <v>8</v>
          </cell>
          <cell r="E141">
            <v>8</v>
          </cell>
          <cell r="F141">
            <v>8</v>
          </cell>
          <cell r="M141">
            <v>8</v>
          </cell>
          <cell r="N141">
            <v>8</v>
          </cell>
          <cell r="O141">
            <v>8</v>
          </cell>
          <cell r="V141">
            <v>8</v>
          </cell>
          <cell r="W141">
            <v>8</v>
          </cell>
          <cell r="X141">
            <v>8</v>
          </cell>
          <cell r="AE141">
            <v>8</v>
          </cell>
          <cell r="AF141">
            <v>8</v>
          </cell>
          <cell r="AG141">
            <v>8</v>
          </cell>
        </row>
        <row r="142">
          <cell r="A142" t="str">
            <v>3x8-1</v>
          </cell>
          <cell r="D142">
            <v>8</v>
          </cell>
          <cell r="E142">
            <v>8</v>
          </cell>
          <cell r="F142">
            <v>8</v>
          </cell>
          <cell r="M142">
            <v>7</v>
          </cell>
          <cell r="N142">
            <v>7</v>
          </cell>
          <cell r="O142">
            <v>7</v>
          </cell>
          <cell r="V142">
            <v>6</v>
          </cell>
          <cell r="W142">
            <v>6</v>
          </cell>
          <cell r="X142">
            <v>6</v>
          </cell>
          <cell r="AE142">
            <v>5</v>
          </cell>
          <cell r="AF142">
            <v>5</v>
          </cell>
          <cell r="AG142">
            <v>5</v>
          </cell>
        </row>
        <row r="143">
          <cell r="A143" t="str">
            <v>3x8-.5</v>
          </cell>
          <cell r="D143">
            <v>8</v>
          </cell>
          <cell r="E143">
            <v>8</v>
          </cell>
          <cell r="F143">
            <v>8</v>
          </cell>
          <cell r="M143">
            <v>8</v>
          </cell>
          <cell r="N143">
            <v>8</v>
          </cell>
          <cell r="O143">
            <v>8</v>
          </cell>
          <cell r="V143">
            <v>7</v>
          </cell>
          <cell r="W143">
            <v>7</v>
          </cell>
          <cell r="X143">
            <v>7</v>
          </cell>
          <cell r="AE143">
            <v>7</v>
          </cell>
          <cell r="AF143">
            <v>7</v>
          </cell>
          <cell r="AG143">
            <v>7</v>
          </cell>
        </row>
        <row r="144">
          <cell r="A144" t="str">
            <v>3x8+1</v>
          </cell>
          <cell r="D144">
            <v>8</v>
          </cell>
          <cell r="E144">
            <v>8</v>
          </cell>
          <cell r="F144">
            <v>8</v>
          </cell>
          <cell r="M144">
            <v>9</v>
          </cell>
          <cell r="N144">
            <v>9</v>
          </cell>
          <cell r="O144">
            <v>9</v>
          </cell>
          <cell r="V144">
            <v>10</v>
          </cell>
          <cell r="W144">
            <v>10</v>
          </cell>
          <cell r="X144">
            <v>10</v>
          </cell>
          <cell r="AE144">
            <v>11</v>
          </cell>
          <cell r="AF144">
            <v>11</v>
          </cell>
          <cell r="AG144">
            <v>11</v>
          </cell>
        </row>
        <row r="145">
          <cell r="A145" t="str">
            <v>3x8&gt;</v>
          </cell>
          <cell r="D145">
            <v>8</v>
          </cell>
          <cell r="E145">
            <v>7</v>
          </cell>
          <cell r="F145">
            <v>6</v>
          </cell>
          <cell r="M145">
            <v>8</v>
          </cell>
          <cell r="N145">
            <v>7</v>
          </cell>
          <cell r="O145">
            <v>6</v>
          </cell>
          <cell r="V145">
            <v>8</v>
          </cell>
          <cell r="W145">
            <v>7</v>
          </cell>
          <cell r="X145">
            <v>6</v>
          </cell>
          <cell r="AE145">
            <v>8</v>
          </cell>
          <cell r="AF145">
            <v>7</v>
          </cell>
          <cell r="AG145">
            <v>6</v>
          </cell>
        </row>
        <row r="146">
          <cell r="A146" t="str">
            <v>3x8&gt;+1</v>
          </cell>
          <cell r="D146">
            <v>8</v>
          </cell>
          <cell r="E146">
            <v>7</v>
          </cell>
          <cell r="F146">
            <v>6</v>
          </cell>
          <cell r="M146">
            <v>9</v>
          </cell>
          <cell r="N146">
            <v>8</v>
          </cell>
          <cell r="O146">
            <v>7</v>
          </cell>
          <cell r="V146">
            <v>10</v>
          </cell>
          <cell r="W146">
            <v>9</v>
          </cell>
          <cell r="X146">
            <v>8</v>
          </cell>
          <cell r="AE146">
            <v>11</v>
          </cell>
          <cell r="AF146">
            <v>10</v>
          </cell>
          <cell r="AG146">
            <v>9</v>
          </cell>
        </row>
        <row r="147">
          <cell r="A147" t="str">
            <v>3x8&gt;-1</v>
          </cell>
          <cell r="D147">
            <v>8</v>
          </cell>
          <cell r="E147">
            <v>7</v>
          </cell>
          <cell r="F147">
            <v>6</v>
          </cell>
          <cell r="M147">
            <v>7</v>
          </cell>
          <cell r="N147">
            <v>6</v>
          </cell>
          <cell r="O147">
            <v>5</v>
          </cell>
          <cell r="V147">
            <v>6</v>
          </cell>
          <cell r="W147">
            <v>5</v>
          </cell>
          <cell r="X147">
            <v>4</v>
          </cell>
          <cell r="AE147">
            <v>5</v>
          </cell>
          <cell r="AF147">
            <v>4</v>
          </cell>
          <cell r="AG147">
            <v>3</v>
          </cell>
        </row>
        <row r="148">
          <cell r="A148" t="str">
            <v>4x8</v>
          </cell>
          <cell r="D148">
            <v>8</v>
          </cell>
          <cell r="E148">
            <v>8</v>
          </cell>
          <cell r="F148">
            <v>8</v>
          </cell>
          <cell r="G148">
            <v>8</v>
          </cell>
          <cell r="M148">
            <v>8</v>
          </cell>
          <cell r="N148">
            <v>8</v>
          </cell>
          <cell r="O148">
            <v>8</v>
          </cell>
          <cell r="P148">
            <v>8</v>
          </cell>
          <cell r="V148">
            <v>8</v>
          </cell>
          <cell r="W148">
            <v>8</v>
          </cell>
          <cell r="X148">
            <v>8</v>
          </cell>
          <cell r="Y148">
            <v>8</v>
          </cell>
          <cell r="AE148">
            <v>8</v>
          </cell>
          <cell r="AF148">
            <v>8</v>
          </cell>
          <cell r="AG148">
            <v>8</v>
          </cell>
          <cell r="AH148">
            <v>8</v>
          </cell>
        </row>
        <row r="149">
          <cell r="A149" t="str">
            <v>5x8</v>
          </cell>
          <cell r="D149">
            <v>8</v>
          </cell>
          <cell r="E149">
            <v>8</v>
          </cell>
          <cell r="F149">
            <v>8</v>
          </cell>
          <cell r="G149">
            <v>8</v>
          </cell>
          <cell r="H149">
            <v>8</v>
          </cell>
          <cell r="M149">
            <v>8</v>
          </cell>
          <cell r="N149">
            <v>8</v>
          </cell>
          <cell r="O149">
            <v>8</v>
          </cell>
          <cell r="P149">
            <v>8</v>
          </cell>
          <cell r="Q149">
            <v>8</v>
          </cell>
          <cell r="V149">
            <v>8</v>
          </cell>
          <cell r="W149">
            <v>8</v>
          </cell>
          <cell r="X149">
            <v>8</v>
          </cell>
          <cell r="Y149">
            <v>8</v>
          </cell>
          <cell r="Z149">
            <v>8</v>
          </cell>
          <cell r="AE149">
            <v>8</v>
          </cell>
          <cell r="AF149">
            <v>8</v>
          </cell>
          <cell r="AG149">
            <v>8</v>
          </cell>
          <cell r="AH149">
            <v>8</v>
          </cell>
          <cell r="AI149">
            <v>8</v>
          </cell>
        </row>
        <row r="150">
          <cell r="A150" t="str">
            <v>6x8</v>
          </cell>
          <cell r="D150">
            <v>8</v>
          </cell>
          <cell r="E150">
            <v>8</v>
          </cell>
          <cell r="F150">
            <v>8</v>
          </cell>
          <cell r="G150">
            <v>8</v>
          </cell>
          <cell r="H150">
            <v>8</v>
          </cell>
          <cell r="I150">
            <v>8</v>
          </cell>
          <cell r="M150">
            <v>8</v>
          </cell>
          <cell r="N150">
            <v>8</v>
          </cell>
          <cell r="O150">
            <v>8</v>
          </cell>
          <cell r="P150">
            <v>8</v>
          </cell>
          <cell r="Q150">
            <v>8</v>
          </cell>
          <cell r="R150">
            <v>8</v>
          </cell>
          <cell r="V150">
            <v>8</v>
          </cell>
          <cell r="W150">
            <v>8</v>
          </cell>
          <cell r="X150">
            <v>8</v>
          </cell>
          <cell r="Y150">
            <v>8</v>
          </cell>
          <cell r="Z150">
            <v>8</v>
          </cell>
          <cell r="AA150">
            <v>8</v>
          </cell>
          <cell r="AE150">
            <v>8</v>
          </cell>
          <cell r="AF150">
            <v>8</v>
          </cell>
          <cell r="AG150">
            <v>8</v>
          </cell>
          <cell r="AH150">
            <v>8</v>
          </cell>
          <cell r="AI150">
            <v>8</v>
          </cell>
          <cell r="AJ150">
            <v>8</v>
          </cell>
        </row>
        <row r="151">
          <cell r="A151" t="str">
            <v>2x9</v>
          </cell>
          <cell r="D151">
            <v>9</v>
          </cell>
          <cell r="E151">
            <v>9</v>
          </cell>
          <cell r="M151">
            <v>9</v>
          </cell>
          <cell r="N151">
            <v>9</v>
          </cell>
          <cell r="V151">
            <v>9</v>
          </cell>
          <cell r="W151">
            <v>9</v>
          </cell>
          <cell r="AE151">
            <v>9</v>
          </cell>
          <cell r="AF151">
            <v>9</v>
          </cell>
        </row>
        <row r="152">
          <cell r="A152" t="str">
            <v>3x9</v>
          </cell>
          <cell r="D152">
            <v>9</v>
          </cell>
          <cell r="E152">
            <v>9</v>
          </cell>
          <cell r="F152">
            <v>9</v>
          </cell>
          <cell r="M152">
            <v>9</v>
          </cell>
          <cell r="N152">
            <v>9</v>
          </cell>
          <cell r="O152">
            <v>9</v>
          </cell>
          <cell r="V152">
            <v>9</v>
          </cell>
          <cell r="W152">
            <v>9</v>
          </cell>
          <cell r="X152">
            <v>9</v>
          </cell>
          <cell r="AE152">
            <v>9</v>
          </cell>
          <cell r="AF152">
            <v>9</v>
          </cell>
          <cell r="AG152">
            <v>9</v>
          </cell>
        </row>
        <row r="153">
          <cell r="A153" t="str">
            <v>3x9+1</v>
          </cell>
          <cell r="D153">
            <v>9</v>
          </cell>
          <cell r="E153">
            <v>9</v>
          </cell>
          <cell r="F153">
            <v>9</v>
          </cell>
          <cell r="M153">
            <v>10</v>
          </cell>
          <cell r="N153">
            <v>10</v>
          </cell>
          <cell r="O153">
            <v>10</v>
          </cell>
          <cell r="V153">
            <v>11</v>
          </cell>
          <cell r="W153">
            <v>11</v>
          </cell>
          <cell r="X153">
            <v>11</v>
          </cell>
          <cell r="AE153">
            <v>12</v>
          </cell>
          <cell r="AF153">
            <v>12</v>
          </cell>
          <cell r="AG153">
            <v>12</v>
          </cell>
        </row>
        <row r="154">
          <cell r="A154" t="str">
            <v>3x9-1</v>
          </cell>
          <cell r="D154">
            <v>9</v>
          </cell>
          <cell r="E154">
            <v>9</v>
          </cell>
          <cell r="F154">
            <v>9</v>
          </cell>
          <cell r="M154">
            <v>8</v>
          </cell>
          <cell r="N154">
            <v>8</v>
          </cell>
          <cell r="O154">
            <v>8</v>
          </cell>
          <cell r="V154">
            <v>7</v>
          </cell>
          <cell r="W154">
            <v>7</v>
          </cell>
          <cell r="X154">
            <v>7</v>
          </cell>
          <cell r="AE154">
            <v>6</v>
          </cell>
          <cell r="AF154">
            <v>6</v>
          </cell>
          <cell r="AG154">
            <v>6</v>
          </cell>
        </row>
        <row r="155">
          <cell r="A155" t="str">
            <v>3x9&gt;</v>
          </cell>
          <cell r="D155">
            <v>9</v>
          </cell>
          <cell r="E155">
            <v>8</v>
          </cell>
          <cell r="F155">
            <v>7</v>
          </cell>
          <cell r="M155">
            <v>9</v>
          </cell>
          <cell r="N155">
            <v>8</v>
          </cell>
          <cell r="O155">
            <v>7</v>
          </cell>
          <cell r="V155">
            <v>9</v>
          </cell>
          <cell r="W155">
            <v>8</v>
          </cell>
          <cell r="X155">
            <v>7</v>
          </cell>
          <cell r="AE155">
            <v>9</v>
          </cell>
          <cell r="AF155">
            <v>8</v>
          </cell>
          <cell r="AG155">
            <v>7</v>
          </cell>
        </row>
        <row r="156">
          <cell r="A156" t="str">
            <v>3x9&gt;+1</v>
          </cell>
          <cell r="D156">
            <v>9</v>
          </cell>
          <cell r="E156">
            <v>8</v>
          </cell>
          <cell r="F156">
            <v>7</v>
          </cell>
          <cell r="M156">
            <v>10</v>
          </cell>
          <cell r="N156">
            <v>9</v>
          </cell>
          <cell r="O156">
            <v>8</v>
          </cell>
          <cell r="V156">
            <v>11</v>
          </cell>
          <cell r="W156">
            <v>10</v>
          </cell>
          <cell r="X156">
            <v>9</v>
          </cell>
          <cell r="AE156">
            <v>12</v>
          </cell>
          <cell r="AF156">
            <v>11</v>
          </cell>
          <cell r="AG156">
            <v>10</v>
          </cell>
        </row>
        <row r="157">
          <cell r="A157" t="str">
            <v>3x9&gt;-1</v>
          </cell>
          <cell r="D157">
            <v>9</v>
          </cell>
          <cell r="E157">
            <v>8</v>
          </cell>
          <cell r="F157">
            <v>7</v>
          </cell>
          <cell r="M157">
            <v>8</v>
          </cell>
          <cell r="N157">
            <v>7</v>
          </cell>
          <cell r="O157">
            <v>6</v>
          </cell>
          <cell r="V157">
            <v>7</v>
          </cell>
          <cell r="W157">
            <v>6</v>
          </cell>
          <cell r="X157">
            <v>5</v>
          </cell>
          <cell r="AE157">
            <v>6</v>
          </cell>
          <cell r="AF157">
            <v>5</v>
          </cell>
          <cell r="AG157">
            <v>4</v>
          </cell>
        </row>
        <row r="158">
          <cell r="A158" t="str">
            <v>4x9</v>
          </cell>
          <cell r="D158">
            <v>9</v>
          </cell>
          <cell r="E158">
            <v>9</v>
          </cell>
          <cell r="F158">
            <v>9</v>
          </cell>
          <cell r="G158">
            <v>9</v>
          </cell>
          <cell r="M158">
            <v>9</v>
          </cell>
          <cell r="N158">
            <v>9</v>
          </cell>
          <cell r="O158">
            <v>9</v>
          </cell>
          <cell r="P158">
            <v>9</v>
          </cell>
          <cell r="V158">
            <v>9</v>
          </cell>
          <cell r="W158">
            <v>9</v>
          </cell>
          <cell r="X158">
            <v>9</v>
          </cell>
          <cell r="Y158">
            <v>9</v>
          </cell>
          <cell r="AE158">
            <v>9</v>
          </cell>
          <cell r="AF158">
            <v>9</v>
          </cell>
          <cell r="AG158">
            <v>9</v>
          </cell>
          <cell r="AH158">
            <v>9</v>
          </cell>
        </row>
        <row r="159">
          <cell r="A159" t="str">
            <v>5x9</v>
          </cell>
          <cell r="D159">
            <v>9</v>
          </cell>
          <cell r="E159">
            <v>9</v>
          </cell>
          <cell r="F159">
            <v>9</v>
          </cell>
          <cell r="G159">
            <v>9</v>
          </cell>
          <cell r="H159">
            <v>9</v>
          </cell>
          <cell r="M159">
            <v>9</v>
          </cell>
          <cell r="N159">
            <v>9</v>
          </cell>
          <cell r="O159">
            <v>9</v>
          </cell>
          <cell r="P159">
            <v>9</v>
          </cell>
          <cell r="Q159">
            <v>9</v>
          </cell>
          <cell r="V159">
            <v>9</v>
          </cell>
          <cell r="W159">
            <v>9</v>
          </cell>
          <cell r="X159">
            <v>9</v>
          </cell>
          <cell r="Y159">
            <v>9</v>
          </cell>
          <cell r="Z159">
            <v>9</v>
          </cell>
          <cell r="AE159">
            <v>9</v>
          </cell>
          <cell r="AF159">
            <v>9</v>
          </cell>
          <cell r="AG159">
            <v>9</v>
          </cell>
          <cell r="AH159">
            <v>9</v>
          </cell>
          <cell r="AI159">
            <v>9</v>
          </cell>
        </row>
        <row r="160">
          <cell r="A160" t="str">
            <v>6x9</v>
          </cell>
          <cell r="D160">
            <v>9</v>
          </cell>
          <cell r="E160">
            <v>9</v>
          </cell>
          <cell r="F160">
            <v>9</v>
          </cell>
          <cell r="G160">
            <v>9</v>
          </cell>
          <cell r="H160">
            <v>9</v>
          </cell>
          <cell r="I160">
            <v>9</v>
          </cell>
          <cell r="M160">
            <v>9</v>
          </cell>
          <cell r="N160">
            <v>9</v>
          </cell>
          <cell r="O160">
            <v>9</v>
          </cell>
          <cell r="P160">
            <v>9</v>
          </cell>
          <cell r="Q160">
            <v>9</v>
          </cell>
          <cell r="R160">
            <v>9</v>
          </cell>
          <cell r="V160">
            <v>9</v>
          </cell>
          <cell r="W160">
            <v>9</v>
          </cell>
          <cell r="X160">
            <v>9</v>
          </cell>
          <cell r="Y160">
            <v>9</v>
          </cell>
          <cell r="Z160">
            <v>9</v>
          </cell>
          <cell r="AA160">
            <v>9</v>
          </cell>
          <cell r="AE160">
            <v>9</v>
          </cell>
          <cell r="AF160">
            <v>9</v>
          </cell>
          <cell r="AG160">
            <v>9</v>
          </cell>
          <cell r="AH160">
            <v>9</v>
          </cell>
          <cell r="AI160">
            <v>9</v>
          </cell>
          <cell r="AJ160">
            <v>9</v>
          </cell>
        </row>
        <row r="161">
          <cell r="A161" t="str">
            <v>2x10</v>
          </cell>
          <cell r="D161">
            <v>10</v>
          </cell>
          <cell r="E161">
            <v>10</v>
          </cell>
          <cell r="M161">
            <v>10</v>
          </cell>
          <cell r="N161">
            <v>10</v>
          </cell>
          <cell r="V161">
            <v>10</v>
          </cell>
          <cell r="W161">
            <v>10</v>
          </cell>
          <cell r="AE161">
            <v>10</v>
          </cell>
          <cell r="AF161">
            <v>10</v>
          </cell>
        </row>
        <row r="162">
          <cell r="A162" t="str">
            <v>3x10</v>
          </cell>
          <cell r="D162">
            <v>10</v>
          </cell>
          <cell r="E162">
            <v>10</v>
          </cell>
          <cell r="F162">
            <v>10</v>
          </cell>
          <cell r="M162">
            <v>10</v>
          </cell>
          <cell r="N162">
            <v>10</v>
          </cell>
          <cell r="O162">
            <v>10</v>
          </cell>
          <cell r="V162">
            <v>10</v>
          </cell>
          <cell r="W162">
            <v>10</v>
          </cell>
          <cell r="X162">
            <v>10</v>
          </cell>
          <cell r="AE162">
            <v>10</v>
          </cell>
          <cell r="AF162">
            <v>10</v>
          </cell>
          <cell r="AG162">
            <v>10</v>
          </cell>
        </row>
        <row r="163">
          <cell r="A163" t="str">
            <v>3x10-1</v>
          </cell>
          <cell r="D163">
            <v>10</v>
          </cell>
          <cell r="E163">
            <v>10</v>
          </cell>
          <cell r="F163">
            <v>10</v>
          </cell>
          <cell r="M163">
            <v>9</v>
          </cell>
          <cell r="N163">
            <v>9</v>
          </cell>
          <cell r="O163">
            <v>9</v>
          </cell>
          <cell r="V163">
            <v>8</v>
          </cell>
          <cell r="W163">
            <v>8</v>
          </cell>
          <cell r="X163">
            <v>8</v>
          </cell>
          <cell r="AE163">
            <v>7</v>
          </cell>
          <cell r="AF163">
            <v>7</v>
          </cell>
          <cell r="AG163">
            <v>7</v>
          </cell>
        </row>
        <row r="164">
          <cell r="A164" t="str">
            <v>3x10+1</v>
          </cell>
          <cell r="D164">
            <v>10</v>
          </cell>
          <cell r="E164">
            <v>10</v>
          </cell>
          <cell r="F164">
            <v>10</v>
          </cell>
          <cell r="M164">
            <v>11</v>
          </cell>
          <cell r="N164">
            <v>11</v>
          </cell>
          <cell r="O164">
            <v>11</v>
          </cell>
          <cell r="V164">
            <v>12</v>
          </cell>
          <cell r="W164">
            <v>12</v>
          </cell>
          <cell r="X164">
            <v>12</v>
          </cell>
          <cell r="AE164">
            <v>13</v>
          </cell>
          <cell r="AF164">
            <v>13</v>
          </cell>
          <cell r="AG164">
            <v>13</v>
          </cell>
        </row>
        <row r="165">
          <cell r="A165" t="str">
            <v>3x10&gt;</v>
          </cell>
          <cell r="D165">
            <v>10</v>
          </cell>
          <cell r="E165">
            <v>9</v>
          </cell>
          <cell r="F165">
            <v>8</v>
          </cell>
          <cell r="M165">
            <v>10</v>
          </cell>
          <cell r="N165">
            <v>9</v>
          </cell>
          <cell r="O165">
            <v>8</v>
          </cell>
          <cell r="V165">
            <v>10</v>
          </cell>
          <cell r="W165">
            <v>9</v>
          </cell>
          <cell r="X165">
            <v>8</v>
          </cell>
          <cell r="AE165">
            <v>10</v>
          </cell>
          <cell r="AF165">
            <v>9</v>
          </cell>
          <cell r="AG165">
            <v>8</v>
          </cell>
        </row>
        <row r="166">
          <cell r="A166" t="str">
            <v>3x10&gt;+1</v>
          </cell>
          <cell r="D166">
            <v>10</v>
          </cell>
          <cell r="E166">
            <v>9</v>
          </cell>
          <cell r="F166">
            <v>8</v>
          </cell>
          <cell r="M166">
            <v>11</v>
          </cell>
          <cell r="N166">
            <v>10</v>
          </cell>
          <cell r="O166">
            <v>9</v>
          </cell>
          <cell r="V166">
            <v>12</v>
          </cell>
          <cell r="W166">
            <v>11</v>
          </cell>
          <cell r="X166">
            <v>10</v>
          </cell>
          <cell r="AE166">
            <v>13</v>
          </cell>
          <cell r="AF166">
            <v>12</v>
          </cell>
          <cell r="AG166">
            <v>11</v>
          </cell>
        </row>
        <row r="167">
          <cell r="A167" t="str">
            <v>3x10&gt;-1</v>
          </cell>
          <cell r="D167">
            <v>10</v>
          </cell>
          <cell r="E167">
            <v>9</v>
          </cell>
          <cell r="F167">
            <v>8</v>
          </cell>
          <cell r="M167">
            <v>9</v>
          </cell>
          <cell r="N167">
            <v>8</v>
          </cell>
          <cell r="O167">
            <v>7</v>
          </cell>
          <cell r="V167">
            <v>8</v>
          </cell>
          <cell r="W167">
            <v>7</v>
          </cell>
          <cell r="X167">
            <v>6</v>
          </cell>
          <cell r="AE167">
            <v>7</v>
          </cell>
          <cell r="AF167">
            <v>6</v>
          </cell>
          <cell r="AG167">
            <v>5</v>
          </cell>
        </row>
        <row r="168">
          <cell r="A168" t="str">
            <v>3x10+2</v>
          </cell>
          <cell r="D168">
            <v>10</v>
          </cell>
          <cell r="E168">
            <v>10</v>
          </cell>
          <cell r="F168">
            <v>10</v>
          </cell>
          <cell r="M168">
            <v>12</v>
          </cell>
          <cell r="N168">
            <v>12</v>
          </cell>
          <cell r="O168">
            <v>12</v>
          </cell>
          <cell r="V168">
            <v>14</v>
          </cell>
          <cell r="W168">
            <v>14</v>
          </cell>
          <cell r="X168">
            <v>14</v>
          </cell>
          <cell r="AE168">
            <v>16</v>
          </cell>
          <cell r="AF168">
            <v>16</v>
          </cell>
          <cell r="AG168">
            <v>16</v>
          </cell>
        </row>
        <row r="169">
          <cell r="A169" t="str">
            <v>4x10</v>
          </cell>
          <cell r="D169">
            <v>10</v>
          </cell>
          <cell r="E169">
            <v>10</v>
          </cell>
          <cell r="F169">
            <v>10</v>
          </cell>
          <cell r="G169">
            <v>10</v>
          </cell>
          <cell r="M169">
            <v>10</v>
          </cell>
          <cell r="N169">
            <v>10</v>
          </cell>
          <cell r="O169">
            <v>10</v>
          </cell>
          <cell r="P169">
            <v>10</v>
          </cell>
          <cell r="V169">
            <v>10</v>
          </cell>
          <cell r="W169">
            <v>10</v>
          </cell>
          <cell r="X169">
            <v>10</v>
          </cell>
          <cell r="Y169">
            <v>10</v>
          </cell>
          <cell r="AE169">
            <v>10</v>
          </cell>
          <cell r="AF169">
            <v>10</v>
          </cell>
          <cell r="AG169">
            <v>10</v>
          </cell>
          <cell r="AH169">
            <v>10</v>
          </cell>
        </row>
        <row r="170">
          <cell r="A170" t="str">
            <v>5x10</v>
          </cell>
          <cell r="D170">
            <v>10</v>
          </cell>
          <cell r="E170">
            <v>10</v>
          </cell>
          <cell r="F170">
            <v>10</v>
          </cell>
          <cell r="G170">
            <v>10</v>
          </cell>
          <cell r="H170">
            <v>10</v>
          </cell>
          <cell r="M170">
            <v>10</v>
          </cell>
          <cell r="N170">
            <v>10</v>
          </cell>
          <cell r="O170">
            <v>10</v>
          </cell>
          <cell r="P170">
            <v>10</v>
          </cell>
          <cell r="Q170">
            <v>10</v>
          </cell>
          <cell r="V170">
            <v>10</v>
          </cell>
          <cell r="W170">
            <v>10</v>
          </cell>
          <cell r="X170">
            <v>10</v>
          </cell>
          <cell r="Y170">
            <v>10</v>
          </cell>
          <cell r="Z170">
            <v>10</v>
          </cell>
          <cell r="AE170">
            <v>10</v>
          </cell>
          <cell r="AF170">
            <v>10</v>
          </cell>
          <cell r="AG170">
            <v>10</v>
          </cell>
          <cell r="AH170">
            <v>10</v>
          </cell>
          <cell r="AI170">
            <v>10</v>
          </cell>
        </row>
        <row r="171">
          <cell r="A171" t="str">
            <v>6x10</v>
          </cell>
          <cell r="D171">
            <v>10</v>
          </cell>
          <cell r="E171">
            <v>10</v>
          </cell>
          <cell r="F171">
            <v>10</v>
          </cell>
          <cell r="G171">
            <v>10</v>
          </cell>
          <cell r="H171">
            <v>10</v>
          </cell>
          <cell r="I171">
            <v>10</v>
          </cell>
          <cell r="M171">
            <v>10</v>
          </cell>
          <cell r="N171">
            <v>10</v>
          </cell>
          <cell r="O171">
            <v>10</v>
          </cell>
          <cell r="P171">
            <v>10</v>
          </cell>
          <cell r="Q171">
            <v>10</v>
          </cell>
          <cell r="R171">
            <v>10</v>
          </cell>
          <cell r="V171">
            <v>10</v>
          </cell>
          <cell r="W171">
            <v>10</v>
          </cell>
          <cell r="X171">
            <v>10</v>
          </cell>
          <cell r="Y171">
            <v>10</v>
          </cell>
          <cell r="Z171">
            <v>10</v>
          </cell>
          <cell r="AA171">
            <v>10</v>
          </cell>
          <cell r="AE171">
            <v>10</v>
          </cell>
          <cell r="AF171">
            <v>10</v>
          </cell>
          <cell r="AG171">
            <v>10</v>
          </cell>
          <cell r="AH171">
            <v>10</v>
          </cell>
          <cell r="AI171">
            <v>10</v>
          </cell>
          <cell r="AJ171">
            <v>10</v>
          </cell>
        </row>
        <row r="172">
          <cell r="A172" t="str">
            <v>1x12</v>
          </cell>
          <cell r="D172">
            <v>12</v>
          </cell>
          <cell r="M172">
            <v>12</v>
          </cell>
          <cell r="V172">
            <v>12</v>
          </cell>
          <cell r="AE172">
            <v>12</v>
          </cell>
        </row>
        <row r="173">
          <cell r="A173" t="str">
            <v>2x12</v>
          </cell>
          <cell r="D173">
            <v>12</v>
          </cell>
          <cell r="E173">
            <v>12</v>
          </cell>
          <cell r="M173">
            <v>12</v>
          </cell>
          <cell r="N173">
            <v>12</v>
          </cell>
          <cell r="V173">
            <v>12</v>
          </cell>
          <cell r="W173">
            <v>12</v>
          </cell>
          <cell r="AE173">
            <v>12</v>
          </cell>
          <cell r="AF173">
            <v>12</v>
          </cell>
        </row>
        <row r="174">
          <cell r="A174" t="str">
            <v>3x12</v>
          </cell>
          <cell r="D174">
            <v>12</v>
          </cell>
          <cell r="E174">
            <v>12</v>
          </cell>
          <cell r="F174">
            <v>12</v>
          </cell>
          <cell r="M174">
            <v>12</v>
          </cell>
          <cell r="N174">
            <v>12</v>
          </cell>
          <cell r="O174">
            <v>12</v>
          </cell>
          <cell r="V174">
            <v>12</v>
          </cell>
          <cell r="W174">
            <v>12</v>
          </cell>
          <cell r="X174">
            <v>12</v>
          </cell>
          <cell r="AE174">
            <v>12</v>
          </cell>
          <cell r="AF174">
            <v>12</v>
          </cell>
          <cell r="AG174">
            <v>12</v>
          </cell>
        </row>
        <row r="175">
          <cell r="A175" t="str">
            <v>4x12</v>
          </cell>
          <cell r="D175">
            <v>12</v>
          </cell>
          <cell r="E175">
            <v>12</v>
          </cell>
          <cell r="F175">
            <v>12</v>
          </cell>
          <cell r="G175">
            <v>12</v>
          </cell>
          <cell r="M175">
            <v>12</v>
          </cell>
          <cell r="N175">
            <v>12</v>
          </cell>
          <cell r="O175">
            <v>12</v>
          </cell>
          <cell r="P175">
            <v>12</v>
          </cell>
          <cell r="V175">
            <v>12</v>
          </cell>
          <cell r="W175">
            <v>12</v>
          </cell>
          <cell r="X175">
            <v>12</v>
          </cell>
          <cell r="Y175">
            <v>12</v>
          </cell>
          <cell r="AE175">
            <v>12</v>
          </cell>
          <cell r="AF175">
            <v>12</v>
          </cell>
          <cell r="AG175">
            <v>12</v>
          </cell>
          <cell r="AH175">
            <v>12</v>
          </cell>
        </row>
        <row r="176">
          <cell r="A176" t="str">
            <v>5x12</v>
          </cell>
          <cell r="D176">
            <v>12</v>
          </cell>
          <cell r="E176">
            <v>12</v>
          </cell>
          <cell r="F176">
            <v>12</v>
          </cell>
          <cell r="G176">
            <v>12</v>
          </cell>
          <cell r="H176">
            <v>12</v>
          </cell>
          <cell r="M176">
            <v>12</v>
          </cell>
          <cell r="N176">
            <v>12</v>
          </cell>
          <cell r="O176">
            <v>12</v>
          </cell>
          <cell r="P176">
            <v>12</v>
          </cell>
          <cell r="Q176">
            <v>12</v>
          </cell>
          <cell r="V176">
            <v>12</v>
          </cell>
          <cell r="W176">
            <v>12</v>
          </cell>
          <cell r="X176">
            <v>12</v>
          </cell>
          <cell r="Y176">
            <v>12</v>
          </cell>
          <cell r="Z176">
            <v>12</v>
          </cell>
          <cell r="AE176">
            <v>12</v>
          </cell>
          <cell r="AF176">
            <v>12</v>
          </cell>
          <cell r="AG176">
            <v>12</v>
          </cell>
          <cell r="AH176">
            <v>12</v>
          </cell>
          <cell r="AI176">
            <v>12</v>
          </cell>
        </row>
        <row r="177">
          <cell r="A177" t="str">
            <v>6x12</v>
          </cell>
          <cell r="D177">
            <v>12</v>
          </cell>
          <cell r="E177">
            <v>12</v>
          </cell>
          <cell r="F177">
            <v>12</v>
          </cell>
          <cell r="G177">
            <v>12</v>
          </cell>
          <cell r="H177">
            <v>12</v>
          </cell>
          <cell r="I177">
            <v>12</v>
          </cell>
          <cell r="M177">
            <v>12</v>
          </cell>
          <cell r="N177">
            <v>12</v>
          </cell>
          <cell r="O177">
            <v>12</v>
          </cell>
          <cell r="P177">
            <v>12</v>
          </cell>
          <cell r="Q177">
            <v>12</v>
          </cell>
          <cell r="R177">
            <v>12</v>
          </cell>
          <cell r="V177">
            <v>12</v>
          </cell>
          <cell r="W177">
            <v>12</v>
          </cell>
          <cell r="X177">
            <v>12</v>
          </cell>
          <cell r="Y177">
            <v>12</v>
          </cell>
          <cell r="Z177">
            <v>12</v>
          </cell>
          <cell r="AA177">
            <v>12</v>
          </cell>
          <cell r="AE177">
            <v>12</v>
          </cell>
          <cell r="AF177">
            <v>12</v>
          </cell>
          <cell r="AG177">
            <v>12</v>
          </cell>
          <cell r="AH177">
            <v>12</v>
          </cell>
          <cell r="AI177">
            <v>12</v>
          </cell>
          <cell r="AJ177">
            <v>12</v>
          </cell>
        </row>
        <row r="178">
          <cell r="A178" t="str">
            <v>1x15</v>
          </cell>
          <cell r="D178">
            <v>15</v>
          </cell>
          <cell r="M178">
            <v>15</v>
          </cell>
          <cell r="V178">
            <v>15</v>
          </cell>
          <cell r="AE178">
            <v>15</v>
          </cell>
        </row>
        <row r="179">
          <cell r="A179" t="str">
            <v>2x15</v>
          </cell>
          <cell r="D179">
            <v>15</v>
          </cell>
          <cell r="E179">
            <v>15</v>
          </cell>
          <cell r="M179">
            <v>15</v>
          </cell>
          <cell r="N179">
            <v>15</v>
          </cell>
          <cell r="V179">
            <v>15</v>
          </cell>
          <cell r="W179">
            <v>15</v>
          </cell>
          <cell r="AE179">
            <v>15</v>
          </cell>
          <cell r="AF179">
            <v>15</v>
          </cell>
        </row>
        <row r="180">
          <cell r="A180" t="str">
            <v>3x15</v>
          </cell>
          <cell r="D180">
            <v>15</v>
          </cell>
          <cell r="E180">
            <v>15</v>
          </cell>
          <cell r="F180">
            <v>15</v>
          </cell>
          <cell r="M180">
            <v>15</v>
          </cell>
          <cell r="N180">
            <v>15</v>
          </cell>
          <cell r="O180">
            <v>15</v>
          </cell>
          <cell r="V180">
            <v>15</v>
          </cell>
          <cell r="W180">
            <v>15</v>
          </cell>
          <cell r="X180">
            <v>15</v>
          </cell>
          <cell r="AE180">
            <v>15</v>
          </cell>
          <cell r="AF180">
            <v>15</v>
          </cell>
          <cell r="AG180">
            <v>15</v>
          </cell>
        </row>
        <row r="181">
          <cell r="A181" t="str">
            <v>4x15</v>
          </cell>
          <cell r="D181">
            <v>15</v>
          </cell>
          <cell r="E181">
            <v>15</v>
          </cell>
          <cell r="F181">
            <v>15</v>
          </cell>
          <cell r="G181">
            <v>15</v>
          </cell>
          <cell r="M181">
            <v>15</v>
          </cell>
          <cell r="N181">
            <v>15</v>
          </cell>
          <cell r="O181">
            <v>15</v>
          </cell>
          <cell r="P181">
            <v>15</v>
          </cell>
          <cell r="V181">
            <v>15</v>
          </cell>
          <cell r="W181">
            <v>15</v>
          </cell>
          <cell r="X181">
            <v>15</v>
          </cell>
          <cell r="Y181">
            <v>15</v>
          </cell>
          <cell r="AE181">
            <v>15</v>
          </cell>
          <cell r="AF181">
            <v>15</v>
          </cell>
          <cell r="AG181">
            <v>15</v>
          </cell>
          <cell r="AH181">
            <v>15</v>
          </cell>
        </row>
        <row r="182">
          <cell r="A182" t="str">
            <v>5x15</v>
          </cell>
          <cell r="D182">
            <v>15</v>
          </cell>
          <cell r="E182">
            <v>15</v>
          </cell>
          <cell r="F182">
            <v>15</v>
          </cell>
          <cell r="G182">
            <v>15</v>
          </cell>
          <cell r="H182">
            <v>15</v>
          </cell>
          <cell r="M182">
            <v>15</v>
          </cell>
          <cell r="N182">
            <v>15</v>
          </cell>
          <cell r="O182">
            <v>15</v>
          </cell>
          <cell r="P182">
            <v>15</v>
          </cell>
          <cell r="Q182">
            <v>15</v>
          </cell>
          <cell r="V182">
            <v>15</v>
          </cell>
          <cell r="W182">
            <v>15</v>
          </cell>
          <cell r="X182">
            <v>15</v>
          </cell>
          <cell r="Y182">
            <v>15</v>
          </cell>
          <cell r="Z182">
            <v>15</v>
          </cell>
          <cell r="AE182">
            <v>15</v>
          </cell>
          <cell r="AF182">
            <v>15</v>
          </cell>
          <cell r="AG182">
            <v>15</v>
          </cell>
          <cell r="AH182">
            <v>15</v>
          </cell>
          <cell r="AI182">
            <v>15</v>
          </cell>
        </row>
        <row r="183">
          <cell r="A183" t="str">
            <v>6x15</v>
          </cell>
          <cell r="D183">
            <v>15</v>
          </cell>
          <cell r="E183">
            <v>15</v>
          </cell>
          <cell r="F183">
            <v>15</v>
          </cell>
          <cell r="G183">
            <v>15</v>
          </cell>
          <cell r="H183">
            <v>15</v>
          </cell>
          <cell r="I183">
            <v>15</v>
          </cell>
          <cell r="M183">
            <v>15</v>
          </cell>
          <cell r="N183">
            <v>15</v>
          </cell>
          <cell r="O183">
            <v>15</v>
          </cell>
          <cell r="P183">
            <v>15</v>
          </cell>
          <cell r="Q183">
            <v>15</v>
          </cell>
          <cell r="R183">
            <v>15</v>
          </cell>
          <cell r="V183">
            <v>15</v>
          </cell>
          <cell r="W183">
            <v>15</v>
          </cell>
          <cell r="X183">
            <v>15</v>
          </cell>
          <cell r="Y183">
            <v>15</v>
          </cell>
          <cell r="Z183">
            <v>15</v>
          </cell>
          <cell r="AA183">
            <v>15</v>
          </cell>
          <cell r="AE183">
            <v>15</v>
          </cell>
          <cell r="AF183">
            <v>15</v>
          </cell>
          <cell r="AG183">
            <v>15</v>
          </cell>
          <cell r="AH183">
            <v>15</v>
          </cell>
          <cell r="AI183">
            <v>15</v>
          </cell>
          <cell r="AJ183">
            <v>15</v>
          </cell>
        </row>
        <row r="184">
          <cell r="A184" t="str">
            <v>1x20</v>
          </cell>
          <cell r="D184">
            <v>20</v>
          </cell>
          <cell r="M184">
            <v>20</v>
          </cell>
          <cell r="V184">
            <v>20</v>
          </cell>
          <cell r="AE184">
            <v>20</v>
          </cell>
        </row>
        <row r="185">
          <cell r="A185" t="str">
            <v>2x20</v>
          </cell>
          <cell r="D185">
            <v>20</v>
          </cell>
          <cell r="E185">
            <v>20</v>
          </cell>
          <cell r="M185">
            <v>20</v>
          </cell>
          <cell r="N185">
            <v>20</v>
          </cell>
          <cell r="V185">
            <v>20</v>
          </cell>
          <cell r="W185">
            <v>20</v>
          </cell>
          <cell r="AE185">
            <v>20</v>
          </cell>
          <cell r="AF185">
            <v>20</v>
          </cell>
        </row>
        <row r="186">
          <cell r="A186" t="str">
            <v>3x20</v>
          </cell>
          <cell r="D186">
            <v>20</v>
          </cell>
          <cell r="E186">
            <v>20</v>
          </cell>
          <cell r="F186">
            <v>20</v>
          </cell>
          <cell r="M186">
            <v>20</v>
          </cell>
          <cell r="N186">
            <v>20</v>
          </cell>
          <cell r="O186">
            <v>20</v>
          </cell>
          <cell r="V186">
            <v>20</v>
          </cell>
          <cell r="W186">
            <v>20</v>
          </cell>
          <cell r="X186">
            <v>20</v>
          </cell>
          <cell r="AE186">
            <v>20</v>
          </cell>
          <cell r="AF186">
            <v>20</v>
          </cell>
          <cell r="AG186">
            <v>20</v>
          </cell>
        </row>
        <row r="187">
          <cell r="A187" t="str">
            <v>4x20</v>
          </cell>
          <cell r="D187">
            <v>20</v>
          </cell>
          <cell r="E187">
            <v>20</v>
          </cell>
          <cell r="F187">
            <v>20</v>
          </cell>
          <cell r="G187">
            <v>20</v>
          </cell>
          <cell r="M187">
            <v>20</v>
          </cell>
          <cell r="N187">
            <v>20</v>
          </cell>
          <cell r="O187">
            <v>20</v>
          </cell>
          <cell r="P187">
            <v>20</v>
          </cell>
          <cell r="V187">
            <v>20</v>
          </cell>
          <cell r="W187">
            <v>20</v>
          </cell>
          <cell r="X187">
            <v>20</v>
          </cell>
          <cell r="Y187">
            <v>20</v>
          </cell>
          <cell r="AE187">
            <v>20</v>
          </cell>
          <cell r="AF187">
            <v>20</v>
          </cell>
          <cell r="AG187">
            <v>20</v>
          </cell>
          <cell r="AH187">
            <v>20</v>
          </cell>
        </row>
        <row r="188">
          <cell r="A188" t="str">
            <v>5x20</v>
          </cell>
          <cell r="D188">
            <v>20</v>
          </cell>
          <cell r="E188">
            <v>20</v>
          </cell>
          <cell r="F188">
            <v>20</v>
          </cell>
          <cell r="G188">
            <v>20</v>
          </cell>
          <cell r="H188">
            <v>20</v>
          </cell>
          <cell r="M188">
            <v>20</v>
          </cell>
          <cell r="N188">
            <v>20</v>
          </cell>
          <cell r="O188">
            <v>20</v>
          </cell>
          <cell r="P188">
            <v>20</v>
          </cell>
          <cell r="Q188">
            <v>20</v>
          </cell>
          <cell r="V188">
            <v>20</v>
          </cell>
          <cell r="W188">
            <v>20</v>
          </cell>
          <cell r="X188">
            <v>20</v>
          </cell>
          <cell r="Y188">
            <v>20</v>
          </cell>
          <cell r="Z188">
            <v>20</v>
          </cell>
          <cell r="AE188">
            <v>20</v>
          </cell>
          <cell r="AF188">
            <v>20</v>
          </cell>
          <cell r="AG188">
            <v>20</v>
          </cell>
          <cell r="AH188">
            <v>20</v>
          </cell>
          <cell r="AI188">
            <v>20</v>
          </cell>
        </row>
        <row r="189">
          <cell r="A189" t="str">
            <v>6x20</v>
          </cell>
          <cell r="D189">
            <v>20</v>
          </cell>
          <cell r="E189">
            <v>20</v>
          </cell>
          <cell r="F189">
            <v>20</v>
          </cell>
          <cell r="G189">
            <v>20</v>
          </cell>
          <cell r="H189">
            <v>20</v>
          </cell>
          <cell r="I189">
            <v>20</v>
          </cell>
          <cell r="M189">
            <v>20</v>
          </cell>
          <cell r="N189">
            <v>20</v>
          </cell>
          <cell r="O189">
            <v>20</v>
          </cell>
          <cell r="P189">
            <v>20</v>
          </cell>
          <cell r="Q189">
            <v>20</v>
          </cell>
          <cell r="R189">
            <v>20</v>
          </cell>
          <cell r="V189">
            <v>20</v>
          </cell>
          <cell r="W189">
            <v>20</v>
          </cell>
          <cell r="X189">
            <v>20</v>
          </cell>
          <cell r="Y189">
            <v>20</v>
          </cell>
          <cell r="Z189">
            <v>20</v>
          </cell>
          <cell r="AA189">
            <v>20</v>
          </cell>
          <cell r="AE189">
            <v>20</v>
          </cell>
          <cell r="AF189">
            <v>20</v>
          </cell>
          <cell r="AG189">
            <v>20</v>
          </cell>
          <cell r="AH189">
            <v>20</v>
          </cell>
          <cell r="AI189">
            <v>20</v>
          </cell>
          <cell r="AJ189">
            <v>20</v>
          </cell>
        </row>
        <row r="190">
          <cell r="A190" t="str">
            <v>1x30</v>
          </cell>
          <cell r="D190">
            <v>30</v>
          </cell>
          <cell r="M190">
            <v>30</v>
          </cell>
          <cell r="V190">
            <v>30</v>
          </cell>
          <cell r="AE190">
            <v>30</v>
          </cell>
        </row>
        <row r="191">
          <cell r="A191" t="str">
            <v>2x30</v>
          </cell>
          <cell r="D191">
            <v>30</v>
          </cell>
          <cell r="E191">
            <v>30</v>
          </cell>
          <cell r="M191">
            <v>30</v>
          </cell>
          <cell r="N191">
            <v>30</v>
          </cell>
          <cell r="V191">
            <v>30</v>
          </cell>
          <cell r="W191">
            <v>30</v>
          </cell>
          <cell r="AE191">
            <v>30</v>
          </cell>
          <cell r="AF191">
            <v>30</v>
          </cell>
        </row>
        <row r="192">
          <cell r="A192" t="str">
            <v>3x30</v>
          </cell>
          <cell r="D192">
            <v>30</v>
          </cell>
          <cell r="E192">
            <v>30</v>
          </cell>
          <cell r="F192">
            <v>30</v>
          </cell>
          <cell r="M192">
            <v>30</v>
          </cell>
          <cell r="N192">
            <v>30</v>
          </cell>
          <cell r="O192">
            <v>30</v>
          </cell>
          <cell r="V192">
            <v>30</v>
          </cell>
          <cell r="W192">
            <v>30</v>
          </cell>
          <cell r="X192">
            <v>30</v>
          </cell>
          <cell r="AE192">
            <v>30</v>
          </cell>
          <cell r="AF192">
            <v>30</v>
          </cell>
          <cell r="AG192">
            <v>30</v>
          </cell>
        </row>
        <row r="193">
          <cell r="A193" t="str">
            <v>4x30</v>
          </cell>
          <cell r="D193">
            <v>30</v>
          </cell>
          <cell r="E193">
            <v>30</v>
          </cell>
          <cell r="F193">
            <v>30</v>
          </cell>
          <cell r="G193">
            <v>30</v>
          </cell>
          <cell r="M193">
            <v>30</v>
          </cell>
          <cell r="N193">
            <v>30</v>
          </cell>
          <cell r="O193">
            <v>30</v>
          </cell>
          <cell r="P193">
            <v>30</v>
          </cell>
          <cell r="V193">
            <v>30</v>
          </cell>
          <cell r="W193">
            <v>30</v>
          </cell>
          <cell r="X193">
            <v>30</v>
          </cell>
          <cell r="Y193">
            <v>30</v>
          </cell>
          <cell r="AE193">
            <v>30</v>
          </cell>
          <cell r="AF193">
            <v>30</v>
          </cell>
          <cell r="AG193">
            <v>30</v>
          </cell>
          <cell r="AH193">
            <v>30</v>
          </cell>
        </row>
        <row r="195">
          <cell r="A195" t="str">
            <v>TIME</v>
          </cell>
        </row>
        <row r="196">
          <cell r="A196" t="str">
            <v>3x:05</v>
          </cell>
          <cell r="D196" t="str">
            <v>:05</v>
          </cell>
          <cell r="E196" t="str">
            <v>:05</v>
          </cell>
          <cell r="F196" t="str">
            <v>:05</v>
          </cell>
          <cell r="M196" t="str">
            <v>:05</v>
          </cell>
          <cell r="N196" t="str">
            <v>:05</v>
          </cell>
          <cell r="O196" t="str">
            <v>:05</v>
          </cell>
          <cell r="V196" t="str">
            <v>:05</v>
          </cell>
          <cell r="W196" t="str">
            <v>:05</v>
          </cell>
          <cell r="X196" t="str">
            <v>:05</v>
          </cell>
          <cell r="AE196" t="str">
            <v>:05</v>
          </cell>
          <cell r="AF196" t="str">
            <v>:05</v>
          </cell>
          <cell r="AG196" t="str">
            <v>:05</v>
          </cell>
        </row>
        <row r="197">
          <cell r="A197" t="str">
            <v>3x:05+5</v>
          </cell>
          <cell r="D197" t="str">
            <v>:05</v>
          </cell>
          <cell r="E197" t="str">
            <v>:05</v>
          </cell>
          <cell r="F197" t="str">
            <v>:05</v>
          </cell>
          <cell r="M197" t="str">
            <v>:10</v>
          </cell>
          <cell r="N197" t="str">
            <v>:10</v>
          </cell>
          <cell r="O197" t="str">
            <v>:10</v>
          </cell>
          <cell r="V197" t="str">
            <v>:15</v>
          </cell>
          <cell r="W197" t="str">
            <v>:15</v>
          </cell>
          <cell r="X197" t="str">
            <v>:15</v>
          </cell>
          <cell r="AE197" t="str">
            <v>:20</v>
          </cell>
          <cell r="AF197" t="str">
            <v>:20</v>
          </cell>
          <cell r="AG197" t="str">
            <v>:20</v>
          </cell>
        </row>
        <row r="198">
          <cell r="A198" t="str">
            <v>3x:10</v>
          </cell>
          <cell r="D198" t="str">
            <v>:10</v>
          </cell>
          <cell r="E198" t="str">
            <v>:10</v>
          </cell>
          <cell r="F198" t="str">
            <v>:10</v>
          </cell>
          <cell r="M198" t="str">
            <v>:10</v>
          </cell>
          <cell r="N198" t="str">
            <v>:10</v>
          </cell>
          <cell r="O198" t="str">
            <v>:10</v>
          </cell>
          <cell r="V198" t="str">
            <v>:10</v>
          </cell>
          <cell r="W198" t="str">
            <v>:10</v>
          </cell>
          <cell r="X198" t="str">
            <v>:10</v>
          </cell>
          <cell r="AE198" t="str">
            <v>:10</v>
          </cell>
          <cell r="AF198" t="str">
            <v>:10</v>
          </cell>
          <cell r="AG198" t="str">
            <v>:10</v>
          </cell>
        </row>
        <row r="199">
          <cell r="A199" t="str">
            <v>3x:10+5</v>
          </cell>
          <cell r="D199" t="str">
            <v>:10</v>
          </cell>
          <cell r="E199" t="str">
            <v>:10</v>
          </cell>
          <cell r="F199" t="str">
            <v>:10</v>
          </cell>
          <cell r="M199" t="str">
            <v>:15</v>
          </cell>
          <cell r="N199" t="str">
            <v>:15</v>
          </cell>
          <cell r="O199" t="str">
            <v>:15</v>
          </cell>
          <cell r="V199" t="str">
            <v>:20</v>
          </cell>
          <cell r="W199" t="str">
            <v>:20</v>
          </cell>
          <cell r="X199" t="str">
            <v>:20</v>
          </cell>
          <cell r="AE199" t="str">
            <v>:25</v>
          </cell>
          <cell r="AF199" t="str">
            <v>:25</v>
          </cell>
          <cell r="AG199" t="str">
            <v>:25</v>
          </cell>
        </row>
        <row r="200">
          <cell r="A200" t="str">
            <v>3x:10+10</v>
          </cell>
          <cell r="D200" t="str">
            <v>:10</v>
          </cell>
          <cell r="E200" t="str">
            <v>:10</v>
          </cell>
          <cell r="F200" t="str">
            <v>:10</v>
          </cell>
          <cell r="M200" t="str">
            <v>:20</v>
          </cell>
          <cell r="N200" t="str">
            <v>:20</v>
          </cell>
          <cell r="O200" t="str">
            <v>:20</v>
          </cell>
          <cell r="V200" t="str">
            <v>:30</v>
          </cell>
          <cell r="W200" t="str">
            <v>:30</v>
          </cell>
          <cell r="X200" t="str">
            <v>:30</v>
          </cell>
          <cell r="AE200" t="str">
            <v>:40</v>
          </cell>
          <cell r="AF200" t="str">
            <v>:40</v>
          </cell>
          <cell r="AG200" t="str">
            <v>:40</v>
          </cell>
        </row>
        <row r="201">
          <cell r="A201" t="str">
            <v>3x:15</v>
          </cell>
          <cell r="D201" t="str">
            <v>:15</v>
          </cell>
          <cell r="E201" t="str">
            <v>:15</v>
          </cell>
          <cell r="F201" t="str">
            <v>:15</v>
          </cell>
          <cell r="M201" t="str">
            <v>:15</v>
          </cell>
          <cell r="N201" t="str">
            <v>:15</v>
          </cell>
          <cell r="O201" t="str">
            <v>:15</v>
          </cell>
          <cell r="V201" t="str">
            <v>:15</v>
          </cell>
          <cell r="W201" t="str">
            <v>:15</v>
          </cell>
          <cell r="X201" t="str">
            <v>:15</v>
          </cell>
          <cell r="AE201" t="str">
            <v>:15</v>
          </cell>
          <cell r="AF201" t="str">
            <v>:15</v>
          </cell>
          <cell r="AG201" t="str">
            <v>:15</v>
          </cell>
        </row>
        <row r="202">
          <cell r="A202" t="str">
            <v>3x:15+5</v>
          </cell>
          <cell r="D202" t="str">
            <v>:15</v>
          </cell>
          <cell r="E202" t="str">
            <v>:15</v>
          </cell>
          <cell r="F202" t="str">
            <v>:15</v>
          </cell>
          <cell r="M202" t="str">
            <v>:20</v>
          </cell>
          <cell r="N202" t="str">
            <v>:20</v>
          </cell>
          <cell r="O202" t="str">
            <v>:20</v>
          </cell>
          <cell r="V202" t="str">
            <v>:25</v>
          </cell>
          <cell r="W202" t="str">
            <v>:25</v>
          </cell>
          <cell r="X202" t="str">
            <v>:25</v>
          </cell>
          <cell r="AE202" t="str">
            <v>:30</v>
          </cell>
          <cell r="AF202" t="str">
            <v>:30</v>
          </cell>
          <cell r="AG202" t="str">
            <v>:30</v>
          </cell>
        </row>
        <row r="203">
          <cell r="A203" t="str">
            <v>3x:20</v>
          </cell>
          <cell r="D203" t="str">
            <v>:20</v>
          </cell>
          <cell r="E203" t="str">
            <v>:20</v>
          </cell>
          <cell r="F203" t="str">
            <v>:20</v>
          </cell>
          <cell r="M203" t="str">
            <v>:20</v>
          </cell>
          <cell r="N203" t="str">
            <v>:20</v>
          </cell>
          <cell r="O203" t="str">
            <v>:20</v>
          </cell>
          <cell r="V203" t="str">
            <v>:20</v>
          </cell>
          <cell r="W203" t="str">
            <v>:20</v>
          </cell>
          <cell r="X203" t="str">
            <v>:20</v>
          </cell>
          <cell r="AE203" t="str">
            <v>:20</v>
          </cell>
          <cell r="AF203" t="str">
            <v>:20</v>
          </cell>
          <cell r="AG203" t="str">
            <v>:20</v>
          </cell>
        </row>
        <row r="204">
          <cell r="A204" t="str">
            <v>3x:20+10</v>
          </cell>
          <cell r="D204" t="str">
            <v>:20</v>
          </cell>
          <cell r="E204" t="str">
            <v>:20</v>
          </cell>
          <cell r="F204" t="str">
            <v>:20</v>
          </cell>
          <cell r="M204" t="str">
            <v>:30</v>
          </cell>
          <cell r="N204" t="str">
            <v>:30</v>
          </cell>
          <cell r="O204" t="str">
            <v>:30</v>
          </cell>
          <cell r="V204" t="str">
            <v>:40</v>
          </cell>
          <cell r="W204" t="str">
            <v>:40</v>
          </cell>
          <cell r="X204" t="str">
            <v>:40</v>
          </cell>
          <cell r="AE204" t="str">
            <v>:40</v>
          </cell>
          <cell r="AF204" t="str">
            <v>:30</v>
          </cell>
          <cell r="AG204" t="str">
            <v>:20</v>
          </cell>
        </row>
        <row r="205">
          <cell r="A205" t="str">
            <v>3x:20+5</v>
          </cell>
          <cell r="D205" t="str">
            <v>:20</v>
          </cell>
          <cell r="E205" t="str">
            <v>:20</v>
          </cell>
          <cell r="F205" t="str">
            <v>:20</v>
          </cell>
          <cell r="M205" t="str">
            <v>:25</v>
          </cell>
          <cell r="N205" t="str">
            <v>:25</v>
          </cell>
          <cell r="O205" t="str">
            <v>:25</v>
          </cell>
          <cell r="V205" t="str">
            <v>:30</v>
          </cell>
          <cell r="W205" t="str">
            <v>:30</v>
          </cell>
          <cell r="X205" t="str">
            <v>:30</v>
          </cell>
          <cell r="AE205" t="str">
            <v>:30</v>
          </cell>
          <cell r="AF205" t="str">
            <v>:25</v>
          </cell>
          <cell r="AG205" t="str">
            <v>:20</v>
          </cell>
        </row>
        <row r="206">
          <cell r="A206" t="str">
            <v>3x:20&gt;5</v>
          </cell>
          <cell r="D206" t="str">
            <v>:20</v>
          </cell>
          <cell r="E206" t="str">
            <v>:15</v>
          </cell>
          <cell r="F206" t="str">
            <v>:10</v>
          </cell>
          <cell r="M206" t="str">
            <v>:20</v>
          </cell>
          <cell r="N206" t="str">
            <v>:15</v>
          </cell>
          <cell r="O206" t="str">
            <v>:10</v>
          </cell>
          <cell r="V206" t="str">
            <v>:20</v>
          </cell>
          <cell r="W206" t="str">
            <v>:15</v>
          </cell>
          <cell r="X206" t="str">
            <v>:10</v>
          </cell>
          <cell r="AE206" t="str">
            <v>:20</v>
          </cell>
          <cell r="AF206" t="str">
            <v>:15</v>
          </cell>
          <cell r="AG206" t="str">
            <v>:10</v>
          </cell>
        </row>
        <row r="207">
          <cell r="A207" t="str">
            <v>3x:20&gt;5+5</v>
          </cell>
          <cell r="D207" t="str">
            <v>:20</v>
          </cell>
          <cell r="E207" t="str">
            <v>:15</v>
          </cell>
          <cell r="F207" t="str">
            <v>:10</v>
          </cell>
          <cell r="M207" t="str">
            <v>:25</v>
          </cell>
          <cell r="N207" t="str">
            <v>:20</v>
          </cell>
          <cell r="O207" t="str">
            <v>:15</v>
          </cell>
          <cell r="V207" t="str">
            <v>:30</v>
          </cell>
          <cell r="W207" t="str">
            <v>:25</v>
          </cell>
          <cell r="X207" t="str">
            <v>:20</v>
          </cell>
          <cell r="AE207" t="str">
            <v>:20</v>
          </cell>
          <cell r="AF207" t="str">
            <v>:20</v>
          </cell>
          <cell r="AG207" t="str">
            <v>:20</v>
          </cell>
        </row>
        <row r="208">
          <cell r="A208" t="str">
            <v>3x:30</v>
          </cell>
          <cell r="D208" t="str">
            <v>:30</v>
          </cell>
          <cell r="E208" t="str">
            <v>:30</v>
          </cell>
          <cell r="F208" t="str">
            <v>:30</v>
          </cell>
          <cell r="M208" t="str">
            <v>:30</v>
          </cell>
          <cell r="N208" t="str">
            <v>:30</v>
          </cell>
          <cell r="O208" t="str">
            <v>:30</v>
          </cell>
          <cell r="V208" t="str">
            <v>:30</v>
          </cell>
          <cell r="W208" t="str">
            <v>:30</v>
          </cell>
          <cell r="X208" t="str">
            <v>:30</v>
          </cell>
          <cell r="AE208" t="str">
            <v>:30</v>
          </cell>
          <cell r="AF208" t="str">
            <v>:30</v>
          </cell>
          <cell r="AG208" t="str">
            <v>:30</v>
          </cell>
        </row>
        <row r="209">
          <cell r="A209" t="str">
            <v>3x:30+10</v>
          </cell>
          <cell r="D209" t="str">
            <v>:30</v>
          </cell>
          <cell r="E209" t="str">
            <v>:30</v>
          </cell>
          <cell r="F209" t="str">
            <v>:30</v>
          </cell>
          <cell r="M209" t="str">
            <v>:40</v>
          </cell>
          <cell r="N209" t="str">
            <v>:40</v>
          </cell>
          <cell r="O209" t="str">
            <v>:40</v>
          </cell>
          <cell r="V209" t="str">
            <v>:50</v>
          </cell>
          <cell r="W209" t="str">
            <v>:50</v>
          </cell>
          <cell r="X209" t="str">
            <v>:50</v>
          </cell>
          <cell r="AE209" t="str">
            <v>:50</v>
          </cell>
          <cell r="AF209" t="str">
            <v>:40</v>
          </cell>
          <cell r="AG209" t="str">
            <v>:30</v>
          </cell>
        </row>
        <row r="210">
          <cell r="A210" t="str">
            <v>3x:30+5</v>
          </cell>
          <cell r="D210" t="str">
            <v>:30</v>
          </cell>
          <cell r="E210" t="str">
            <v>:30</v>
          </cell>
          <cell r="F210" t="str">
            <v>:30</v>
          </cell>
          <cell r="M210" t="str">
            <v>:35</v>
          </cell>
          <cell r="N210" t="str">
            <v>:35</v>
          </cell>
          <cell r="O210" t="str">
            <v>:35</v>
          </cell>
          <cell r="V210" t="str">
            <v>:40</v>
          </cell>
          <cell r="W210" t="str">
            <v>:40</v>
          </cell>
          <cell r="X210" t="str">
            <v>:40</v>
          </cell>
          <cell r="AE210" t="str">
            <v>:40</v>
          </cell>
          <cell r="AF210" t="str">
            <v>:35</v>
          </cell>
          <cell r="AG210" t="str">
            <v>:30</v>
          </cell>
        </row>
        <row r="211">
          <cell r="A211" t="str">
            <v>3x:40+10</v>
          </cell>
          <cell r="D211" t="str">
            <v>:40</v>
          </cell>
          <cell r="E211" t="str">
            <v>:40</v>
          </cell>
          <cell r="F211" t="str">
            <v>:40</v>
          </cell>
          <cell r="M211" t="str">
            <v>:50</v>
          </cell>
          <cell r="N211" t="str">
            <v>:50</v>
          </cell>
          <cell r="O211" t="str">
            <v>:50</v>
          </cell>
          <cell r="V211" t="str">
            <v>:60</v>
          </cell>
          <cell r="W211" t="str">
            <v>:60</v>
          </cell>
          <cell r="X211" t="str">
            <v>:60</v>
          </cell>
          <cell r="AE211" t="str">
            <v>:60</v>
          </cell>
          <cell r="AF211" t="str">
            <v>:50</v>
          </cell>
          <cell r="AG211" t="str">
            <v>:40</v>
          </cell>
        </row>
        <row r="212">
          <cell r="A212" t="str">
            <v>3x:40+5</v>
          </cell>
          <cell r="D212" t="str">
            <v>:40</v>
          </cell>
          <cell r="E212" t="str">
            <v>:40</v>
          </cell>
          <cell r="F212" t="str">
            <v>:40</v>
          </cell>
          <cell r="M212" t="str">
            <v>:45</v>
          </cell>
          <cell r="N212" t="str">
            <v>:45</v>
          </cell>
          <cell r="O212" t="str">
            <v>:45</v>
          </cell>
          <cell r="V212" t="str">
            <v>:50</v>
          </cell>
          <cell r="W212" t="str">
            <v>:50</v>
          </cell>
          <cell r="X212" t="str">
            <v>:50</v>
          </cell>
          <cell r="AE212" t="str">
            <v>:50</v>
          </cell>
          <cell r="AF212" t="str">
            <v>:45</v>
          </cell>
          <cell r="AG212" t="str">
            <v>:40</v>
          </cell>
        </row>
        <row r="213">
          <cell r="A213" t="str">
            <v>3x:40&gt;5</v>
          </cell>
          <cell r="D213" t="str">
            <v>:40</v>
          </cell>
          <cell r="E213" t="str">
            <v>:35</v>
          </cell>
          <cell r="F213" t="str">
            <v>:30</v>
          </cell>
          <cell r="M213" t="str">
            <v>:40</v>
          </cell>
          <cell r="N213" t="str">
            <v>:35</v>
          </cell>
          <cell r="O213" t="str">
            <v>:30</v>
          </cell>
          <cell r="V213" t="str">
            <v>:40</v>
          </cell>
          <cell r="W213" t="str">
            <v>:35</v>
          </cell>
          <cell r="X213" t="str">
            <v>:30</v>
          </cell>
          <cell r="AE213" t="str">
            <v>:40</v>
          </cell>
          <cell r="AF213" t="str">
            <v>:35</v>
          </cell>
          <cell r="AG213" t="str">
            <v>:30</v>
          </cell>
        </row>
        <row r="214">
          <cell r="A214" t="str">
            <v>3x:40&gt;5+5</v>
          </cell>
          <cell r="D214" t="str">
            <v>:40</v>
          </cell>
          <cell r="E214" t="str">
            <v>:35</v>
          </cell>
          <cell r="F214" t="str">
            <v>:30</v>
          </cell>
          <cell r="M214" t="str">
            <v>:45</v>
          </cell>
          <cell r="N214" t="str">
            <v>:40</v>
          </cell>
          <cell r="O214" t="str">
            <v>:35</v>
          </cell>
          <cell r="V214" t="str">
            <v>:50</v>
          </cell>
          <cell r="W214" t="str">
            <v>:45</v>
          </cell>
          <cell r="X214" t="str">
            <v>:40</v>
          </cell>
          <cell r="AE214" t="str">
            <v>:40</v>
          </cell>
          <cell r="AF214" t="str">
            <v>:40</v>
          </cell>
          <cell r="AG214" t="str">
            <v>:40</v>
          </cell>
        </row>
        <row r="215">
          <cell r="A215" t="str">
            <v>3x:60</v>
          </cell>
          <cell r="D215" t="str">
            <v>:60</v>
          </cell>
          <cell r="E215" t="str">
            <v>:60</v>
          </cell>
          <cell r="F215" t="str">
            <v>:60</v>
          </cell>
          <cell r="M215" t="str">
            <v>:60</v>
          </cell>
          <cell r="N215" t="str">
            <v>:60</v>
          </cell>
          <cell r="O215" t="str">
            <v>:60</v>
          </cell>
          <cell r="V215" t="str">
            <v>:60</v>
          </cell>
          <cell r="W215" t="str">
            <v>:60</v>
          </cell>
          <cell r="X215" t="str">
            <v>:60</v>
          </cell>
          <cell r="AE215" t="str">
            <v>:60</v>
          </cell>
          <cell r="AF215" t="str">
            <v>:60</v>
          </cell>
          <cell r="AG215" t="str">
            <v>:60</v>
          </cell>
        </row>
        <row r="216">
          <cell r="A216" t="str">
            <v>3x:60&gt;5</v>
          </cell>
          <cell r="D216" t="str">
            <v>:60</v>
          </cell>
          <cell r="E216" t="str">
            <v>:55</v>
          </cell>
          <cell r="F216" t="str">
            <v>:50</v>
          </cell>
          <cell r="M216" t="str">
            <v>:60</v>
          </cell>
          <cell r="N216" t="str">
            <v>:55</v>
          </cell>
          <cell r="O216" t="str">
            <v>:50</v>
          </cell>
          <cell r="V216" t="str">
            <v>:60</v>
          </cell>
          <cell r="W216" t="str">
            <v>:55</v>
          </cell>
          <cell r="X216" t="str">
            <v>:50</v>
          </cell>
          <cell r="AE216" t="str">
            <v>:60</v>
          </cell>
          <cell r="AF216" t="str">
            <v>:55</v>
          </cell>
          <cell r="AG216" t="str">
            <v>:50</v>
          </cell>
        </row>
        <row r="217">
          <cell r="A217" t="str">
            <v>3x:60&gt;10</v>
          </cell>
          <cell r="D217" t="str">
            <v>:60</v>
          </cell>
          <cell r="E217" t="str">
            <v>:50</v>
          </cell>
          <cell r="F217" t="str">
            <v>:40</v>
          </cell>
          <cell r="M217" t="str">
            <v>:60</v>
          </cell>
          <cell r="N217" t="str">
            <v>:50</v>
          </cell>
          <cell r="O217" t="str">
            <v>:40</v>
          </cell>
          <cell r="V217" t="str">
            <v>:60</v>
          </cell>
          <cell r="W217" t="str">
            <v>:50</v>
          </cell>
          <cell r="X217" t="str">
            <v>:40</v>
          </cell>
          <cell r="AE217" t="str">
            <v>:60</v>
          </cell>
          <cell r="AF217" t="str">
            <v>:50</v>
          </cell>
          <cell r="AG217" t="str">
            <v>:40</v>
          </cell>
        </row>
        <row r="282">
          <cell r="A282" t="str">
            <v>3x30</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d2"/>
      <sheetName val="Cond3"/>
      <sheetName val="ExerciseInventory"/>
      <sheetName val="ControlPanel"/>
      <sheetName val="RMs"/>
      <sheetName val="Sched"/>
      <sheetName val="Cond"/>
      <sheetName val="WarmUp"/>
      <sheetName val="T-Core"/>
      <sheetName val="VBT"/>
      <sheetName val="T-2L"/>
      <sheetName val="WarmUp (3)"/>
      <sheetName val="T-2L-2023"/>
      <sheetName val="T-3L"/>
      <sheetName val="T-3L-2023"/>
      <sheetName val="T-4L"/>
      <sheetName val="Plyo"/>
      <sheetName val="T-R-2L"/>
      <sheetName val="T-R-3L"/>
      <sheetName val="1.Spring2024"/>
      <sheetName val="T-R-5L"/>
      <sheetName val="T-4L-2023"/>
      <sheetName val="4L-WU1-9P"/>
      <sheetName val="2.May2023"/>
      <sheetName val="3.Jun2023"/>
      <sheetName val="4.Jul2023"/>
      <sheetName val="5.Aug2023-W"/>
      <sheetName val="5.Aug2023-E"/>
      <sheetName val="6.Sep2023-W"/>
      <sheetName val="6.Sep2023-E"/>
      <sheetName val="7.Chile"/>
      <sheetName val="8a.Oct"/>
      <sheetName val="8b.Idre"/>
      <sheetName val="9.WC1"/>
      <sheetName val="10.Xmas"/>
      <sheetName val="11.WC2"/>
      <sheetName val="4L-WU1-8P"/>
      <sheetName val="2L-WU2"/>
      <sheetName val="3L-WU2"/>
      <sheetName val="4L-WU2"/>
      <sheetName val="3L-R"/>
      <sheetName val="1"/>
      <sheetName val="2"/>
      <sheetName val="3"/>
      <sheetName val="4"/>
      <sheetName val="NWB-4L"/>
      <sheetName val="5"/>
      <sheetName val="6"/>
      <sheetName val="7"/>
      <sheetName val="8"/>
      <sheetName val="9"/>
      <sheetName val="10"/>
      <sheetName val="11"/>
      <sheetName val="12"/>
    </sheetNames>
    <sheetDataSet>
      <sheetData sheetId="0" refreshError="1"/>
      <sheetData sheetId="1" refreshError="1"/>
      <sheetData sheetId="2">
        <row r="2">
          <cell r="A2" t="str">
            <v>Exercise Categories</v>
          </cell>
          <cell r="J2" t="str">
            <v>Jump</v>
          </cell>
          <cell r="K2" t="str">
            <v>Plyo</v>
          </cell>
          <cell r="L2" t="str">
            <v>Plyo</v>
          </cell>
        </row>
        <row r="3">
          <cell r="K3" t="str">
            <v>Load</v>
          </cell>
          <cell r="L3" t="str">
            <v>Reps</v>
          </cell>
          <cell r="BX3" t="str">
            <v>Hurdles</v>
          </cell>
        </row>
        <row r="4">
          <cell r="A4" t="str">
            <v>PrimaryExplosive</v>
          </cell>
          <cell r="J4" t="str">
            <v>Squat Jump</v>
          </cell>
          <cell r="Q4" t="str">
            <v>HIP MOBILITY</v>
          </cell>
          <cell r="W4" t="str">
            <v>Core 1</v>
          </cell>
          <cell r="X4" t="str">
            <v/>
          </cell>
          <cell r="Y4" t="str">
            <v>Hanging Knee Tucks - :03 ISO</v>
          </cell>
          <cell r="Z4" t="str">
            <v>add DB between feet if needed</v>
          </cell>
          <cell r="AA4">
            <v>6</v>
          </cell>
          <cell r="AB4">
            <v>7</v>
          </cell>
          <cell r="AC4">
            <v>8</v>
          </cell>
          <cell r="AD4">
            <v>7</v>
          </cell>
          <cell r="AE4">
            <v>8</v>
          </cell>
          <cell r="AF4">
            <v>9</v>
          </cell>
          <cell r="AG4">
            <v>8</v>
          </cell>
          <cell r="AH4">
            <v>9</v>
          </cell>
          <cell r="AI4">
            <v>10</v>
          </cell>
          <cell r="AJ4">
            <v>10</v>
          </cell>
          <cell r="AQ4" t="str">
            <v>LIFTS</v>
          </cell>
          <cell r="AR4" t="str">
            <v>MOBILITY</v>
          </cell>
          <cell r="BB4">
            <v>1</v>
          </cell>
          <cell r="BC4" t="str">
            <v>:02 ECC</v>
          </cell>
          <cell r="BE4">
            <v>6</v>
          </cell>
          <cell r="BF4" t="str">
            <v>BB</v>
          </cell>
          <cell r="BX4" t="str">
            <v>Balance</v>
          </cell>
        </row>
        <row r="5">
          <cell r="A5" t="str">
            <v>PrimaryUpper</v>
          </cell>
          <cell r="J5" t="str">
            <v>Countermovement Jump</v>
          </cell>
          <cell r="Y5" t="str">
            <v>Side Plank w/ DB Reach</v>
          </cell>
          <cell r="Z5" t="str">
            <v>rotate down slightly at bottom, keep tension</v>
          </cell>
          <cell r="AA5" t="str">
            <v>10/s</v>
          </cell>
          <cell r="AB5">
            <v>10</v>
          </cell>
          <cell r="AC5">
            <v>10</v>
          </cell>
          <cell r="AD5">
            <v>12</v>
          </cell>
          <cell r="AE5">
            <v>12</v>
          </cell>
          <cell r="AF5">
            <v>12</v>
          </cell>
          <cell r="AG5">
            <v>14</v>
          </cell>
          <cell r="AH5">
            <v>14</v>
          </cell>
          <cell r="AI5">
            <v>14</v>
          </cell>
          <cell r="AJ5">
            <v>14</v>
          </cell>
          <cell r="AQ5" t="str">
            <v>Power Clean</v>
          </cell>
          <cell r="AR5" t="str">
            <v>K2W</v>
          </cell>
          <cell r="BB5" t="str">
            <v>1A</v>
          </cell>
          <cell r="BC5" t="str">
            <v>:03 ECC</v>
          </cell>
          <cell r="BE5">
            <v>8</v>
          </cell>
          <cell r="BF5" t="str">
            <v>BB OH</v>
          </cell>
          <cell r="BX5" t="str">
            <v>Yoga</v>
          </cell>
        </row>
        <row r="6">
          <cell r="A6" t="str">
            <v>PrimaryLower</v>
          </cell>
          <cell r="J6" t="str">
            <v>Rudimentary Jumps</v>
          </cell>
          <cell r="Q6" t="str">
            <v>Deep Squat Hold</v>
          </cell>
          <cell r="Y6" t="str">
            <v>Heavy Staggered Cable Rot (:03 ECC)</v>
          </cell>
          <cell r="Z6" t="str">
            <v>inside foot forward, stable lower body</v>
          </cell>
          <cell r="AA6" t="str">
            <v>8/s</v>
          </cell>
          <cell r="AB6">
            <v>8</v>
          </cell>
          <cell r="AC6">
            <v>8</v>
          </cell>
          <cell r="AD6">
            <v>8</v>
          </cell>
          <cell r="AE6">
            <v>8</v>
          </cell>
          <cell r="AF6">
            <v>8</v>
          </cell>
          <cell r="AG6">
            <v>8</v>
          </cell>
          <cell r="AH6">
            <v>8</v>
          </cell>
          <cell r="AI6">
            <v>8</v>
          </cell>
          <cell r="AJ6">
            <v>8</v>
          </cell>
          <cell r="AQ6" t="str">
            <v>Jerk</v>
          </cell>
          <cell r="AR6" t="str">
            <v>ASLR</v>
          </cell>
          <cell r="BB6" t="str">
            <v>1B</v>
          </cell>
          <cell r="BC6" t="str">
            <v>:04 ECC</v>
          </cell>
          <cell r="BE6">
            <v>10</v>
          </cell>
          <cell r="BF6" t="str">
            <v>DB</v>
          </cell>
          <cell r="BX6" t="str">
            <v>Mobility</v>
          </cell>
        </row>
        <row r="7">
          <cell r="A7" t="str">
            <v>AccessoryUpper</v>
          </cell>
          <cell r="Q7" t="str">
            <v>Deep Squat + Hip ER</v>
          </cell>
          <cell r="W7" t="str">
            <v>Core 2</v>
          </cell>
          <cell r="X7" t="str">
            <v/>
          </cell>
          <cell r="Y7" t="str">
            <v>Plank w/ DB Reach and Place</v>
          </cell>
          <cell r="Z7" t="str">
            <v>squeeze quads and glutes, pelvis stable</v>
          </cell>
          <cell r="AA7" t="str">
            <v>8/s</v>
          </cell>
          <cell r="AB7">
            <v>8</v>
          </cell>
          <cell r="AC7">
            <v>8</v>
          </cell>
          <cell r="AD7">
            <v>9</v>
          </cell>
          <cell r="AE7">
            <v>9</v>
          </cell>
          <cell r="AF7">
            <v>9</v>
          </cell>
          <cell r="AG7">
            <v>10</v>
          </cell>
          <cell r="AH7">
            <v>10</v>
          </cell>
          <cell r="AI7">
            <v>10</v>
          </cell>
          <cell r="AJ7">
            <v>10</v>
          </cell>
          <cell r="AQ7" t="str">
            <v>Snatch</v>
          </cell>
          <cell r="AR7" t="str">
            <v>FABER</v>
          </cell>
          <cell r="BB7" t="str">
            <v>1C</v>
          </cell>
          <cell r="BC7" t="str">
            <v>:05 ECC</v>
          </cell>
          <cell r="BE7">
            <v>12</v>
          </cell>
          <cell r="BF7" t="str">
            <v>2 DBs</v>
          </cell>
          <cell r="BX7" t="str">
            <v>RudimentaryHops</v>
          </cell>
        </row>
        <row r="8">
          <cell r="A8" t="str">
            <v>AccessoryLower</v>
          </cell>
          <cell r="J8" t="str">
            <v>BOX JUMPS</v>
          </cell>
          <cell r="Q8" t="str">
            <v>Deep Squat + Hip IR and ER</v>
          </cell>
          <cell r="Y8" t="str">
            <v>Pike Seated Paloff Press (:03 ISO)</v>
          </cell>
          <cell r="Z8" t="str">
            <v>tall torso, good head position</v>
          </cell>
          <cell r="AA8" t="str">
            <v>8/s</v>
          </cell>
          <cell r="AB8">
            <v>8</v>
          </cell>
          <cell r="AC8">
            <v>8</v>
          </cell>
          <cell r="AD8">
            <v>9</v>
          </cell>
          <cell r="AE8">
            <v>9</v>
          </cell>
          <cell r="AF8">
            <v>9</v>
          </cell>
          <cell r="AG8">
            <v>10</v>
          </cell>
          <cell r="AH8">
            <v>10</v>
          </cell>
          <cell r="AI8">
            <v>10</v>
          </cell>
          <cell r="AJ8">
            <v>10</v>
          </cell>
          <cell r="AR8" t="str">
            <v>FADIR</v>
          </cell>
          <cell r="BB8" t="str">
            <v>1D</v>
          </cell>
          <cell r="BC8" t="str">
            <v>:06 ECC</v>
          </cell>
          <cell r="BE8">
            <v>15</v>
          </cell>
          <cell r="BF8" t="str">
            <v>DB OH</v>
          </cell>
        </row>
        <row r="9">
          <cell r="A9" t="str">
            <v>Core</v>
          </cell>
          <cell r="J9" t="str">
            <v>Seated Box Jump</v>
          </cell>
          <cell r="K9">
            <v>0.1</v>
          </cell>
          <cell r="L9">
            <v>1</v>
          </cell>
          <cell r="Q9" t="str">
            <v>Squat + Rot &amp; Reach</v>
          </cell>
          <cell r="Y9" t="str">
            <v>Lying Down Knee Tucks w/ band</v>
          </cell>
          <cell r="Z9" t="str">
            <v>slow and controlled</v>
          </cell>
          <cell r="AA9">
            <v>10</v>
          </cell>
          <cell r="AB9">
            <v>10</v>
          </cell>
          <cell r="AC9">
            <v>10</v>
          </cell>
          <cell r="AD9">
            <v>12</v>
          </cell>
          <cell r="AE9">
            <v>12</v>
          </cell>
          <cell r="AF9">
            <v>12</v>
          </cell>
          <cell r="AG9">
            <v>14</v>
          </cell>
          <cell r="AH9">
            <v>14</v>
          </cell>
          <cell r="AI9">
            <v>14</v>
          </cell>
          <cell r="AJ9">
            <v>14</v>
          </cell>
          <cell r="AQ9" t="str">
            <v>Back Squat</v>
          </cell>
          <cell r="AR9" t="str">
            <v>Shoulder Flexion</v>
          </cell>
          <cell r="BB9">
            <v>2</v>
          </cell>
          <cell r="BC9" t="str">
            <v>:02 ISO</v>
          </cell>
          <cell r="BE9" t="str">
            <v>6/s</v>
          </cell>
          <cell r="BF9" t="str">
            <v>KB</v>
          </cell>
        </row>
        <row r="10">
          <cell r="A10" t="str">
            <v>MedBall</v>
          </cell>
          <cell r="J10" t="str">
            <v>Squat Pause Box Jump</v>
          </cell>
          <cell r="K10">
            <v>0.2</v>
          </cell>
          <cell r="L10">
            <v>1</v>
          </cell>
          <cell r="Q10" t="str">
            <v>Squat Hold + Rot &amp; Reach</v>
          </cell>
          <cell r="W10" t="str">
            <v>Core 3</v>
          </cell>
          <cell r="X10" t="str">
            <v>L-Sit Progression</v>
          </cell>
          <cell r="Y10" t="str">
            <v>Pike Seated L-Sit Lifts</v>
          </cell>
          <cell r="Z10" t="str">
            <v>legs straight, toes pointed, hands on floor</v>
          </cell>
          <cell r="AA10">
            <v>10</v>
          </cell>
          <cell r="AQ10" t="str">
            <v>Front Squat</v>
          </cell>
          <cell r="AR10" t="str">
            <v>TPI T-Spine</v>
          </cell>
          <cell r="BB10" t="str">
            <v>2A</v>
          </cell>
          <cell r="BC10" t="str">
            <v>:03 ISO</v>
          </cell>
          <cell r="BE10" t="str">
            <v>8/s</v>
          </cell>
          <cell r="BF10" t="str">
            <v>2 KBs</v>
          </cell>
        </row>
        <row r="11">
          <cell r="A11" t="str">
            <v>Jump</v>
          </cell>
          <cell r="J11" t="str">
            <v>Squat Pause Box Jump (:03 Squat Hold)</v>
          </cell>
          <cell r="K11">
            <v>0.2</v>
          </cell>
          <cell r="L11">
            <v>1</v>
          </cell>
          <cell r="Q11" t="str">
            <v>Deep Squat Hold + 2 Arm DB Press</v>
          </cell>
          <cell r="Y11" t="str">
            <v>Russian Twist w/ plate</v>
          </cell>
          <cell r="Z11" t="str">
            <v>legs straight, toes pointed</v>
          </cell>
          <cell r="AA11">
            <v>20</v>
          </cell>
          <cell r="AQ11" t="str">
            <v>Deadlift</v>
          </cell>
          <cell r="BB11" t="str">
            <v>2B</v>
          </cell>
          <cell r="BC11" t="str">
            <v>:04 ISO</v>
          </cell>
          <cell r="BE11" t="str">
            <v>10/s</v>
          </cell>
          <cell r="BF11" t="str">
            <v>KB Goblet</v>
          </cell>
        </row>
        <row r="12">
          <cell r="A12" t="str">
            <v>WarmUp</v>
          </cell>
          <cell r="J12" t="str">
            <v>CMJ Box Jump</v>
          </cell>
          <cell r="K12">
            <v>0.3</v>
          </cell>
          <cell r="L12">
            <v>1</v>
          </cell>
          <cell r="Q12" t="str">
            <v>Deep Squat Hold + 2 Arm DB Forwad &amp; OH Press</v>
          </cell>
          <cell r="Y12" t="str">
            <v>2 Limb Dead Bug w/ plate</v>
          </cell>
          <cell r="Z12" t="str">
            <v>keep rib cage locked down to pelvis</v>
          </cell>
          <cell r="AA12">
            <v>8</v>
          </cell>
          <cell r="AQ12" t="str">
            <v>TrapBar Deadlift</v>
          </cell>
          <cell r="BB12" t="str">
            <v>2C</v>
          </cell>
          <cell r="BC12" t="str">
            <v>:05 ISO</v>
          </cell>
          <cell r="BE12" t="str">
            <v>12/s</v>
          </cell>
          <cell r="BF12" t="str">
            <v>DB Goblet</v>
          </cell>
        </row>
        <row r="13">
          <cell r="A13" t="str">
            <v>AccessoryCircuits</v>
          </cell>
          <cell r="J13" t="str">
            <v>CMJ Box Jump w/ Weight Vest</v>
          </cell>
          <cell r="K13">
            <v>0.3</v>
          </cell>
          <cell r="L13">
            <v>1</v>
          </cell>
          <cell r="Q13" t="str">
            <v>Deep Squat Hold + 1 Arm KB Press</v>
          </cell>
          <cell r="Z13" t="str">
            <v/>
          </cell>
          <cell r="AQ13" t="str">
            <v>Sumo Deadlift</v>
          </cell>
          <cell r="BB13" t="str">
            <v>2D</v>
          </cell>
          <cell r="BC13" t="str">
            <v>:06 ISO</v>
          </cell>
          <cell r="BE13" t="str">
            <v>15/s</v>
          </cell>
          <cell r="BF13" t="str">
            <v>2 KBs OH</v>
          </cell>
        </row>
        <row r="14">
          <cell r="A14" t="str">
            <v>Prehab</v>
          </cell>
          <cell r="J14" t="str">
            <v>CMJ Box Jump (first half w/ Weight Vest)</v>
          </cell>
          <cell r="K14">
            <v>0.3</v>
          </cell>
          <cell r="L14">
            <v>1</v>
          </cell>
          <cell r="Q14" t="str">
            <v>Deep Squat Hold + OH Band Pull</v>
          </cell>
          <cell r="BB14">
            <v>3</v>
          </cell>
          <cell r="BC14" t="str">
            <v>1:x:1</v>
          </cell>
          <cell r="BE14" t="str">
            <v>:30</v>
          </cell>
        </row>
        <row r="15">
          <cell r="A15" t="str">
            <v>Loading Categories</v>
          </cell>
          <cell r="Q15" t="str">
            <v>3-way Kneeling Lunge w/ KB</v>
          </cell>
          <cell r="AQ15" t="str">
            <v>Pull Up</v>
          </cell>
          <cell r="BB15" t="str">
            <v>3A</v>
          </cell>
          <cell r="BC15" t="str">
            <v>2:x:1</v>
          </cell>
          <cell r="BE15" t="str">
            <v>:45</v>
          </cell>
          <cell r="BF15" t="str">
            <v>Swiss Ball</v>
          </cell>
        </row>
        <row r="16">
          <cell r="Q16" t="str">
            <v>Couch Stretch (Tall)</v>
          </cell>
          <cell r="AQ16" t="str">
            <v>Bench Press</v>
          </cell>
          <cell r="BB16" t="str">
            <v>3B</v>
          </cell>
          <cell r="BC16" t="str">
            <v>2:0:2</v>
          </cell>
          <cell r="BE16" t="str">
            <v>:60</v>
          </cell>
          <cell r="BF16" t="str">
            <v>Slider</v>
          </cell>
        </row>
        <row r="17">
          <cell r="A17" t="str">
            <v>PE</v>
          </cell>
          <cell r="J17" t="str">
            <v>LANDINGS ONLY</v>
          </cell>
          <cell r="Q17" t="str">
            <v>Couch Stretch + OH Reach and Lean</v>
          </cell>
          <cell r="BB17" t="str">
            <v>3C</v>
          </cell>
          <cell r="BC17" t="str">
            <v>2:1:2</v>
          </cell>
          <cell r="BE17">
            <v>6.25E-2</v>
          </cell>
        </row>
        <row r="18">
          <cell r="A18" t="str">
            <v>DE</v>
          </cell>
          <cell r="J18" t="str">
            <v>Drop Landing</v>
          </cell>
          <cell r="L18">
            <v>1</v>
          </cell>
          <cell r="Q18" t="str">
            <v>Couch Stretch - Front Foot Elevated</v>
          </cell>
          <cell r="BB18">
            <v>4</v>
          </cell>
          <cell r="BC18" t="str">
            <v>3:x:1</v>
          </cell>
          <cell r="BE18">
            <v>8.3333333333333329E-2</v>
          </cell>
          <cell r="BF18" t="str">
            <v>Support</v>
          </cell>
        </row>
        <row r="19">
          <cell r="A19" t="str">
            <v>ME</v>
          </cell>
          <cell r="J19" t="str">
            <v>Drop Landing to Squat</v>
          </cell>
          <cell r="L19">
            <v>1</v>
          </cell>
          <cell r="Q19" t="str">
            <v>Couch Stretch w/ band</v>
          </cell>
          <cell r="Z19" t="str">
            <v/>
          </cell>
          <cell r="BB19" t="str">
            <v>4A</v>
          </cell>
          <cell r="BC19" t="str">
            <v>1:1:1</v>
          </cell>
          <cell r="BE19" t="str">
            <v>:30/s</v>
          </cell>
        </row>
        <row r="20">
          <cell r="A20" t="str">
            <v>RE</v>
          </cell>
          <cell r="J20" t="str">
            <v>Stiff Drop Landing</v>
          </cell>
          <cell r="L20">
            <v>1</v>
          </cell>
          <cell r="Q20" t="str">
            <v>RLESS - Back Leg Iso</v>
          </cell>
          <cell r="BB20" t="str">
            <v>4B</v>
          </cell>
          <cell r="BC20" t="str">
            <v>2:1:1</v>
          </cell>
          <cell r="BE20" t="str">
            <v>:45/s</v>
          </cell>
        </row>
        <row r="21">
          <cell r="J21" t="str">
            <v>Soft Drop Landing</v>
          </cell>
          <cell r="L21">
            <v>1</v>
          </cell>
          <cell r="Q21" t="str">
            <v>1/2 Kneeling Hip Flex + OH Press</v>
          </cell>
          <cell r="BB21" t="str">
            <v>4C</v>
          </cell>
          <cell r="BC21" t="str">
            <v>3:1:1</v>
          </cell>
          <cell r="BE21" t="str">
            <v>:60/s</v>
          </cell>
        </row>
        <row r="22">
          <cell r="J22" t="str">
            <v>Rev. Drop Landing</v>
          </cell>
          <cell r="K22">
            <v>0.5</v>
          </cell>
          <cell r="L22">
            <v>1</v>
          </cell>
          <cell r="Q22" t="str">
            <v>Standing Hip Flexor Stretch</v>
          </cell>
          <cell r="BB22">
            <v>5</v>
          </cell>
          <cell r="BC22" t="str">
            <v>1:1:x</v>
          </cell>
          <cell r="BE22" t="str">
            <v>1:30/s</v>
          </cell>
        </row>
        <row r="23">
          <cell r="J23" t="str">
            <v>Rev. Drop Landing to Squat</v>
          </cell>
          <cell r="L23">
            <v>1</v>
          </cell>
          <cell r="Q23" t="str">
            <v>Long Lunge + OH Press</v>
          </cell>
          <cell r="BB23" t="str">
            <v>5A</v>
          </cell>
          <cell r="BC23" t="str">
            <v>1:2:x</v>
          </cell>
          <cell r="BE23" t="str">
            <v>2:00/s</v>
          </cell>
        </row>
        <row r="24">
          <cell r="J24" t="str">
            <v>Lateral Drop Landing</v>
          </cell>
          <cell r="L24">
            <v>1</v>
          </cell>
          <cell r="Q24" t="str">
            <v>SlideBoard Rev. Lunge  - Dowel OH</v>
          </cell>
          <cell r="BB24" t="str">
            <v>5B</v>
          </cell>
          <cell r="BC24" t="str">
            <v>1:3:x</v>
          </cell>
        </row>
        <row r="25">
          <cell r="J25" t="str">
            <v>Lateral Drop Landing to Squat</v>
          </cell>
          <cell r="L25">
            <v>1</v>
          </cell>
          <cell r="Q25" t="str">
            <v>SlideBoard Rev. Lunge  - BB OH</v>
          </cell>
          <cell r="Z25" t="str">
            <v/>
          </cell>
          <cell r="BB25" t="str">
            <v>5C</v>
          </cell>
          <cell r="BC25" t="str">
            <v>2:1:x</v>
          </cell>
        </row>
        <row r="26">
          <cell r="J26" t="str">
            <v>Forward &amp; Reverse Drop Landing</v>
          </cell>
          <cell r="L26">
            <v>1</v>
          </cell>
          <cell r="Q26" t="str">
            <v>SlideBoard Rev. Lunge  - DB OH</v>
          </cell>
          <cell r="AQ26" t="str">
            <v>Safety Bar -&gt; 60 lbs (27kg)</v>
          </cell>
          <cell r="BB26">
            <v>6</v>
          </cell>
          <cell r="BC26" t="str">
            <v>3:1:x</v>
          </cell>
        </row>
        <row r="27">
          <cell r="J27" t="str">
            <v>4-way Drop Landing</v>
          </cell>
          <cell r="L27">
            <v>4</v>
          </cell>
          <cell r="Q27" t="str">
            <v>Hip Flexor Release (Foam Roller)</v>
          </cell>
          <cell r="BB27" t="str">
            <v>6A</v>
          </cell>
          <cell r="BC27" t="str">
            <v>3:2:x</v>
          </cell>
        </row>
        <row r="28">
          <cell r="Q28" t="str">
            <v>Supine Hip Flexion w/ band distraction</v>
          </cell>
          <cell r="BB28" t="str">
            <v>6B</v>
          </cell>
          <cell r="BC28" t="str">
            <v>3:3:x</v>
          </cell>
        </row>
        <row r="29">
          <cell r="J29" t="str">
            <v>Drop Landing w/ forward band pull</v>
          </cell>
          <cell r="Q29" t="str">
            <v>Step Up Hold - Hip Flexor Stretch</v>
          </cell>
          <cell r="AT29" t="str">
            <v>WarmUps</v>
          </cell>
          <cell r="BB29" t="str">
            <v>6C</v>
          </cell>
          <cell r="BC29" t="str">
            <v>3:x:3</v>
          </cell>
        </row>
        <row r="30">
          <cell r="Q30" t="str">
            <v>ISO Lunge on toes w/ Hip EXT</v>
          </cell>
          <cell r="AT30" t="str">
            <v>ElevateHR</v>
          </cell>
          <cell r="BC30" t="str">
            <v>2:2:1</v>
          </cell>
        </row>
        <row r="31">
          <cell r="Q31" t="str">
            <v>Quadruped w/ posterior band pull</v>
          </cell>
          <cell r="Z31" t="str">
            <v/>
          </cell>
          <cell r="AT31" t="str">
            <v>General</v>
          </cell>
        </row>
        <row r="32">
          <cell r="Q32" t="str">
            <v>Quadruped w/ lateral band pull</v>
          </cell>
          <cell r="AT32" t="str">
            <v>CircuitSpecific</v>
          </cell>
        </row>
        <row r="33">
          <cell r="J33" t="str">
            <v>LANDINGS ONLY + Rotation</v>
          </cell>
          <cell r="Q33" t="str">
            <v>Quadruped ER - Deep Hip Capsule</v>
          </cell>
          <cell r="AT33" t="str">
            <v>Ankles</v>
          </cell>
        </row>
        <row r="34">
          <cell r="J34" t="str">
            <v>90 Drop Landing</v>
          </cell>
          <cell r="L34">
            <v>1</v>
          </cell>
          <cell r="Q34" t="str">
            <v>Step Up Hold w/ inferior band pull</v>
          </cell>
          <cell r="AT34" t="str">
            <v>Hips</v>
          </cell>
        </row>
        <row r="35">
          <cell r="J35" t="str">
            <v>90 Drop Landing to Squat</v>
          </cell>
          <cell r="L35">
            <v>1</v>
          </cell>
          <cell r="Q35" t="str">
            <v>Low Lunge + ER w/ band distaction</v>
          </cell>
          <cell r="AT35" t="str">
            <v>Hamstrings</v>
          </cell>
        </row>
        <row r="36">
          <cell r="J36" t="str">
            <v>180 Drop Landing</v>
          </cell>
          <cell r="L36">
            <v>1</v>
          </cell>
          <cell r="Q36" t="str">
            <v>Fig 4 Glute Stretch w/ Wall</v>
          </cell>
          <cell r="AT36" t="str">
            <v>Glutes</v>
          </cell>
        </row>
        <row r="37">
          <cell r="J37" t="str">
            <v>180 Drop Landing to Squat</v>
          </cell>
          <cell r="L37">
            <v>1</v>
          </cell>
          <cell r="Q37" t="str">
            <v>Fig 4 ER&amp;IR Hip Stretch w/ Wall</v>
          </cell>
          <cell r="Z37" t="str">
            <v/>
          </cell>
          <cell r="AT37" t="str">
            <v>PrePower</v>
          </cell>
        </row>
        <row r="38">
          <cell r="J38" t="str">
            <v>180 Rev. Drop Landing</v>
          </cell>
          <cell r="L38">
            <v>1</v>
          </cell>
          <cell r="Q38" t="str">
            <v>Double 90-90 Stretch</v>
          </cell>
          <cell r="AT38" t="str">
            <v>Shoulders</v>
          </cell>
        </row>
        <row r="39">
          <cell r="J39" t="str">
            <v>180 Rev. Drop Landing to Squat</v>
          </cell>
          <cell r="L39">
            <v>1</v>
          </cell>
          <cell r="Q39" t="str">
            <v>Double 90-90 Stretch w/ plate</v>
          </cell>
          <cell r="AT39" t="str">
            <v>Spine</v>
          </cell>
        </row>
        <row r="40">
          <cell r="J40" t="str">
            <v>4-way 180 Drop Landing</v>
          </cell>
          <cell r="L40">
            <v>4</v>
          </cell>
          <cell r="Q40" t="str">
            <v>Double 90-90 Stretch w/ rotation</v>
          </cell>
          <cell r="W40" t="str">
            <v>Prehab 1</v>
          </cell>
          <cell r="X40" t="str">
            <v>General Moguls Prehab</v>
          </cell>
          <cell r="Y40" t="str">
            <v>Step Back Lunge off box + Rot. w/ MB</v>
          </cell>
          <cell r="Z40" t="str">
            <v>6" box, Hug MB, rotate over front leg, exhale</v>
          </cell>
          <cell r="AA40" t="str">
            <v>6/s</v>
          </cell>
          <cell r="AB40">
            <v>6</v>
          </cell>
          <cell r="AC40">
            <v>6</v>
          </cell>
          <cell r="AD40">
            <v>7</v>
          </cell>
          <cell r="AE40">
            <v>7</v>
          </cell>
          <cell r="AF40">
            <v>7</v>
          </cell>
          <cell r="AG40">
            <v>8</v>
          </cell>
          <cell r="AH40">
            <v>8</v>
          </cell>
          <cell r="AI40">
            <v>8</v>
          </cell>
          <cell r="AJ40">
            <v>8</v>
          </cell>
          <cell r="AT40" t="str">
            <v>Lunges</v>
          </cell>
        </row>
        <row r="41">
          <cell r="J41" t="str">
            <v>4-way 180 Drop Landing to Squat</v>
          </cell>
          <cell r="L41">
            <v>4</v>
          </cell>
          <cell r="Q41" t="str">
            <v>Double 90-90 Stretch w/ rotation and row</v>
          </cell>
          <cell r="Y41" t="str">
            <v>Bench Glute Bridge + DB Pullover</v>
          </cell>
          <cell r="Z41" t="str">
            <v>Hips high, rib cage down, exhale</v>
          </cell>
          <cell r="AA41">
            <v>8</v>
          </cell>
          <cell r="AB41">
            <v>8</v>
          </cell>
          <cell r="AC41">
            <v>8</v>
          </cell>
          <cell r="AD41">
            <v>8</v>
          </cell>
          <cell r="AE41">
            <v>8</v>
          </cell>
          <cell r="AF41">
            <v>8</v>
          </cell>
          <cell r="AG41">
            <v>8</v>
          </cell>
          <cell r="AH41">
            <v>8</v>
          </cell>
          <cell r="AI41">
            <v>8</v>
          </cell>
          <cell r="AJ41">
            <v>8</v>
          </cell>
          <cell r="AT41" t="str">
            <v>Squats</v>
          </cell>
        </row>
        <row r="42">
          <cell r="J42" t="str">
            <v>Drop Landing w/ Lateral Resistance</v>
          </cell>
          <cell r="L42">
            <v>2</v>
          </cell>
          <cell r="Q42" t="str">
            <v>Hip 90-90 + IR/ER</v>
          </cell>
          <cell r="Y42" t="str">
            <v>Seated Dorsiflexion w/ band</v>
          </cell>
          <cell r="Z42" t="str">
            <v>foam roller under calf</v>
          </cell>
          <cell r="AA42" t="str">
            <v>15/s</v>
          </cell>
          <cell r="AB42">
            <v>15</v>
          </cell>
          <cell r="AC42">
            <v>15</v>
          </cell>
          <cell r="AD42">
            <v>15</v>
          </cell>
          <cell r="AE42">
            <v>15</v>
          </cell>
          <cell r="AF42">
            <v>20</v>
          </cell>
          <cell r="AG42">
            <v>20</v>
          </cell>
          <cell r="AH42">
            <v>20</v>
          </cell>
          <cell r="AI42">
            <v>20</v>
          </cell>
          <cell r="AJ42">
            <v>20</v>
          </cell>
          <cell r="AT42" t="str">
            <v>Gymnastics</v>
          </cell>
        </row>
        <row r="43">
          <cell r="W43" t="str">
            <v>Prehab 2</v>
          </cell>
          <cell r="X43" t="str">
            <v>Moguls Prehab</v>
          </cell>
          <cell r="Y43" t="str">
            <v>SL Mini Tramp 3 hops + stick</v>
          </cell>
          <cell r="Z43" t="str">
            <v>foot/knee/hip alignment</v>
          </cell>
          <cell r="AA43" t="str">
            <v>5/s</v>
          </cell>
          <cell r="AB43">
            <v>5</v>
          </cell>
          <cell r="AC43">
            <v>5</v>
          </cell>
          <cell r="AD43">
            <v>5</v>
          </cell>
          <cell r="AE43">
            <v>5</v>
          </cell>
          <cell r="AF43">
            <v>5</v>
          </cell>
          <cell r="AG43">
            <v>5</v>
          </cell>
          <cell r="AH43">
            <v>5</v>
          </cell>
          <cell r="AI43">
            <v>5</v>
          </cell>
          <cell r="AJ43">
            <v>5</v>
          </cell>
          <cell r="AT43" t="str">
            <v>Skills</v>
          </cell>
        </row>
        <row r="44">
          <cell r="Q44" t="str">
            <v>Alt. Double 90-90 Stretch + Ext.</v>
          </cell>
          <cell r="Y44" t="str">
            <v>1/2 Kneel T-Spine Rot - Wall&amp; KB</v>
          </cell>
          <cell r="Z44" t="str">
            <v>Push hand into wall, lower body solid, exhale</v>
          </cell>
          <cell r="AA44" t="str">
            <v>8/s</v>
          </cell>
          <cell r="AB44">
            <v>8</v>
          </cell>
          <cell r="AC44">
            <v>8</v>
          </cell>
          <cell r="AD44">
            <v>8</v>
          </cell>
          <cell r="AE44">
            <v>8</v>
          </cell>
          <cell r="AF44">
            <v>8</v>
          </cell>
          <cell r="AG44">
            <v>8</v>
          </cell>
          <cell r="AH44">
            <v>8</v>
          </cell>
          <cell r="AI44">
            <v>8</v>
          </cell>
          <cell r="AJ44">
            <v>8</v>
          </cell>
          <cell r="AT44" t="str">
            <v>F-Marc</v>
          </cell>
        </row>
        <row r="45">
          <cell r="J45" t="str">
            <v>DROP JUMPS</v>
          </cell>
          <cell r="Q45" t="str">
            <v>Pigeon</v>
          </cell>
          <cell r="Y45" t="str">
            <v>ISO Neck Holds - 3 ways</v>
          </cell>
          <cell r="Z45" t="str">
            <v>focus on head position, not load</v>
          </cell>
          <cell r="AA45" t="str">
            <v>:15</v>
          </cell>
          <cell r="AB45" t="str">
            <v>:15</v>
          </cell>
          <cell r="AC45" t="str">
            <v>:20</v>
          </cell>
          <cell r="AD45" t="str">
            <v>:20</v>
          </cell>
          <cell r="AE45" t="str">
            <v>:25</v>
          </cell>
          <cell r="AF45" t="str">
            <v>:25</v>
          </cell>
          <cell r="AG45" t="str">
            <v>:30</v>
          </cell>
          <cell r="AH45" t="str">
            <v>:30</v>
          </cell>
          <cell r="AI45" t="str">
            <v>:30</v>
          </cell>
          <cell r="AJ45" t="str">
            <v>:30</v>
          </cell>
          <cell r="AT45" t="str">
            <v>Hurdles</v>
          </cell>
        </row>
        <row r="46">
          <cell r="J46" t="str">
            <v>Drop Jump (12) to Box</v>
          </cell>
          <cell r="K46">
            <v>0.4</v>
          </cell>
          <cell r="L46">
            <v>2</v>
          </cell>
          <cell r="Q46" t="str">
            <v>Pigeon w/ lateral band distraction</v>
          </cell>
          <cell r="AT46" t="str">
            <v>SquatHipOpener</v>
          </cell>
        </row>
        <row r="47">
          <cell r="J47" t="str">
            <v>Drop Jump (12)</v>
          </cell>
          <cell r="K47">
            <v>0.5</v>
          </cell>
          <cell r="L47">
            <v>2</v>
          </cell>
          <cell r="Q47" t="str">
            <v>Frog Stretch</v>
          </cell>
          <cell r="AT47" t="str">
            <v>PrePower1</v>
          </cell>
        </row>
        <row r="48">
          <cell r="J48" t="str">
            <v>Drop Jump (15) to Box</v>
          </cell>
          <cell r="K48">
            <v>0.45</v>
          </cell>
          <cell r="L48">
            <v>2</v>
          </cell>
          <cell r="Q48" t="str">
            <v>Frog Stretch + Left Rotation &amp; Reach</v>
          </cell>
          <cell r="AT48" t="str">
            <v>Circuit 2</v>
          </cell>
        </row>
        <row r="49">
          <cell r="J49" t="str">
            <v>Drop Jump (15)</v>
          </cell>
          <cell r="K49">
            <v>0.55000000000000004</v>
          </cell>
          <cell r="L49">
            <v>2</v>
          </cell>
          <cell r="Q49" t="str">
            <v>Frog Stretch + Right Rotation &amp; Reach</v>
          </cell>
          <cell r="Z49" t="str">
            <v/>
          </cell>
        </row>
        <row r="50">
          <cell r="J50" t="str">
            <v>Drop Jump (18) to Box</v>
          </cell>
          <cell r="K50">
            <v>0.5</v>
          </cell>
          <cell r="L50">
            <v>2</v>
          </cell>
          <cell r="Q50" t="str">
            <v>Frog Stretch + Alt Rotation &amp; Reach</v>
          </cell>
        </row>
        <row r="51">
          <cell r="J51" t="str">
            <v>Drop Jump (18)</v>
          </cell>
          <cell r="K51">
            <v>0.6</v>
          </cell>
          <cell r="L51">
            <v>2</v>
          </cell>
          <cell r="Q51" t="str">
            <v>"RLESS" w/ knee support &amp; Rot.</v>
          </cell>
        </row>
        <row r="52">
          <cell r="J52" t="str">
            <v>Drop Jump (21) to Box</v>
          </cell>
          <cell r="K52">
            <v>0.55000000000000004</v>
          </cell>
          <cell r="L52">
            <v>2</v>
          </cell>
          <cell r="Q52" t="str">
            <v>Thomas Stretch</v>
          </cell>
        </row>
        <row r="53">
          <cell r="J53" t="str">
            <v>Drop Jump (21)</v>
          </cell>
          <cell r="K53">
            <v>0.65</v>
          </cell>
          <cell r="L53">
            <v>2</v>
          </cell>
          <cell r="Q53" t="str">
            <v>Thomas Stretch + Top Knee Ext.</v>
          </cell>
        </row>
        <row r="54">
          <cell r="J54" t="str">
            <v>Drop Jump (24) to Box</v>
          </cell>
          <cell r="K54">
            <v>0.6</v>
          </cell>
          <cell r="L54">
            <v>2</v>
          </cell>
          <cell r="Q54" t="str">
            <v>Thomas Stretch w/ KB ECC Ext.</v>
          </cell>
        </row>
        <row r="55">
          <cell r="J55" t="str">
            <v>Drop Jump (24)</v>
          </cell>
          <cell r="K55">
            <v>0.7</v>
          </cell>
          <cell r="L55">
            <v>2</v>
          </cell>
          <cell r="Q55" t="str">
            <v>Standing Hip Flexor Stretch w/ Box</v>
          </cell>
          <cell r="Z55" t="str">
            <v/>
          </cell>
        </row>
        <row r="56">
          <cell r="J56" t="str">
            <v>Lateral Drop Jump to Box</v>
          </cell>
          <cell r="K56">
            <v>0.6</v>
          </cell>
          <cell r="L56">
            <v>2</v>
          </cell>
          <cell r="Q56" t="str">
            <v>Hip PAILS/RAILS - 90-90</v>
          </cell>
        </row>
        <row r="57">
          <cell r="J57" t="str">
            <v>Quick Lateral Drop Jump b/w 2 boxes</v>
          </cell>
          <cell r="Q57" t="str">
            <v>Hamstring PNF</v>
          </cell>
        </row>
        <row r="58">
          <cell r="Q58" t="str">
            <v>Hamstring Floss w/ post. Distraction</v>
          </cell>
        </row>
        <row r="59">
          <cell r="J59" t="str">
            <v>COMBO</v>
          </cell>
          <cell r="Q59" t="str">
            <v>1/2 Kneeling slides - Hamstring &amp; Goalie</v>
          </cell>
        </row>
        <row r="60">
          <cell r="J60" t="str">
            <v>Squat Pause Box Jump + Rev. Drop Landing</v>
          </cell>
          <cell r="K60">
            <v>0.6</v>
          </cell>
          <cell r="L60">
            <v>2</v>
          </cell>
        </row>
        <row r="61">
          <cell r="J61" t="str">
            <v>Squat Pause hurdle jump to box</v>
          </cell>
          <cell r="K61">
            <v>0.5</v>
          </cell>
          <cell r="L61">
            <v>2</v>
          </cell>
          <cell r="Q61" t="str">
            <v>Seated Hip Add. &amp; IR</v>
          </cell>
          <cell r="Z61" t="str">
            <v/>
          </cell>
        </row>
        <row r="62">
          <cell r="J62" t="str">
            <v>Squat Pause 3 &lt; Hurdles to Box</v>
          </cell>
          <cell r="K62">
            <v>0.5</v>
          </cell>
          <cell r="L62">
            <v>5</v>
          </cell>
          <cell r="Q62" t="str">
            <v>SL Seated Hip Add. &amp; IR</v>
          </cell>
        </row>
        <row r="63">
          <cell r="J63" t="str">
            <v>Box Jump (High) + Drop Landing (Med.)</v>
          </cell>
          <cell r="K63">
            <v>0.75</v>
          </cell>
          <cell r="L63">
            <v>2</v>
          </cell>
          <cell r="Q63" t="str">
            <v>All Fours - SL Hip IR</v>
          </cell>
        </row>
        <row r="64">
          <cell r="J64" t="str">
            <v>CMJ Box Jump + Rev. Drop Landing</v>
          </cell>
          <cell r="K64">
            <v>0.75</v>
          </cell>
          <cell r="L64">
            <v>2</v>
          </cell>
          <cell r="Q64" t="str">
            <v>Standing Hip IR w/band</v>
          </cell>
        </row>
        <row r="65">
          <cell r="J65" t="str">
            <v>CMJ to Box + Lateral Landing (18)</v>
          </cell>
          <cell r="K65">
            <v>0.6</v>
          </cell>
          <cell r="L65">
            <v>2</v>
          </cell>
          <cell r="Q65" t="str">
            <v>Standing Hip IR w/ cable pull</v>
          </cell>
        </row>
        <row r="66">
          <cell r="J66" t="str">
            <v>3 mini-hurdle hops + Up to High Box</v>
          </cell>
          <cell r="K66">
            <v>0.4</v>
          </cell>
          <cell r="L66">
            <v>4</v>
          </cell>
        </row>
        <row r="67">
          <cell r="J67" t="str">
            <v>4 mini-hurdle hops + Up to High Box</v>
          </cell>
          <cell r="K67">
            <v>0.4</v>
          </cell>
          <cell r="L67">
            <v>5</v>
          </cell>
          <cell r="Q67" t="str">
            <v>GLUTE/HIP ACTIVATION</v>
          </cell>
        </row>
        <row r="68">
          <cell r="J68" t="str">
            <v>Lateral Hurdle Hop + Up to Box</v>
          </cell>
        </row>
        <row r="69">
          <cell r="J69" t="str">
            <v>4 Lateral Hurdle Hop + Up to Box</v>
          </cell>
        </row>
        <row r="70">
          <cell r="J70" t="str">
            <v>6 Lateral Hurdle Hop + Up to Box</v>
          </cell>
          <cell r="Q70" t="str">
            <v>45-deg Toe Taps w/ mini band</v>
          </cell>
        </row>
        <row r="71">
          <cell r="J71" t="str">
            <v>Drop Jump (15) + High Hurdle to Box (30)</v>
          </cell>
          <cell r="K71">
            <v>0.6</v>
          </cell>
          <cell r="L71">
            <v>2</v>
          </cell>
          <cell r="Q71" t="str">
            <v>Lateral Toe Taps</v>
          </cell>
        </row>
        <row r="72">
          <cell r="J72" t="str">
            <v>90 Drop Jump (15) + High Hurdle to Box (30)</v>
          </cell>
          <cell r="K72">
            <v>0.65</v>
          </cell>
          <cell r="L72">
            <v>2</v>
          </cell>
          <cell r="Q72" t="str">
            <v>3-way Toe Taps</v>
          </cell>
        </row>
        <row r="73">
          <cell r="J73" t="str">
            <v>90 Drop Jump (18) + High Hurdle to Box (30)</v>
          </cell>
          <cell r="K73">
            <v>0.7</v>
          </cell>
          <cell r="L73">
            <v>2</v>
          </cell>
          <cell r="Q73" t="str">
            <v>3-way Toe Taps + Plate Hold</v>
          </cell>
        </row>
        <row r="74">
          <cell r="J74" t="str">
            <v>Drop Jump (12) + 2 Hurdles to Box</v>
          </cell>
          <cell r="K74">
            <v>0.55000000000000004</v>
          </cell>
          <cell r="L74">
            <v>3</v>
          </cell>
          <cell r="Q74" t="str">
            <v>Glute Med Lateral Leans</v>
          </cell>
        </row>
        <row r="75">
          <cell r="J75" t="str">
            <v>Drop Jump (18) + 2 Hurdles to Box</v>
          </cell>
          <cell r="K75">
            <v>0.6</v>
          </cell>
          <cell r="L75">
            <v>3</v>
          </cell>
          <cell r="Q75" t="str">
            <v>Straight Leg Hip Abduction w/ mini band</v>
          </cell>
        </row>
        <row r="76">
          <cell r="J76" t="str">
            <v>Drop Jump (21) + 2 Hurdles to Box</v>
          </cell>
          <cell r="K76">
            <v>0.65</v>
          </cell>
          <cell r="L76">
            <v>3</v>
          </cell>
          <cell r="Q76" t="str">
            <v>Clamshell</v>
          </cell>
        </row>
        <row r="77">
          <cell r="J77" t="str">
            <v>Drop Jump (24) + 2 Hurdles to Box</v>
          </cell>
          <cell r="K77">
            <v>0.7</v>
          </cell>
          <cell r="L77">
            <v>3</v>
          </cell>
          <cell r="Q77" t="str">
            <v>Iso Clamshell</v>
          </cell>
        </row>
        <row r="78">
          <cell r="J78" t="str">
            <v>Squat Pause Box Jump + Lateral Drop Jump to Box</v>
          </cell>
          <cell r="Q78" t="str">
            <v>Knee Side Plank</v>
          </cell>
        </row>
        <row r="79">
          <cell r="Q79" t="str">
            <v>SL Knee Side Plank</v>
          </cell>
          <cell r="BX79" t="str">
            <v>Back Squat</v>
          </cell>
        </row>
        <row r="80">
          <cell r="J80" t="str">
            <v>ROTATIONAL</v>
          </cell>
          <cell r="Q80" t="str">
            <v>Knee Side Plank w/ Clamshell</v>
          </cell>
          <cell r="BX80" t="str">
            <v>Front Squat</v>
          </cell>
        </row>
        <row r="81">
          <cell r="J81" t="str">
            <v>Box Jump (High) + 90 Rev. Drop Landing (24)</v>
          </cell>
          <cell r="Q81" t="str">
            <v>Knee Side Plank w/ Clamshell Hold</v>
          </cell>
          <cell r="BX81" t="str">
            <v>TB Deadlift</v>
          </cell>
        </row>
        <row r="82">
          <cell r="J82" t="str">
            <v>Drop Jump (18) to Box (36) + 90 Rev. Drop Landing (24)</v>
          </cell>
          <cell r="K82">
            <v>0.65</v>
          </cell>
          <cell r="L82">
            <v>2</v>
          </cell>
          <cell r="Q82" t="str">
            <v>Knee Side Plank + Clamshell w/ Band</v>
          </cell>
          <cell r="BX82" t="str">
            <v>Jump Squat</v>
          </cell>
        </row>
        <row r="83">
          <cell r="J83" t="str">
            <v>180 Drop Jump to Box</v>
          </cell>
          <cell r="Q83" t="str">
            <v>SL Knee Side Plank w/ Opp Leg Raise</v>
          </cell>
        </row>
        <row r="84">
          <cell r="J84" t="str">
            <v>180 Drop Jump (12) to Box</v>
          </cell>
          <cell r="K84">
            <v>0.65</v>
          </cell>
          <cell r="L84">
            <v>1</v>
          </cell>
          <cell r="Q84" t="str">
            <v>SL Knee Side Plank w/ Forward Reach</v>
          </cell>
        </row>
        <row r="85">
          <cell r="J85" t="str">
            <v>180 Drop Jump (18) to Box</v>
          </cell>
          <cell r="K85">
            <v>0.7</v>
          </cell>
          <cell r="L85">
            <v>1</v>
          </cell>
          <cell r="Q85" t="str">
            <v>SL Knee Side Plank w/ Opp Knee Touch</v>
          </cell>
        </row>
        <row r="86">
          <cell r="J86" t="str">
            <v>180 Drop Jump (21) to Box</v>
          </cell>
          <cell r="K86">
            <v>0.75</v>
          </cell>
          <cell r="L86">
            <v>1</v>
          </cell>
          <cell r="Q86" t="str">
            <v>Tall Knee Side Plank w/ Top Leg Raise &amp; Hold</v>
          </cell>
        </row>
        <row r="87">
          <cell r="J87" t="str">
            <v>180 Drop Jump (24) to Box</v>
          </cell>
          <cell r="K87">
            <v>0.8</v>
          </cell>
          <cell r="L87">
            <v>1</v>
          </cell>
          <cell r="Q87" t="str">
            <v>Tall Knee Side Plank w/ Top Leg Raise</v>
          </cell>
        </row>
        <row r="88">
          <cell r="J88" t="str">
            <v>180 Drop Jump + 2 Hurdles to Box</v>
          </cell>
          <cell r="K88">
            <v>0.6</v>
          </cell>
          <cell r="L88">
            <v>3</v>
          </cell>
          <cell r="Q88" t="str">
            <v>Iso Knee Side Plank w/ Partner push</v>
          </cell>
        </row>
        <row r="89">
          <cell r="J89" t="str">
            <v>180 Drop Jump (12) + 2 Hurdles to Box (30)</v>
          </cell>
          <cell r="K89">
            <v>0.6</v>
          </cell>
          <cell r="L89">
            <v>3</v>
          </cell>
          <cell r="Q89" t="str">
            <v>ECC Knee Side Plank w/ Partner push</v>
          </cell>
        </row>
        <row r="90">
          <cell r="J90" t="str">
            <v>180 Drop Jump (18) + 2 Hurdles to Box (24)</v>
          </cell>
          <cell r="K90">
            <v>0.65</v>
          </cell>
          <cell r="L90">
            <v>3</v>
          </cell>
          <cell r="Q90" t="str">
            <v>Fire Hydrant</v>
          </cell>
        </row>
        <row r="91">
          <cell r="J91" t="str">
            <v>180 Drop Jump (21) + 2 Hurdles to Box (30)</v>
          </cell>
          <cell r="K91">
            <v>0.75</v>
          </cell>
          <cell r="L91">
            <v>3</v>
          </cell>
          <cell r="Q91" t="str">
            <v>Iso Fire Hydrant</v>
          </cell>
        </row>
        <row r="92">
          <cell r="J92" t="str">
            <v>180 Drop Jump (21) + 2 Hurdles to Box (36)</v>
          </cell>
          <cell r="K92">
            <v>0.75</v>
          </cell>
          <cell r="L92">
            <v>3</v>
          </cell>
          <cell r="Q92" t="str">
            <v>Standing Fire Hydrant</v>
          </cell>
        </row>
        <row r="93">
          <cell r="J93" t="str">
            <v>180 Drop Jump (21) + 3 Hurdles to Box</v>
          </cell>
          <cell r="K93">
            <v>0.75</v>
          </cell>
          <cell r="L93">
            <v>4</v>
          </cell>
          <cell r="Q93" t="str">
            <v>Standing Iso Fire Hydrant</v>
          </cell>
        </row>
        <row r="94">
          <cell r="J94" t="str">
            <v>180 Drop Jump (12) + 1 hurdle to SL Landing</v>
          </cell>
          <cell r="K94">
            <v>0.65</v>
          </cell>
          <cell r="L94">
            <v>3</v>
          </cell>
          <cell r="Q94" t="str">
            <v>Fire Hydrant - Straight Leg</v>
          </cell>
        </row>
        <row r="95">
          <cell r="J95" t="str">
            <v>Squat Pause 90 Box Jump + Rebound</v>
          </cell>
          <cell r="K95">
            <v>0.55000000000000004</v>
          </cell>
          <cell r="L95">
            <v>1</v>
          </cell>
          <cell r="Q95" t="str">
            <v>Fire Hydrant + Hip Ext</v>
          </cell>
        </row>
        <row r="96">
          <cell r="J96" t="str">
            <v>Squat Pause Box Jump + 90 Lateral Rev. Landing (24)</v>
          </cell>
          <cell r="K96">
            <v>0.55000000000000004</v>
          </cell>
          <cell r="L96">
            <v>2</v>
          </cell>
          <cell r="Q96" t="str">
            <v>Goalie Position :02 Lift Off</v>
          </cell>
        </row>
        <row r="97">
          <cell r="J97" t="str">
            <v>Squat Pause Box Jump + 180 Lateral Landing (21)</v>
          </cell>
          <cell r="K97">
            <v>0.7</v>
          </cell>
          <cell r="L97">
            <v>2</v>
          </cell>
          <cell r="Q97" t="str">
            <v>Goalie Position :05 Lift Off</v>
          </cell>
        </row>
        <row r="98">
          <cell r="J98" t="str">
            <v>90-Deg CMJ Box Jump</v>
          </cell>
          <cell r="K98">
            <v>0.35</v>
          </cell>
          <cell r="L98">
            <v>1</v>
          </cell>
          <cell r="Q98" t="str">
            <v>Bird Dog Leg Extension</v>
          </cell>
        </row>
        <row r="99">
          <cell r="J99" t="str">
            <v>180 Reverse Box Jump + 180 Landing (Alternating)</v>
          </cell>
          <cell r="K99">
            <v>0.75</v>
          </cell>
          <cell r="L99">
            <v>2</v>
          </cell>
          <cell r="Q99" t="str">
            <v>Bird Dog Leg Extension - :05 Hold</v>
          </cell>
        </row>
        <row r="100">
          <cell r="J100" t="str">
            <v>Squat Pause 180 Box Jump + Rev. Drop Landing</v>
          </cell>
          <cell r="K100">
            <v>0.8</v>
          </cell>
          <cell r="L100">
            <v>2</v>
          </cell>
          <cell r="Q100" t="str">
            <v>Bird Dog Leg Extension - bent knee</v>
          </cell>
        </row>
        <row r="101">
          <cell r="J101" t="str">
            <v>Squat Pause 180 Box Jump + Rebound</v>
          </cell>
          <cell r="K101">
            <v>0.8</v>
          </cell>
          <cell r="L101">
            <v>2</v>
          </cell>
          <cell r="Q101" t="str">
            <v>RLESS w/ Cross Body Reach</v>
          </cell>
        </row>
        <row r="102">
          <cell r="J102" t="str">
            <v>Switch 180 to Box + Rev. Land + MB rot. Pass</v>
          </cell>
          <cell r="K102">
            <v>0.8</v>
          </cell>
          <cell r="L102">
            <v>2</v>
          </cell>
          <cell r="Q102" t="str">
            <v>RLESS w/ Contralateral Y</v>
          </cell>
        </row>
        <row r="103">
          <cell r="J103" t="str">
            <v>Switch Stance 180 Jump to Box</v>
          </cell>
          <cell r="K103">
            <v>0.3</v>
          </cell>
          <cell r="L103">
            <v>1</v>
          </cell>
          <cell r="Q103" t="str">
            <v>Chaos RLESS</v>
          </cell>
        </row>
        <row r="104">
          <cell r="J104" t="str">
            <v>Switch Stance 180 Jump to Box + Rev. Drop Landing</v>
          </cell>
          <cell r="K104">
            <v>0.8</v>
          </cell>
          <cell r="L104">
            <v>2</v>
          </cell>
          <cell r="Q104" t="str">
            <v>Split Squat w/ Foam Roller</v>
          </cell>
        </row>
        <row r="105">
          <cell r="J105" t="str">
            <v>Switch Stance 180 Tuck Jump</v>
          </cell>
          <cell r="K105">
            <v>0.6</v>
          </cell>
          <cell r="L105">
            <v>2</v>
          </cell>
          <cell r="Q105" t="str">
            <v>Split Squat w/ Anti-lateral Foam Roller</v>
          </cell>
        </row>
        <row r="106">
          <cell r="J106" t="str">
            <v>Switch Stance 180 Hurdle Hop to Box</v>
          </cell>
          <cell r="K106">
            <v>0.6</v>
          </cell>
          <cell r="L106">
            <v>2</v>
          </cell>
          <cell r="Q106" t="str">
            <v>Step Back Lunge w/ MB Rotation</v>
          </cell>
        </row>
        <row r="107">
          <cell r="J107" t="str">
            <v>Switch Stance 180 Hurdle Hop x2 to Box + 90-Rev Landing</v>
          </cell>
          <cell r="K107">
            <v>0.6</v>
          </cell>
          <cell r="L107">
            <v>4</v>
          </cell>
          <cell r="Q107" t="str">
            <v>Step Back Lunge w/ plate rotation</v>
          </cell>
        </row>
        <row r="108">
          <cell r="J108" t="str">
            <v>Switch Stance 180 Jump to Box + 1 MH to box</v>
          </cell>
          <cell r="K108">
            <v>0.6</v>
          </cell>
          <cell r="L108">
            <v>4</v>
          </cell>
          <cell r="Q108" t="str">
            <v>Lateral Split Squat</v>
          </cell>
        </row>
        <row r="109">
          <cell r="J109" t="str">
            <v>Switch Stance 180 to Box + 3 &lt; Hurdles to Box</v>
          </cell>
          <cell r="K109">
            <v>0.7</v>
          </cell>
          <cell r="L109">
            <v>6</v>
          </cell>
          <cell r="Q109" t="str">
            <v>Lateral Split Squat w/ rot.</v>
          </cell>
        </row>
        <row r="110">
          <cell r="J110" t="str">
            <v>Squat Pause 90 Box Jump + 90 to 1 MH to Box</v>
          </cell>
          <cell r="K110">
            <v>0.6</v>
          </cell>
          <cell r="L110">
            <v>4</v>
          </cell>
          <cell r="Q110" t="str">
            <v>Lateral Lunge</v>
          </cell>
        </row>
        <row r="111">
          <cell r="J111" t="str">
            <v>Squat Pause 90 Box Jump + 90 to 3&lt; Hurdles to Box</v>
          </cell>
          <cell r="K111">
            <v>0.7</v>
          </cell>
          <cell r="L111">
            <v>6</v>
          </cell>
          <cell r="Q111" t="str">
            <v>3-way Lunge + Stork</v>
          </cell>
        </row>
        <row r="112">
          <cell r="J112" t="str">
            <v>Squat Pause Box Jump + 180 Rebound to Squat</v>
          </cell>
          <cell r="K112">
            <v>0.5</v>
          </cell>
          <cell r="L112">
            <v>2</v>
          </cell>
          <cell r="Q112" t="str">
            <v>Transverse Lunge</v>
          </cell>
        </row>
        <row r="113">
          <cell r="J113" t="str">
            <v>Squat Pause Box Jump + 180 Lateral Landing (24)</v>
          </cell>
          <cell r="K113">
            <v>0.5</v>
          </cell>
          <cell r="L113">
            <v>2</v>
          </cell>
          <cell r="Q113" t="str">
            <v>Curtsey Lunge</v>
          </cell>
        </row>
        <row r="114">
          <cell r="J114" t="str">
            <v>CMJ Box Jump + 90 Lateral Rev. Landing</v>
          </cell>
          <cell r="K114">
            <v>0.5</v>
          </cell>
          <cell r="L114">
            <v>2</v>
          </cell>
          <cell r="Q114" t="str">
            <v>Curtsey Lunge w/ Slider</v>
          </cell>
        </row>
        <row r="115">
          <cell r="J115" t="str">
            <v>CMJ Box Jump + 180 Rebound to Squat</v>
          </cell>
          <cell r="K115">
            <v>0.5</v>
          </cell>
          <cell r="L115">
            <v>2</v>
          </cell>
          <cell r="Q115" t="str">
            <v>Around the Worlds w/ slider</v>
          </cell>
        </row>
        <row r="116">
          <cell r="J116" t="str">
            <v>CMJ Box Jump + 180 Lateral Landing (24)</v>
          </cell>
          <cell r="K116">
            <v>0.5</v>
          </cell>
          <cell r="L116">
            <v>2</v>
          </cell>
          <cell r="Q116" t="str">
            <v>Step Back Lunge w/ plate rotation</v>
          </cell>
        </row>
        <row r="117">
          <cell r="J117" t="str">
            <v>Squat Pause Box Jump (18) + 180 Drop Jump to Box</v>
          </cell>
          <cell r="K117">
            <v>0.7</v>
          </cell>
          <cell r="L117">
            <v>3</v>
          </cell>
        </row>
        <row r="118">
          <cell r="J118" t="str">
            <v>Squat Pause Box Jump (18) + 180 Drop Jump to Box + Lateral Landing</v>
          </cell>
          <cell r="K118">
            <v>0.7</v>
          </cell>
          <cell r="L118">
            <v>4</v>
          </cell>
          <cell r="Q118" t="str">
            <v>Glute Bridge</v>
          </cell>
        </row>
        <row r="119">
          <cell r="Q119" t="str">
            <v>Iso Glute Bridge</v>
          </cell>
        </row>
        <row r="120">
          <cell r="J120" t="str">
            <v>PLYO + MB</v>
          </cell>
          <cell r="Q120" t="str">
            <v>Glute Bridge w/ Mini Band</v>
          </cell>
        </row>
        <row r="121">
          <cell r="J121" t="str">
            <v>Squat Pause Box Jump + Rebound + MB Catch Rot. Pass</v>
          </cell>
          <cell r="K121">
            <v>0.3</v>
          </cell>
          <cell r="L121">
            <v>1</v>
          </cell>
          <cell r="Q121" t="str">
            <v>Glute Bridge w/ Mini Band + ABD</v>
          </cell>
        </row>
        <row r="122">
          <cell r="J122" t="str">
            <v>Rev. Drop Landing to Squat (18) + MB Catch &amp; Rot. Pass</v>
          </cell>
          <cell r="Q122" t="str">
            <v>Glute Bridge Taps</v>
          </cell>
        </row>
        <row r="123">
          <cell r="Q123" t="str">
            <v>Iso Glute Bridge + Alt. SL Knee Ext.</v>
          </cell>
        </row>
        <row r="124">
          <cell r="Q124" t="str">
            <v>Iso Glute Bridge + SL Knee Ext.</v>
          </cell>
        </row>
        <row r="125">
          <cell r="J125" t="str">
            <v>SINGLE LEG</v>
          </cell>
          <cell r="Q125" t="str">
            <v>Iso Glute Bridge + Alt. SL Hip Flex.</v>
          </cell>
        </row>
        <row r="126">
          <cell r="J126" t="str">
            <v>Single Leg Box Jump</v>
          </cell>
          <cell r="K126">
            <v>0.3</v>
          </cell>
          <cell r="L126">
            <v>2</v>
          </cell>
          <cell r="Q126" t="str">
            <v>Iso Glute Bridge + SL Hip Flex.</v>
          </cell>
        </row>
        <row r="127">
          <cell r="J127" t="str">
            <v>Alt. Split Stance Jump</v>
          </cell>
          <cell r="K127">
            <v>0.3</v>
          </cell>
          <cell r="L127">
            <v>1</v>
          </cell>
          <cell r="Q127" t="str">
            <v>SL Glute Bridge (opp. Knee bent)</v>
          </cell>
        </row>
        <row r="128">
          <cell r="J128" t="str">
            <v>Single Leg CMJ to 2-leg Landing</v>
          </cell>
          <cell r="K128">
            <v>0.3</v>
          </cell>
          <cell r="L128">
            <v>1</v>
          </cell>
          <cell r="Q128" t="str">
            <v>SL Glute Bridge (opp. leg straight)</v>
          </cell>
        </row>
        <row r="129">
          <cell r="J129" t="str">
            <v>3 Lateral SL Hops + SL Box Jump</v>
          </cell>
          <cell r="K129">
            <v>0.35</v>
          </cell>
          <cell r="L129">
            <v>8</v>
          </cell>
          <cell r="Q129" t="str">
            <v>SL Glute Bridge (opp. knee tucked)</v>
          </cell>
        </row>
        <row r="130">
          <cell r="J130" t="str">
            <v>Single Leg Box Jump + Landing (12)</v>
          </cell>
          <cell r="K130">
            <v>0.3</v>
          </cell>
          <cell r="L130">
            <v>4</v>
          </cell>
          <cell r="Q130" t="str">
            <v>SL Glute Bridge + opp. Knee bent &amp; ABD</v>
          </cell>
        </row>
        <row r="131">
          <cell r="J131" t="str">
            <v>Single Leg Box Jump + Landing (15)</v>
          </cell>
          <cell r="K131">
            <v>0.35</v>
          </cell>
          <cell r="L131">
            <v>4</v>
          </cell>
          <cell r="Q131" t="str">
            <v>SL Glute Bridge + Straight Leg Riase &amp; ABD</v>
          </cell>
        </row>
        <row r="132">
          <cell r="J132" t="str">
            <v>Single Leg Box Jump + Landing (18)</v>
          </cell>
          <cell r="K132">
            <v>0.4</v>
          </cell>
          <cell r="L132">
            <v>4</v>
          </cell>
          <cell r="Q132" t="str">
            <v>Elev. SL Glute Bridge (opp. Knee bent)</v>
          </cell>
        </row>
        <row r="133">
          <cell r="J133" t="str">
            <v>Single Leg Box Jump + Landing (21)</v>
          </cell>
          <cell r="K133">
            <v>0.45</v>
          </cell>
          <cell r="L133">
            <v>4</v>
          </cell>
          <cell r="Q133" t="str">
            <v>Elev. SL Glute Bridge (opp. leg straight)</v>
          </cell>
        </row>
        <row r="134">
          <cell r="J134" t="str">
            <v>Single Leg Box Jump + SL Lateral Landing (18)</v>
          </cell>
          <cell r="K134">
            <v>0.45</v>
          </cell>
          <cell r="L134">
            <v>4</v>
          </cell>
          <cell r="Q134" t="str">
            <v>SB Bridge (Feet) + Leg Raise (:03 hold)</v>
          </cell>
        </row>
        <row r="135">
          <cell r="J135" t="str">
            <v>SL 90-deg Box Jump w/ MB Rot. Countermove</v>
          </cell>
          <cell r="K135">
            <v>0.45</v>
          </cell>
          <cell r="L135">
            <v>2</v>
          </cell>
          <cell r="Q135" t="str">
            <v>Glute Bridge w/ Unilateral DB</v>
          </cell>
        </row>
        <row r="136">
          <cell r="J136" t="str">
            <v>SL Hop - 1 Hurdle + Up to Box + Landing</v>
          </cell>
          <cell r="K136">
            <v>0.4</v>
          </cell>
          <cell r="L136">
            <v>6</v>
          </cell>
          <cell r="Q136" t="str">
            <v>Glute Bridge + Cross Body Reach</v>
          </cell>
        </row>
        <row r="137">
          <cell r="J137" t="str">
            <v>SL Hop - 1 Hurdle + Up to Box (18) + Lateral Landing</v>
          </cell>
          <cell r="K137">
            <v>0.45</v>
          </cell>
          <cell r="L137">
            <v>6</v>
          </cell>
          <cell r="Q137" t="str">
            <v>Bench Glute Bridge + Paloff Press</v>
          </cell>
        </row>
        <row r="138">
          <cell r="J138" t="str">
            <v>3-Way SL Hop to Box w/ Rebound</v>
          </cell>
          <cell r="K138">
            <v>0.4</v>
          </cell>
          <cell r="L138">
            <v>4</v>
          </cell>
          <cell r="Q138" t="str">
            <v>Bench Glute Bridge + DB Pullover</v>
          </cell>
        </row>
        <row r="139">
          <cell r="J139" t="str">
            <v>3-Way SL Hop to Box w/ Rebound (Reaction)</v>
          </cell>
          <cell r="K139">
            <v>0.4</v>
          </cell>
          <cell r="L139">
            <v>4</v>
          </cell>
          <cell r="Q139" t="str">
            <v>Swiss Ball Glute Bridge + DB Pullover</v>
          </cell>
        </row>
        <row r="140">
          <cell r="J140" t="str">
            <v>2 MH Hop + 3-Way SL Hop to Box (18) w/ Rebound</v>
          </cell>
          <cell r="K140">
            <v>0.45</v>
          </cell>
          <cell r="L140">
            <v>8</v>
          </cell>
          <cell r="Q140" t="str">
            <v>SL Bench Glute Bridge + DB Pullover</v>
          </cell>
        </row>
        <row r="141">
          <cell r="J141" t="str">
            <v>2 MH Hop + 3-Way SL Hop to Box (Reaction)</v>
          </cell>
          <cell r="K141">
            <v>0.45</v>
          </cell>
          <cell r="L141">
            <v>8</v>
          </cell>
          <cell r="Q141" t="str">
            <v>Double Leg Hip Thrust</v>
          </cell>
        </row>
        <row r="142">
          <cell r="J142" t="str">
            <v>SL Lateral Landing + MB Slam &amp; Rot. Pass</v>
          </cell>
          <cell r="Q142" t="str">
            <v>Marching Hip Thrust</v>
          </cell>
        </row>
        <row r="143">
          <cell r="J143" t="str">
            <v>Band Assisted SL CMJ w/ Double Leg Landing</v>
          </cell>
          <cell r="Q143" t="str">
            <v>Marching Hip Thrust w/ Swiss Ball</v>
          </cell>
        </row>
        <row r="144">
          <cell r="Q144" t="str">
            <v>Single Leg Hip Thrust</v>
          </cell>
        </row>
        <row r="145">
          <cell r="J145" t="str">
            <v>SL 90 Hop to Box + 90 Landing (medial)</v>
          </cell>
          <cell r="K145">
            <v>0.3</v>
          </cell>
          <cell r="L145">
            <v>4</v>
          </cell>
          <cell r="Q145" t="str">
            <v>Stork</v>
          </cell>
        </row>
        <row r="146">
          <cell r="J146" t="str">
            <v>SL 90 Hop to Box + 90 Landing (lateral)</v>
          </cell>
          <cell r="K146">
            <v>0.3</v>
          </cell>
          <cell r="L146">
            <v>4</v>
          </cell>
          <cell r="Q146" t="str">
            <v>Stork w/ Swiss Ball</v>
          </cell>
        </row>
        <row r="147">
          <cell r="J147" t="str">
            <v>SL Hop &amp; Stick Circuit 6MH + 2 90 hop to box</v>
          </cell>
          <cell r="K147">
            <v>0.3</v>
          </cell>
          <cell r="L147">
            <v>20</v>
          </cell>
          <cell r="Q147" t="str">
            <v>Stork + Hip Extension</v>
          </cell>
        </row>
        <row r="148">
          <cell r="J148" t="str">
            <v xml:space="preserve">SL Hop &amp; Stick - 3 MH + 90 to box &amp; 90 landing </v>
          </cell>
          <cell r="K148">
            <v>0.3</v>
          </cell>
          <cell r="L148">
            <v>10</v>
          </cell>
          <cell r="Q148" t="str">
            <v>Stork March Facing Wall</v>
          </cell>
        </row>
        <row r="149">
          <cell r="Q149" t="str">
            <v>Knee Drive Facing wall w/ band</v>
          </cell>
        </row>
        <row r="150">
          <cell r="Q150" t="str">
            <v>Standing Hip Flexion w/ mini band</v>
          </cell>
        </row>
        <row r="151">
          <cell r="Q151" t="str">
            <v>Standing Hip Flexion w/ mini band + T-Spine Rot.</v>
          </cell>
        </row>
        <row r="152">
          <cell r="J152" t="str">
            <v>ECCENTRIC</v>
          </cell>
          <cell r="Q152" t="str">
            <v>Standing Hip Flex/Add/IR w/ mini band</v>
          </cell>
        </row>
        <row r="153">
          <cell r="J153" t="str">
            <v>ECC DB Loaded Box Jump</v>
          </cell>
          <cell r="K153">
            <v>0.5</v>
          </cell>
          <cell r="L153">
            <v>1</v>
          </cell>
          <cell r="Q153" t="str">
            <v>Supine Hip Flexion w/ mini band</v>
          </cell>
        </row>
        <row r="154">
          <cell r="J154" t="str">
            <v>SA ECC DB Loaded Box Jump</v>
          </cell>
          <cell r="K154">
            <v>0.5</v>
          </cell>
          <cell r="L154">
            <v>1</v>
          </cell>
          <cell r="Q154" t="str">
            <v>Bridge Hip Flexion w/ mini band</v>
          </cell>
        </row>
        <row r="155">
          <cell r="J155" t="str">
            <v>ECC DB Loaded Box Jump (First 1/2 w/ weight vest)</v>
          </cell>
          <cell r="K155">
            <v>0.6</v>
          </cell>
          <cell r="L155">
            <v>1</v>
          </cell>
          <cell r="Q155" t="str">
            <v>Standing Hip Flexor Activation (box)</v>
          </cell>
        </row>
        <row r="156">
          <cell r="Q156" t="str">
            <v>Standing Hip Flexor Isometrics</v>
          </cell>
        </row>
        <row r="157">
          <cell r="J157" t="str">
            <v>ACCELERATED</v>
          </cell>
          <cell r="Q157" t="str">
            <v>High Knee March w/ MB OH</v>
          </cell>
        </row>
        <row r="158">
          <cell r="J158" t="str">
            <v>Band Accelerated CMJ</v>
          </cell>
          <cell r="Q158" t="str">
            <v>Quad Lean Backs</v>
          </cell>
        </row>
        <row r="159">
          <cell r="J159" t="str">
            <v>Band Accelerated CMJ - Repeated</v>
          </cell>
          <cell r="Q159" t="str">
            <v>Pike Straight Leg Raise</v>
          </cell>
        </row>
        <row r="160">
          <cell r="J160" t="str">
            <v>Band Accelerated Pogos</v>
          </cell>
          <cell r="Q160" t="str">
            <v>Pike Straight Leg Raise + Mini Hurdle</v>
          </cell>
        </row>
        <row r="161">
          <cell r="Q161" t="str">
            <v>1/2 Kneel 1" Lift Offs</v>
          </cell>
        </row>
        <row r="162">
          <cell r="J162" t="str">
            <v>Band Accelerated Alt. Step Up Jumps</v>
          </cell>
          <cell r="Q162" t="str">
            <v>OH Squat (3:1:1)</v>
          </cell>
        </row>
        <row r="163">
          <cell r="J163" t="str">
            <v>Band Accelerated Step Up Jumps</v>
          </cell>
          <cell r="Q163" t="str">
            <v>Sit to Squat</v>
          </cell>
        </row>
        <row r="164">
          <cell r="J164" t="str">
            <v>Band Accelerated Alt. Lateral Step Up Jumps</v>
          </cell>
          <cell r="Q164" t="str">
            <v>Sit to Squat w/ KB Goblet</v>
          </cell>
        </row>
        <row r="165">
          <cell r="Q165" t="str">
            <v>Sit to Squat w/ KB Forward Press</v>
          </cell>
        </row>
        <row r="167">
          <cell r="J167" t="str">
            <v>POSTURE</v>
          </cell>
          <cell r="Q167" t="str">
            <v>SL SQUAT</v>
          </cell>
        </row>
        <row r="168">
          <cell r="J168" t="str">
            <v>Drop Landing w/ plate</v>
          </cell>
        </row>
        <row r="169">
          <cell r="J169" t="str">
            <v>Rev. Drop Landing w/ plate</v>
          </cell>
          <cell r="Q169" t="str">
            <v>ECC SL Squat</v>
          </cell>
        </row>
        <row r="170">
          <cell r="J170" t="str">
            <v>Drop Landing + MB Drop Catch</v>
          </cell>
          <cell r="Q170" t="str">
            <v>Single Leg Squat</v>
          </cell>
        </row>
        <row r="171">
          <cell r="J171" t="str">
            <v>Rev. Drop Landing + MB Drop Catch</v>
          </cell>
          <cell r="Q171" t="str">
            <v>SL Squat w. band to wall</v>
          </cell>
        </row>
        <row r="172">
          <cell r="J172" t="str">
            <v>Drop Landing + MB Slam</v>
          </cell>
          <cell r="Q172" t="str">
            <v>SL Squat w/ lateral distraction</v>
          </cell>
        </row>
        <row r="173">
          <cell r="J173" t="str">
            <v>Rev. Drop Landing + MB Slam</v>
          </cell>
          <cell r="Q173" t="str">
            <v>SL Squat w/ posterior distraction</v>
          </cell>
        </row>
        <row r="174">
          <cell r="J174" t="str">
            <v>Rev. Drop Landing + SL MB Slam</v>
          </cell>
          <cell r="Q174" t="str">
            <v>SL Squat w/ medial band pull</v>
          </cell>
        </row>
        <row r="175">
          <cell r="J175" t="str">
            <v>Rev. Drop Landing (12) + Rev. OH Throw</v>
          </cell>
          <cell r="K175">
            <v>0.5</v>
          </cell>
          <cell r="L175">
            <v>1</v>
          </cell>
          <cell r="Q175" t="str">
            <v>SL Posterior Step Down</v>
          </cell>
        </row>
        <row r="176">
          <cell r="Q176" t="str">
            <v>SL Lateral Step Down</v>
          </cell>
        </row>
        <row r="177">
          <cell r="J177" t="str">
            <v>DL HOPS</v>
          </cell>
          <cell r="Q177" t="str">
            <v>SL Anterior Step Down</v>
          </cell>
        </row>
        <row r="178">
          <cell r="J178" t="str">
            <v>Forwards DL Hop &amp; Stick</v>
          </cell>
          <cell r="Q178" t="str">
            <v>SL 3-way Step Down</v>
          </cell>
        </row>
        <row r="179">
          <cell r="J179" t="str">
            <v>Forwards DL Hop &amp; Stick - 6 mini hurdles</v>
          </cell>
          <cell r="K179">
            <v>0.2</v>
          </cell>
          <cell r="L179">
            <v>6</v>
          </cell>
          <cell r="Q179" t="str">
            <v>SL Squat + triple-ext (wall support)</v>
          </cell>
        </row>
        <row r="180">
          <cell r="J180" t="str">
            <v>Forwards DL Quick Hops - 6 mini hurdles</v>
          </cell>
          <cell r="K180">
            <v>0.3</v>
          </cell>
          <cell r="L180">
            <v>6</v>
          </cell>
          <cell r="Q180" t="str">
            <v>Anti-Sliding Split Squat w/ Goblet</v>
          </cell>
        </row>
        <row r="181">
          <cell r="J181" t="str">
            <v>Band Assisted CMJ</v>
          </cell>
          <cell r="K181">
            <v>0.3</v>
          </cell>
          <cell r="L181">
            <v>1</v>
          </cell>
        </row>
        <row r="182">
          <cell r="J182" t="str">
            <v>MH Hop and Stick + Lateral Hop to Bosu</v>
          </cell>
        </row>
        <row r="183">
          <cell r="J183" t="str">
            <v>Backwards DL Hop &amp; Stick</v>
          </cell>
          <cell r="Q183" t="str">
            <v>HAMSTRINGS</v>
          </cell>
        </row>
        <row r="184">
          <cell r="J184" t="str">
            <v>Lateral DL Hop &amp; Stick</v>
          </cell>
        </row>
        <row r="185">
          <cell r="J185" t="str">
            <v>ZigZag DL Hop &amp; Stick</v>
          </cell>
          <cell r="Q185" t="str">
            <v>SL RDL</v>
          </cell>
        </row>
        <row r="186">
          <cell r="J186" t="str">
            <v>Forwards DL Hop</v>
          </cell>
          <cell r="Q186" t="str">
            <v>SL RDL w/ OH Reach</v>
          </cell>
        </row>
        <row r="187">
          <cell r="J187" t="str">
            <v>Backwards DL Hop</v>
          </cell>
          <cell r="Q187" t="str">
            <v>SL RDL w/ Opp Hand KB + Post. Band Pull</v>
          </cell>
        </row>
        <row r="188">
          <cell r="J188" t="str">
            <v>Lateral DL Hop</v>
          </cell>
          <cell r="Q188" t="str">
            <v>SL RDL w/ KB Hand Switch</v>
          </cell>
        </row>
        <row r="189">
          <cell r="J189" t="str">
            <v>Triple Broad Jump</v>
          </cell>
          <cell r="Q189" t="str">
            <v>SL RDL w/ Cable Row</v>
          </cell>
        </row>
        <row r="190">
          <cell r="J190" t="str">
            <v>Quadruple Broad Jump</v>
          </cell>
          <cell r="Q190" t="str">
            <v>ISO SL RDL w/ band Row</v>
          </cell>
        </row>
        <row r="191">
          <cell r="J191" t="str">
            <v>Lateral DL Hop over 6" mini hurdle</v>
          </cell>
          <cell r="Q191" t="str">
            <v>Hip Airplane - back foot down</v>
          </cell>
        </row>
        <row r="192">
          <cell r="J192" t="str">
            <v>Lateral DL Hop over bench</v>
          </cell>
          <cell r="Q192" t="str">
            <v>SL RDL + Rotation</v>
          </cell>
        </row>
        <row r="193">
          <cell r="J193" t="str">
            <v>ZigZag DL Hop</v>
          </cell>
          <cell r="Q193" t="str">
            <v>SL RDL - Airplane + Rotation</v>
          </cell>
        </row>
        <row r="194">
          <cell r="J194" t="str">
            <v>Forward + Lateral Hop</v>
          </cell>
          <cell r="Q194" t="str">
            <v>SL RDL + Rotation (medial band)</v>
          </cell>
        </row>
        <row r="195">
          <cell r="J195" t="str">
            <v>6" Hurdle Hops (F/B/L)</v>
          </cell>
          <cell r="Q195" t="str">
            <v>SL RDL + Rotaion Hold</v>
          </cell>
        </row>
        <row r="196">
          <cell r="Q196" t="str">
            <v>SL RDL w/ weight (eyes closed)</v>
          </cell>
        </row>
        <row r="197">
          <cell r="J197" t="str">
            <v>SL HOPS</v>
          </cell>
          <cell r="Q197" t="str">
            <v>SL RDL + MB Chest Pass Top &amp; Bottom</v>
          </cell>
        </row>
        <row r="198">
          <cell r="J198" t="str">
            <v>SL Hop &amp; Stick - Orange Hurdles</v>
          </cell>
          <cell r="K198">
            <v>0.2</v>
          </cell>
          <cell r="Q198" t="str">
            <v>Iso RDL w/ band</v>
          </cell>
        </row>
        <row r="199">
          <cell r="J199" t="str">
            <v>SL Hop &amp; Stick - Green Hurdles</v>
          </cell>
          <cell r="K199">
            <v>0.3</v>
          </cell>
          <cell r="L199">
            <v>2</v>
          </cell>
          <cell r="Q199" t="str">
            <v>Swiss Ball Hamstring Curl</v>
          </cell>
        </row>
        <row r="200">
          <cell r="J200" t="str">
            <v>Forwards SL Hop &amp; Stick - 6 mini hurdles</v>
          </cell>
          <cell r="K200">
            <v>0.3</v>
          </cell>
          <cell r="L200">
            <v>12</v>
          </cell>
          <cell r="Q200" t="str">
            <v>SL Ham Curl + Bridge</v>
          </cell>
        </row>
        <row r="201">
          <cell r="J201" t="str">
            <v>SL Hop and Stick Circuit</v>
          </cell>
          <cell r="K201">
            <v>0.3</v>
          </cell>
          <cell r="L201">
            <v>2</v>
          </cell>
          <cell r="Q201" t="str">
            <v>SL Ham Curl + Bridge + Curl Out</v>
          </cell>
        </row>
        <row r="202">
          <cell r="J202" t="str">
            <v>SL Hop &amp; Stick circuit - 8 Landings</v>
          </cell>
          <cell r="K202">
            <v>0.3</v>
          </cell>
          <cell r="L202">
            <v>16</v>
          </cell>
          <cell r="Q202" t="str">
            <v>SL Hamstring Curl w/ Slider</v>
          </cell>
        </row>
        <row r="203">
          <cell r="J203" t="str">
            <v>SL Hop &amp; Stick - 6 Hurdles + Forward MB Catch &amp; Rot. Pass</v>
          </cell>
          <cell r="K203">
            <v>0.55000000000000004</v>
          </cell>
          <cell r="L203">
            <v>12</v>
          </cell>
          <cell r="Q203" t="str">
            <v>Good Morning w/ band</v>
          </cell>
        </row>
        <row r="204">
          <cell r="J204" t="str">
            <v>SL F/L/M Hop &amp; Stick circuit - 8 Landings</v>
          </cell>
          <cell r="K204">
            <v>0.35</v>
          </cell>
          <cell r="L204">
            <v>16</v>
          </cell>
          <cell r="Q204" t="str">
            <v>1/2 Kneel Rear Hamstring :03 Lift Offs</v>
          </cell>
        </row>
        <row r="205">
          <cell r="J205" t="str">
            <v>Backwards SL Hop &amp; Stick</v>
          </cell>
          <cell r="Q205" t="str">
            <v>Lying Hamstring Stretch w/ Dural Slider</v>
          </cell>
        </row>
        <row r="206">
          <cell r="J206" t="str">
            <v>Lateral SL Hop &amp; Stick</v>
          </cell>
          <cell r="Q206" t="str">
            <v>Alt SL Straight Leg Bridge (:02 hold)</v>
          </cell>
        </row>
        <row r="207">
          <cell r="J207" t="str">
            <v>ZigZag SL Hop &amp; Stick</v>
          </cell>
          <cell r="Q207" t="str">
            <v>SL Hamstring Bridge Ups</v>
          </cell>
        </row>
        <row r="208">
          <cell r="J208" t="str">
            <v>Forwards SL Dynamic Hop</v>
          </cell>
          <cell r="Q208" t="str">
            <v>1/2 Kneel Forward Hamstring Slide</v>
          </cell>
        </row>
        <row r="209">
          <cell r="J209" t="str">
            <v>Backwards SL Hop</v>
          </cell>
        </row>
        <row r="210">
          <cell r="J210" t="str">
            <v>Lateral SL Hop</v>
          </cell>
          <cell r="Q210" t="str">
            <v>SHOULDER MOBILITY</v>
          </cell>
        </row>
        <row r="211">
          <cell r="J211" t="str">
            <v>ZigZag SL Hop</v>
          </cell>
        </row>
        <row r="212">
          <cell r="J212" t="str">
            <v>SL Pogo Hops</v>
          </cell>
          <cell r="Q212" t="str">
            <v>Supine Shoulder Flexion &amp; ER/IR</v>
          </cell>
        </row>
        <row r="213">
          <cell r="J213" t="str">
            <v xml:space="preserve">3 SL Pogo Hops + Stick </v>
          </cell>
          <cell r="K213">
            <v>0.4</v>
          </cell>
          <cell r="L213">
            <v>3</v>
          </cell>
          <cell r="Q213" t="str">
            <v>Back to Wall Shoulder Flexion</v>
          </cell>
        </row>
        <row r="214">
          <cell r="J214" t="str">
            <v>SL Medial Hop</v>
          </cell>
          <cell r="K214">
            <v>0.4</v>
          </cell>
          <cell r="L214">
            <v>2</v>
          </cell>
          <cell r="Q214" t="str">
            <v>Quadruped Cross Body Reach w/ Roller</v>
          </cell>
        </row>
        <row r="215">
          <cell r="J215" t="str">
            <v>SL Medial Hop to box</v>
          </cell>
          <cell r="Q215" t="str">
            <v>Bench Lat Stretch</v>
          </cell>
        </row>
        <row r="216">
          <cell r="J216" t="str">
            <v>SL Lateral Hop</v>
          </cell>
          <cell r="K216">
            <v>0.55000000000000004</v>
          </cell>
          <cell r="L216">
            <v>2</v>
          </cell>
          <cell r="Q216" t="str">
            <v>Doorway Lat Stretch</v>
          </cell>
        </row>
        <row r="217">
          <cell r="J217" t="str">
            <v>SL Lateral Landing off Box (12)</v>
          </cell>
          <cell r="K217">
            <v>0.55000000000000004</v>
          </cell>
          <cell r="L217">
            <v>4</v>
          </cell>
          <cell r="Q217" t="str">
            <v>Banded Lat Stretch</v>
          </cell>
        </row>
        <row r="218">
          <cell r="J218" t="str">
            <v>SL Hop to Box + SL Lateral Landing (12)</v>
          </cell>
          <cell r="Q218" t="str">
            <v>Elbows together Lat Stretch</v>
          </cell>
        </row>
        <row r="219">
          <cell r="J219" t="str">
            <v>SL Lateral MH Hop + Rot. MB Catch/Pass</v>
          </cell>
          <cell r="K219">
            <v>0.6</v>
          </cell>
          <cell r="L219">
            <v>2</v>
          </cell>
          <cell r="Q219" t="str">
            <v>Supine Banded Shoulder Flexion on Roller</v>
          </cell>
        </row>
        <row r="220">
          <cell r="J220" t="str">
            <v>SL Lateral Hop off Box + Rot. MB Pass</v>
          </cell>
          <cell r="Q220" t="str">
            <v>Wall Angel</v>
          </cell>
        </row>
        <row r="221">
          <cell r="J221" t="str">
            <v>90-Rot SL Landing (12)</v>
          </cell>
          <cell r="K221">
            <v>0.6</v>
          </cell>
          <cell r="L221">
            <v>2</v>
          </cell>
          <cell r="Q221" t="str">
            <v>90-90 Pec Stretch</v>
          </cell>
        </row>
        <row r="222">
          <cell r="J222" t="str">
            <v>90-Rot SL Landing (12) + MB Catch &amp; Throw</v>
          </cell>
          <cell r="K222">
            <v>0.65</v>
          </cell>
          <cell r="L222">
            <v>2</v>
          </cell>
          <cell r="Q222" t="str">
            <v>90-90 Pec Stretch (Floor)</v>
          </cell>
        </row>
        <row r="223">
          <cell r="J223" t="str">
            <v>90-Rot. SL Landing (12) + MB Catch &amp; Rot. Pass</v>
          </cell>
          <cell r="Q223" t="str">
            <v>90-90 Pec Stretch + :05 ER</v>
          </cell>
        </row>
        <row r="224">
          <cell r="J224" t="str">
            <v>SL Hop to Box + SL Squat + SL Landing</v>
          </cell>
          <cell r="Q224" t="str">
            <v>Wall Child's Pose</v>
          </cell>
        </row>
        <row r="225">
          <cell r="J225" t="str">
            <v>SL Medial/Lateral Hop</v>
          </cell>
          <cell r="Q225" t="str">
            <v>Wall Child's Pose + Lift Off</v>
          </cell>
        </row>
        <row r="226">
          <cell r="J226" t="str">
            <v>SL Medial/Lateral Hop &amp; Stick - 3 mini hurdles</v>
          </cell>
          <cell r="Q226" t="str">
            <v>Child's Pose - Reach, Roll, Lift</v>
          </cell>
        </row>
        <row r="227">
          <cell r="J227" t="str">
            <v>SL Medial/Lateral Hop &amp; Stick - 4 mini hurdles</v>
          </cell>
          <cell r="K227">
            <v>0.35</v>
          </cell>
          <cell r="L227">
            <v>6</v>
          </cell>
          <cell r="Q227" t="str">
            <v>Child's Pose - Palm Up Stretch</v>
          </cell>
        </row>
        <row r="228">
          <cell r="J228" t="str">
            <v>SL Lateral/Medial Hops - 3 mini hurdles</v>
          </cell>
          <cell r="K228">
            <v>0.35</v>
          </cell>
          <cell r="L228">
            <v>8</v>
          </cell>
          <cell r="Q228" t="str">
            <v>Loaded Shoulder Flexion on Bench</v>
          </cell>
        </row>
        <row r="229">
          <cell r="J229" t="str">
            <v>Skater Drill</v>
          </cell>
          <cell r="K229">
            <v>0.35</v>
          </cell>
          <cell r="L229">
            <v>6</v>
          </cell>
          <cell r="Q229" t="str">
            <v>Open/Close Shutter + Y</v>
          </cell>
        </row>
        <row r="230">
          <cell r="J230" t="str">
            <v>Skater Drill (Band Resistance)</v>
          </cell>
        </row>
        <row r="231">
          <cell r="J231" t="str">
            <v>Single Leg Hop Circuit (1/side)</v>
          </cell>
        </row>
        <row r="232">
          <cell r="J232" t="str">
            <v>Single Leg Hop Circuit</v>
          </cell>
          <cell r="K232">
            <v>0.55000000000000004</v>
          </cell>
          <cell r="L232">
            <v>2</v>
          </cell>
          <cell r="Q232" t="str">
            <v>SHOULDER ACTIVATION</v>
          </cell>
        </row>
        <row r="233">
          <cell r="J233" t="str">
            <v>SL- 2 way MH Hop + Up to Box</v>
          </cell>
          <cell r="K233">
            <v>0.5</v>
          </cell>
          <cell r="L233">
            <v>2</v>
          </cell>
        </row>
        <row r="234">
          <cell r="J234" t="str">
            <v>5 SL Lateral Hop &amp; Stick + MB Chest Pass</v>
          </cell>
          <cell r="Q234" t="str">
            <v>Band Pull-Aparts (Shoulder ER)</v>
          </cell>
        </row>
        <row r="235">
          <cell r="J235" t="str">
            <v>SL Lateral Hop &amp; Stick + MB Slam</v>
          </cell>
          <cell r="Q235" t="str">
            <v>Unilateral ER + Iso Hold w/ band</v>
          </cell>
        </row>
        <row r="236">
          <cell r="J236" t="str">
            <v>5 SL Lateral Hop &amp; Stick</v>
          </cell>
          <cell r="K236">
            <v>0.35</v>
          </cell>
          <cell r="L236">
            <v>2</v>
          </cell>
          <cell r="Q236" t="str">
            <v>Wall C's w/ Theraband</v>
          </cell>
        </row>
        <row r="237">
          <cell r="H237" t="str">
            <v>Core Acheivments</v>
          </cell>
          <cell r="J237" t="str">
            <v>2 SL Medial Hops + Lateral Hop to Start</v>
          </cell>
          <cell r="L237">
            <v>6</v>
          </cell>
          <cell r="Q237" t="str">
            <v>Prone Shoulder Hor. Abd. + ER</v>
          </cell>
        </row>
        <row r="238">
          <cell r="J238" t="str">
            <v>SL Medial/Lateral Continuous Hops to Low Box</v>
          </cell>
          <cell r="Q238" t="str">
            <v>Prone Shoulder Hor. Abd.</v>
          </cell>
        </row>
        <row r="239">
          <cell r="H239" t="str">
            <v>Front Lever</v>
          </cell>
          <cell r="J239" t="str">
            <v>SL Medial/Lateral Continuous Hops to Low Box + SL Squat</v>
          </cell>
          <cell r="Q239" t="str">
            <v>Prone Shoulder Hor. Abd. + Up. Rot.</v>
          </cell>
        </row>
        <row r="240">
          <cell r="H240" t="str">
            <v>L-Sit</v>
          </cell>
          <cell r="Q240" t="str">
            <v>Prone Shoulder Ext.</v>
          </cell>
        </row>
        <row r="241">
          <cell r="H241" t="str">
            <v>L-Pullup</v>
          </cell>
          <cell r="J241" t="str">
            <v>Horizontal</v>
          </cell>
          <cell r="Q241" t="str">
            <v>Prone Lying Lift Offs w/ Dowel</v>
          </cell>
        </row>
        <row r="242">
          <cell r="H242" t="str">
            <v>Iron Cross</v>
          </cell>
          <cell r="J242" t="str">
            <v>Broad Jump</v>
          </cell>
          <cell r="Q242" t="str">
            <v>Quadruped Overhead Reach</v>
          </cell>
        </row>
        <row r="243">
          <cell r="H243" t="str">
            <v>Windshield Wipers</v>
          </cell>
          <cell r="J243" t="str">
            <v>Broad Jump &amp; Stick</v>
          </cell>
          <cell r="K243">
            <v>0.5</v>
          </cell>
          <cell r="L243">
            <v>1</v>
          </cell>
          <cell r="Q243" t="str">
            <v>Side Lying Shouler ER</v>
          </cell>
        </row>
        <row r="244">
          <cell r="H244" t="str">
            <v>Pike Supine Row (Pull Up Bar)</v>
          </cell>
          <cell r="J244" t="str">
            <v>Diagonal Broad Jump &amp; Stick</v>
          </cell>
          <cell r="Q244" t="str">
            <v>Side Lying Shoulder Flexion</v>
          </cell>
        </row>
        <row r="245">
          <cell r="H245" t="str">
            <v>Toes to bar</v>
          </cell>
          <cell r="Q245" t="str">
            <v>Wall Slides w/ band</v>
          </cell>
        </row>
        <row r="246">
          <cell r="J246" t="str">
            <v>SL Broad Jump &amp; Stick</v>
          </cell>
          <cell r="Q246" t="str">
            <v>SA Wall Sliders (Facing Wall)</v>
          </cell>
        </row>
        <row r="247">
          <cell r="Q247" t="str">
            <v>Wall Sliders (Facing Wall) w/ foam roller</v>
          </cell>
        </row>
        <row r="248">
          <cell r="Q248" t="str">
            <v>Wall Sliders (Facing Wall) w/ roller and mini band</v>
          </cell>
        </row>
        <row r="249">
          <cell r="J249" t="str">
            <v>LOADED JUMPS</v>
          </cell>
          <cell r="Q249" t="str">
            <v>Wall Sliders w/ therband + Flexion</v>
          </cell>
        </row>
        <row r="250">
          <cell r="Q250" t="str">
            <v>Reverse Fly</v>
          </cell>
        </row>
        <row r="251">
          <cell r="Q251" t="str">
            <v>Isometric Y,W,T</v>
          </cell>
        </row>
        <row r="252">
          <cell r="Q252" t="str">
            <v>Isometric Y,W,T on Swiss Ball</v>
          </cell>
        </row>
        <row r="253">
          <cell r="Q253" t="str">
            <v>Y,T,I,A Wall Sliders</v>
          </cell>
        </row>
        <row r="254">
          <cell r="Q254" t="str">
            <v>Hand Plank + Y,T,I</v>
          </cell>
        </row>
        <row r="255">
          <cell r="Q255" t="str">
            <v>TRX Supine Row</v>
          </cell>
        </row>
        <row r="256">
          <cell r="Q256" t="str">
            <v>TRX T-Rows</v>
          </cell>
        </row>
        <row r="257">
          <cell r="Q257" t="str">
            <v xml:space="preserve">Shoulder Med Ball Clock </v>
          </cell>
        </row>
        <row r="258">
          <cell r="Q258" t="str">
            <v>Face Pull</v>
          </cell>
        </row>
        <row r="259">
          <cell r="Q259" t="str">
            <v>Face Pull + OH Press</v>
          </cell>
        </row>
        <row r="260">
          <cell r="Q260" t="str">
            <v>Face Pull + ER + Y</v>
          </cell>
        </row>
        <row r="261">
          <cell r="Q261" t="str">
            <v>90-90 Shoulder ER w/ :03 Iso</v>
          </cell>
        </row>
        <row r="262">
          <cell r="Q262" t="str">
            <v>Iso Hold 3 ways + Shoulder Perturbations</v>
          </cell>
        </row>
        <row r="263">
          <cell r="Q263" t="str">
            <v>Shoulder Perturbations w/ swiss ball</v>
          </cell>
        </row>
        <row r="264">
          <cell r="Q264" t="str">
            <v>Half Plank Shoulder Perturbations</v>
          </cell>
        </row>
        <row r="265">
          <cell r="Q265" t="str">
            <v>90-90 Wall Dribble</v>
          </cell>
        </row>
        <row r="266">
          <cell r="Q266" t="str">
            <v>Wall Dribble - Up &amp; Down</v>
          </cell>
        </row>
        <row r="267">
          <cell r="Q267" t="str">
            <v>Push-Up + Rot, Reach, :03 Hold</v>
          </cell>
        </row>
        <row r="268">
          <cell r="Q268" t="str">
            <v>Yoga Push Up</v>
          </cell>
        </row>
        <row r="269">
          <cell r="Q269" t="str">
            <v>Yoga Push Up + Opp. Toe touch</v>
          </cell>
        </row>
        <row r="270">
          <cell r="Q270" t="str">
            <v>Push Up + Slider Y</v>
          </cell>
        </row>
        <row r="271">
          <cell r="Q271" t="str">
            <v>Yoga Push Up + Slider Y</v>
          </cell>
        </row>
        <row r="272">
          <cell r="Q272" t="str">
            <v>Floor Pike + BB OH Press</v>
          </cell>
        </row>
        <row r="273">
          <cell r="Q273" t="str">
            <v>Floor Pike + SA DB OH Press</v>
          </cell>
        </row>
        <row r="274">
          <cell r="Q274" t="str">
            <v>Floor Pike + SA Upside Down KB OH Press</v>
          </cell>
        </row>
        <row r="275">
          <cell r="Q275" t="str">
            <v>Single Arm OH Carry</v>
          </cell>
        </row>
        <row r="276">
          <cell r="Q276" t="str">
            <v>Single Arm Suitcase Carry</v>
          </cell>
        </row>
        <row r="277">
          <cell r="Q277" t="str">
            <v>Suitcase + OH Carry</v>
          </cell>
        </row>
        <row r="280">
          <cell r="Q280" t="str">
            <v>CORE ACTIVATION</v>
          </cell>
        </row>
        <row r="282">
          <cell r="Q282" t="str">
            <v>Dead Bug</v>
          </cell>
        </row>
        <row r="283">
          <cell r="Q283" t="str">
            <v>Dead Bug w/ hand/foot band</v>
          </cell>
        </row>
        <row r="284">
          <cell r="Q284" t="str">
            <v>Dead Bug w/ Iso Pallof Press</v>
          </cell>
        </row>
        <row r="285">
          <cell r="Q285" t="str">
            <v>Dead Bug w/ Pallof Press</v>
          </cell>
        </row>
        <row r="286">
          <cell r="Q286" t="str">
            <v>Dead Bug SL Extension w/ OH Band Pull</v>
          </cell>
        </row>
        <row r="287">
          <cell r="Q287" t="str">
            <v>Dead Bug SL Extension w/ OH Band Pull + Pike</v>
          </cell>
        </row>
        <row r="288">
          <cell r="Q288" t="str">
            <v>Dead Bug 2-leg Extension w/ OH Band Pull</v>
          </cell>
        </row>
        <row r="289">
          <cell r="Q289" t="str">
            <v>Dead Bug w/ Swiss Ball Squeeze</v>
          </cell>
        </row>
        <row r="290">
          <cell r="Q290" t="str">
            <v>Arms Only Deadbug w/ Cable Pullover</v>
          </cell>
        </row>
        <row r="291">
          <cell r="Q291" t="str">
            <v>Hollow Body KB Pullovers</v>
          </cell>
        </row>
        <row r="292">
          <cell r="Q292" t="str">
            <v>2 Limb Dead Bug w/ Plate</v>
          </cell>
        </row>
        <row r="293">
          <cell r="Q293" t="str">
            <v>Rev. GHD Hollow Body Hold</v>
          </cell>
        </row>
        <row r="294">
          <cell r="Q294" t="str">
            <v>Hollow Body Rocks</v>
          </cell>
        </row>
        <row r="295">
          <cell r="Q295" t="str">
            <v>Candlestick</v>
          </cell>
        </row>
        <row r="296">
          <cell r="Q296" t="str">
            <v>Supine SL Straight Leg Lowers w/ band</v>
          </cell>
        </row>
        <row r="297">
          <cell r="Q297" t="str">
            <v>Supine SL Straight Leg Lowers</v>
          </cell>
        </row>
        <row r="298">
          <cell r="Q298" t="str">
            <v>Supine SL Straight Leg Lowers w/ OH band</v>
          </cell>
        </row>
        <row r="301">
          <cell r="Q301" t="str">
            <v>Reverse Crunch</v>
          </cell>
        </row>
        <row r="302">
          <cell r="Q302" t="str">
            <v>Bird Dog</v>
          </cell>
        </row>
        <row r="303">
          <cell r="Q303" t="str">
            <v>Bird Dog w/ limb touch</v>
          </cell>
        </row>
        <row r="304">
          <cell r="Q304" t="str">
            <v>Bird Dog + ABD</v>
          </cell>
        </row>
        <row r="305">
          <cell r="Q305" t="str">
            <v>Plank + Bird Dog</v>
          </cell>
        </row>
        <row r="306">
          <cell r="Q306" t="str">
            <v>Bear Crawl Position + SL Extension</v>
          </cell>
        </row>
        <row r="307">
          <cell r="Q307" t="str">
            <v>Bear Crawl Position Bird Dog</v>
          </cell>
        </row>
        <row r="308">
          <cell r="Q308" t="str">
            <v>Ant. Sling Crunch</v>
          </cell>
        </row>
        <row r="309">
          <cell r="Q309" t="str">
            <v>Kneel. High-Low Chop w/ ball squeeze</v>
          </cell>
        </row>
        <row r="310">
          <cell r="Q310" t="str">
            <v>1/2 Kneel. High-Low Chop w/ band</v>
          </cell>
        </row>
        <row r="311">
          <cell r="Q311" t="str">
            <v>Split Stance High-Low Chop w/ band</v>
          </cell>
        </row>
        <row r="312">
          <cell r="Q312" t="str">
            <v>Half Kneel. Cable Rot.</v>
          </cell>
        </row>
        <row r="313">
          <cell r="Q313" t="str">
            <v>Half Kneel. Cable Rot. + Paloff Press</v>
          </cell>
        </row>
        <row r="314">
          <cell r="Q314" t="str">
            <v>1/2 Kneel. High-Low Chop w/ hip ext.</v>
          </cell>
        </row>
        <row r="315">
          <cell r="Q315" t="str">
            <v>Step-Up Rot. Cable Lift</v>
          </cell>
        </row>
        <row r="316">
          <cell r="Q316" t="str">
            <v>Wide Stance Cable Rotations</v>
          </cell>
        </row>
        <row r="317">
          <cell r="Q317" t="str">
            <v>BirdDog w/ Shoulder Ext.</v>
          </cell>
        </row>
        <row r="318">
          <cell r="Q318" t="str">
            <v>BirdDog w/ DB Row</v>
          </cell>
        </row>
        <row r="319">
          <cell r="Q319" t="str">
            <v>Half Kneel. Shoulder Ext.</v>
          </cell>
        </row>
        <row r="320">
          <cell r="Q320" t="str">
            <v>Lunge + Shoulder Ext.</v>
          </cell>
        </row>
        <row r="321">
          <cell r="Q321" t="str">
            <v>Step Up + Shoulder Ext.</v>
          </cell>
        </row>
        <row r="322">
          <cell r="Q322" t="str">
            <v>RKC Plank</v>
          </cell>
        </row>
        <row r="323">
          <cell r="Q323" t="str">
            <v>Stir the Pot</v>
          </cell>
        </row>
        <row r="324">
          <cell r="Q324" t="str">
            <v>Swiss Ball Plank w/ Knee Raise</v>
          </cell>
        </row>
        <row r="325">
          <cell r="Q325" t="str">
            <v>Swiss Ball Roll Out</v>
          </cell>
        </row>
        <row r="326">
          <cell r="Q326" t="str">
            <v>TRX/Ring Roll Out</v>
          </cell>
        </row>
        <row r="327">
          <cell r="Q327" t="str">
            <v>SL Plank Rollout w/ Foot Slider</v>
          </cell>
        </row>
        <row r="328">
          <cell r="Q328" t="str">
            <v>Plank + Bent Knee Hip Ext.</v>
          </cell>
        </row>
        <row r="329">
          <cell r="Q329" t="str">
            <v>Hand Plank + Shoulder Taps</v>
          </cell>
        </row>
        <row r="330">
          <cell r="Q330" t="str">
            <v>Hand Plank + Shoulder Taps (Alt)</v>
          </cell>
        </row>
        <row r="331">
          <cell r="Q331" t="str">
            <v>Plank + Sliding KB Press</v>
          </cell>
        </row>
        <row r="332">
          <cell r="Q332" t="str">
            <v>Plank w/ KB Reach and Drag</v>
          </cell>
        </row>
        <row r="333">
          <cell r="Q333" t="str">
            <v>Hand Plank + Cable  Pull Through</v>
          </cell>
        </row>
        <row r="334">
          <cell r="Q334" t="str">
            <v>Spiderman Push Ups</v>
          </cell>
        </row>
        <row r="335">
          <cell r="Q335" t="str">
            <v>Swiss Ball Plank - feet + Alt. Shoulder Taps</v>
          </cell>
        </row>
        <row r="336">
          <cell r="Q336" t="str">
            <v>Plank Rollout on Foam Roller w/ band</v>
          </cell>
        </row>
        <row r="337">
          <cell r="Q337" t="str">
            <v>Plank w/ MB Pass</v>
          </cell>
        </row>
        <row r="338">
          <cell r="Q338" t="str">
            <v>Side Plank</v>
          </cell>
        </row>
        <row r="339">
          <cell r="Q339" t="str">
            <v>Side Plank - Feet on Bench + Cable Row</v>
          </cell>
        </row>
        <row r="340">
          <cell r="Q340" t="str">
            <v>Side Plank + Rot. &amp; Reach</v>
          </cell>
        </row>
        <row r="341">
          <cell r="Q341" t="str">
            <v>Side Plank + DB Hold</v>
          </cell>
        </row>
        <row r="342">
          <cell r="Q342" t="str">
            <v>Side Plank + Top Leg Raise &amp; Hold</v>
          </cell>
        </row>
        <row r="343">
          <cell r="Q343" t="str">
            <v>Kneel. Side Plank w/ top knee run</v>
          </cell>
        </row>
        <row r="344">
          <cell r="Q344" t="str">
            <v>Side Plank + Knee Flexion</v>
          </cell>
        </row>
        <row r="345">
          <cell r="Q345" t="str">
            <v>Side Plank + Alt. Knee Flexion</v>
          </cell>
        </row>
        <row r="346">
          <cell r="Q346" t="str">
            <v>Palloff Press</v>
          </cell>
        </row>
        <row r="347">
          <cell r="Q347" t="str">
            <v>Tall Kneeling Palloff Press</v>
          </cell>
        </row>
        <row r="348">
          <cell r="Q348" t="str">
            <v>SL Pallof Press</v>
          </cell>
        </row>
        <row r="349">
          <cell r="Q349" t="str">
            <v>Switch Stance Pallof Press</v>
          </cell>
        </row>
        <row r="350">
          <cell r="Q350" t="str">
            <v>Deep Squat Pallof Press</v>
          </cell>
        </row>
        <row r="351">
          <cell r="Q351" t="str">
            <v>Lateral Mini Band Walk w/ Iso Pallof</v>
          </cell>
        </row>
        <row r="352">
          <cell r="Q352" t="str">
            <v>Split Squat w/ Iso Pallof</v>
          </cell>
        </row>
        <row r="353">
          <cell r="Q353" t="str">
            <v>Lateral Lunge w/ Iso Pallof</v>
          </cell>
        </row>
        <row r="354">
          <cell r="Q354" t="str">
            <v>Lateral Lunge w/ Pallof Press &amp; OH Reach</v>
          </cell>
        </row>
        <row r="355">
          <cell r="Q355" t="str">
            <v>Iso Pallof Stir the Pot</v>
          </cell>
        </row>
        <row r="356">
          <cell r="Q356" t="str">
            <v>Cable Rotation Stops</v>
          </cell>
        </row>
        <row r="357">
          <cell r="Q357" t="str">
            <v>Iso Lunge Cable Rotation Stops</v>
          </cell>
        </row>
        <row r="358">
          <cell r="Q358" t="str">
            <v>Switch Stance Cable Rotation Stops</v>
          </cell>
        </row>
        <row r="359">
          <cell r="Q359" t="str">
            <v>Hanging Knees to Elbows</v>
          </cell>
        </row>
        <row r="360">
          <cell r="Q360" t="str">
            <v>Hanging Knee Raise to Tuck</v>
          </cell>
        </row>
        <row r="361">
          <cell r="Q361" t="str">
            <v>Hanging 3-Way Knee Lifts</v>
          </cell>
        </row>
        <row r="362">
          <cell r="Q362" t="str">
            <v>Hanging 3-Way Knee Lifts w/ DB</v>
          </cell>
        </row>
        <row r="363">
          <cell r="Q363" t="str">
            <v>V-Ups</v>
          </cell>
        </row>
        <row r="365">
          <cell r="Q365" t="str">
            <v>T-SPINE MOBILITY</v>
          </cell>
        </row>
        <row r="367">
          <cell r="Q367" t="str">
            <v>Cat Camel</v>
          </cell>
        </row>
        <row r="368">
          <cell r="Q368" t="str">
            <v>Camel Hold</v>
          </cell>
        </row>
        <row r="369">
          <cell r="Q369" t="str">
            <v>Cat Camel - T-Spine focus</v>
          </cell>
        </row>
        <row r="370">
          <cell r="Q370" t="str">
            <v>Slump Test</v>
          </cell>
        </row>
        <row r="371">
          <cell r="Q371" t="str">
            <v>1/2 Kneeling Clock Rotation on wall</v>
          </cell>
        </row>
        <row r="372">
          <cell r="Q372" t="str">
            <v>1/2 Kneeling Clock Rotation on wall (elbow)</v>
          </cell>
        </row>
        <row r="373">
          <cell r="Q373" t="str">
            <v>1/2 Kneeling Open/Close Book on wall</v>
          </cell>
        </row>
        <row r="374">
          <cell r="Q374" t="str">
            <v>1/2 Kneeling Open/Close Book on wall w/ band</v>
          </cell>
        </row>
        <row r="375">
          <cell r="Q375" t="str">
            <v>1/2 Kneel Thoracic Rot (Wall Press 1-arm KB)</v>
          </cell>
        </row>
        <row r="376">
          <cell r="Q376" t="str">
            <v>Split Squat w/ Rotational Row</v>
          </cell>
        </row>
        <row r="377">
          <cell r="Q377" t="str">
            <v>ISO SL RDL on wall w/ T-spine Rot</v>
          </cell>
        </row>
        <row r="378">
          <cell r="Q378" t="str">
            <v>Quadruped T-Spine Rot. &amp; Reach</v>
          </cell>
        </row>
        <row r="379">
          <cell r="Q379" t="str">
            <v>Quadruped T-Spine Rot. &amp; Reach (elbow)</v>
          </cell>
        </row>
        <row r="380">
          <cell r="Q380" t="str">
            <v>Quadruped T-Spine 2-way Rot. &amp; Reach</v>
          </cell>
        </row>
        <row r="381">
          <cell r="Q381" t="str">
            <v>T-Spine Thread the Needle w/ band</v>
          </cell>
        </row>
        <row r="382">
          <cell r="Q382" t="str">
            <v>T-Spine Bridge</v>
          </cell>
        </row>
        <row r="383">
          <cell r="Q383" t="str">
            <v>Bear Position to T-Spine Bridge</v>
          </cell>
        </row>
        <row r="384">
          <cell r="Q384" t="str">
            <v>Seated Thoracic Rotation</v>
          </cell>
        </row>
        <row r="385">
          <cell r="Q385" t="str">
            <v>Seated Thoracic Rotation w/ dowel</v>
          </cell>
        </row>
        <row r="386">
          <cell r="Q386" t="str">
            <v>T-Spine Ext. on Foam Roller</v>
          </cell>
        </row>
        <row r="387">
          <cell r="Q387" t="str">
            <v>T-Spine Ext. on Foam Roller + Dowel Press</v>
          </cell>
        </row>
        <row r="388">
          <cell r="Q388" t="str">
            <v>T-Spine Rot. On Foam Roller</v>
          </cell>
        </row>
        <row r="389">
          <cell r="Q389" t="str">
            <v>T-Spine Ext. then Rot. On Foam Roller</v>
          </cell>
        </row>
        <row r="390">
          <cell r="Q390" t="str">
            <v>Supine Alt. Shoulder Flexion on Double LAX Ball</v>
          </cell>
        </row>
        <row r="391">
          <cell r="Q391" t="str">
            <v>Bent Over T-Spine Rot.</v>
          </cell>
        </row>
        <row r="392">
          <cell r="Q392" t="str">
            <v>Open/Close Book T-Spine Rot.</v>
          </cell>
        </row>
        <row r="393">
          <cell r="Q393" t="str">
            <v>Open/Close Book T-Spine Rot. w/ band</v>
          </cell>
        </row>
        <row r="394">
          <cell r="Q394" t="str">
            <v>T-Spine Rotation Sidelying</v>
          </cell>
        </row>
        <row r="395">
          <cell r="Q395" t="str">
            <v>Sidelying KB Arm Bar</v>
          </cell>
        </row>
        <row r="396">
          <cell r="Q396" t="str">
            <v>Pretzel Stretch</v>
          </cell>
        </row>
        <row r="397">
          <cell r="Q397" t="str">
            <v>QL Doorway Stretch</v>
          </cell>
        </row>
        <row r="398">
          <cell r="Q398" t="str">
            <v>1/2 Kneeling QL Doorway Stretch</v>
          </cell>
        </row>
        <row r="400">
          <cell r="Q400" t="str">
            <v>NECK</v>
          </cell>
        </row>
        <row r="403">
          <cell r="Q403" t="str">
            <v>Towel 4-way Neck ISO</v>
          </cell>
        </row>
        <row r="404">
          <cell r="Q404" t="str">
            <v>ISO Towel Neck Flexion (moderate)</v>
          </cell>
        </row>
        <row r="405">
          <cell r="Q405" t="str">
            <v>ISO Towel Neck Flexion (max)</v>
          </cell>
        </row>
        <row r="406">
          <cell r="Q406" t="str">
            <v>Towel Neck Flexion on bench</v>
          </cell>
        </row>
        <row r="407">
          <cell r="Q407" t="str">
            <v>Supine Neck Rotation</v>
          </cell>
        </row>
        <row r="408">
          <cell r="Q408" t="str">
            <v>Neck Protraction w/ band</v>
          </cell>
        </row>
        <row r="409">
          <cell r="Q409" t="str">
            <v>Neck Retraction w/ band</v>
          </cell>
        </row>
        <row r="410">
          <cell r="Q410" t="str">
            <v>Partner 4-way Neck ISO</v>
          </cell>
        </row>
        <row r="411">
          <cell r="Q411" t="str">
            <v>Partner 4-way Reactive Neck ISO</v>
          </cell>
        </row>
        <row r="412">
          <cell r="Q412" t="str">
            <v>Chin Tuck + Cervical Rotation</v>
          </cell>
        </row>
        <row r="413">
          <cell r="Q413" t="str">
            <v>Iso Neck Flexion</v>
          </cell>
        </row>
        <row r="414">
          <cell r="Q414" t="str">
            <v>FRC: Neck CARS</v>
          </cell>
        </row>
        <row r="415">
          <cell r="Q415" t="str">
            <v>Levator Scap Stretch</v>
          </cell>
        </row>
        <row r="417">
          <cell r="Q417" t="str">
            <v>ADDUCTOR PREHAB</v>
          </cell>
        </row>
        <row r="419">
          <cell r="Q419" t="str">
            <v>Banded Adduction w/ Slider</v>
          </cell>
        </row>
        <row r="420">
          <cell r="Q420" t="str">
            <v>Banded Adduction w/ Slider (+ EXT)</v>
          </cell>
        </row>
        <row r="421">
          <cell r="Q421" t="str">
            <v>Banded Adduction w/ Slider (+ FLEX)</v>
          </cell>
        </row>
        <row r="422">
          <cell r="Q422" t="str">
            <v>Banded Adduction w/ Slider (3-ways)</v>
          </cell>
        </row>
        <row r="423">
          <cell r="Q423" t="str">
            <v>1/2 Kneel Adduction w/ slider</v>
          </cell>
        </row>
        <row r="424">
          <cell r="Q424" t="str">
            <v>Tall 1/2 Kneel Adduction w/ slider</v>
          </cell>
        </row>
        <row r="425">
          <cell r="Q425" t="str">
            <v>Goalie Position Push Press</v>
          </cell>
        </row>
        <row r="426">
          <cell r="Q426" t="str">
            <v>Frog Adductor Slides</v>
          </cell>
        </row>
        <row r="427">
          <cell r="Q427" t="str">
            <v>Copenhagen Plank 1</v>
          </cell>
        </row>
        <row r="428">
          <cell r="Q428" t="str">
            <v>Copenhagen Plank 2</v>
          </cell>
        </row>
        <row r="429">
          <cell r="Q429" t="str">
            <v>Copenhagen Plank 3</v>
          </cell>
        </row>
        <row r="430">
          <cell r="Q430" t="str">
            <v>Copenhagen Plank 4</v>
          </cell>
        </row>
        <row r="431">
          <cell r="Q431" t="str">
            <v>Copenhagen Plank 5</v>
          </cell>
        </row>
        <row r="432">
          <cell r="Q432" t="str">
            <v>Copenhagen Plank - Swiss Ball</v>
          </cell>
        </row>
        <row r="433">
          <cell r="Q433" t="str">
            <v>Iso Copenhagen Plank w/ Partner Press</v>
          </cell>
        </row>
        <row r="434">
          <cell r="Q434" t="str">
            <v>:03 ECC Copenhagen Plank w/ Partner Press</v>
          </cell>
        </row>
        <row r="435">
          <cell r="Q435" t="str">
            <v>3x Lengthening Side Lunge</v>
          </cell>
        </row>
        <row r="436">
          <cell r="Q436" t="str">
            <v>Adductor Mobility Flow</v>
          </cell>
        </row>
        <row r="438">
          <cell r="Q438" t="str">
            <v>COMPOUND MOVEMENTS</v>
          </cell>
        </row>
        <row r="440">
          <cell r="Q440" t="str">
            <v>Inch Worm + Lunge</v>
          </cell>
        </row>
        <row r="441">
          <cell r="Q441" t="str">
            <v>Inch Worm + Lunge + Rot. &amp; Reach</v>
          </cell>
        </row>
        <row r="442">
          <cell r="Q442" t="str">
            <v>Squat + Bear Crawl + Lunge</v>
          </cell>
        </row>
        <row r="444">
          <cell r="Q444" t="str">
            <v>7-Way Hips</v>
          </cell>
        </row>
        <row r="445">
          <cell r="Q445" t="str">
            <v>Comerford Hip Complex</v>
          </cell>
        </row>
        <row r="447">
          <cell r="Q447" t="str">
            <v>VOODOO</v>
          </cell>
        </row>
        <row r="449">
          <cell r="Q449" t="str">
            <v>Leg Swings + Squats w/ Hip Voodoo</v>
          </cell>
        </row>
        <row r="452">
          <cell r="Q452" t="str">
            <v>KNEE</v>
          </cell>
        </row>
        <row r="454">
          <cell r="Q454" t="str">
            <v>Iso Wall Squat</v>
          </cell>
        </row>
        <row r="455">
          <cell r="Q455" t="str">
            <v>SL Iso Wall Squat</v>
          </cell>
        </row>
        <row r="456">
          <cell r="Q456" t="str">
            <v>Seated Iso Knee Ext w/ band</v>
          </cell>
        </row>
        <row r="457">
          <cell r="Q457" t="str">
            <v>Seated Knee Ext.</v>
          </cell>
        </row>
        <row r="458">
          <cell r="Q458" t="str">
            <v>Seated Iso Knee Ext</v>
          </cell>
        </row>
        <row r="459">
          <cell r="Q459" t="str">
            <v>Deep 6" Squat</v>
          </cell>
        </row>
        <row r="460">
          <cell r="Q460" t="str">
            <v>Slant Board SL Ecc. Squat</v>
          </cell>
        </row>
        <row r="461">
          <cell r="Q461" t="str">
            <v>Slant Board SL Squat</v>
          </cell>
        </row>
        <row r="462">
          <cell r="Q462" t="str">
            <v>Anterior/Posterior Step Down</v>
          </cell>
        </row>
        <row r="463">
          <cell r="Q463" t="str">
            <v>Goblet Squat :10 Hold</v>
          </cell>
        </row>
        <row r="464">
          <cell r="Q464" t="str">
            <v>Iso Spanish Squat</v>
          </cell>
        </row>
        <row r="465">
          <cell r="Q465" t="str">
            <v>SL Spanish Squat</v>
          </cell>
        </row>
        <row r="466">
          <cell r="Q466" t="str">
            <v>Standing TKE w/ band</v>
          </cell>
        </row>
        <row r="467">
          <cell r="Q467" t="str">
            <v>Standing 3-way TKE w/ band</v>
          </cell>
        </row>
        <row r="468">
          <cell r="Q468" t="str">
            <v>Down Dog TKE w/ band</v>
          </cell>
        </row>
        <row r="469">
          <cell r="Q469" t="str">
            <v>TKE w/ band + SL Heel Raise</v>
          </cell>
        </row>
        <row r="470">
          <cell r="Q470" t="str">
            <v>Reverse Nordic</v>
          </cell>
        </row>
        <row r="471">
          <cell r="Q471" t="str">
            <v>ISO Reverse Nordic</v>
          </cell>
        </row>
        <row r="472">
          <cell r="Q472" t="str">
            <v>ECC Reverse Nordic</v>
          </cell>
        </row>
        <row r="473">
          <cell r="Q473" t="str">
            <v>Reverse Nordic w/ arms overhead</v>
          </cell>
        </row>
        <row r="474">
          <cell r="Q474" t="str">
            <v>ISO Lunge on toes w/ Hip EXT</v>
          </cell>
        </row>
        <row r="478">
          <cell r="Q478" t="str">
            <v>ANKLE/FOOT</v>
          </cell>
        </row>
        <row r="480">
          <cell r="Q480" t="str">
            <v>Ankle Flexion w/ Posterior Band Pull</v>
          </cell>
        </row>
        <row r="481">
          <cell r="Q481" t="str">
            <v>Elevated Ankle Flexion w/ Posterior Band Pull</v>
          </cell>
        </row>
        <row r="482">
          <cell r="Q482" t="str">
            <v>3-way Ankle Flexion w/ Posterior Band Pull</v>
          </cell>
        </row>
        <row r="483">
          <cell r="Q483" t="str">
            <v>Loaded Dorsiflexion</v>
          </cell>
        </row>
        <row r="484">
          <cell r="Q484" t="str">
            <v>Straight Leg Calf Stretch + Opp leg Step Up</v>
          </cell>
        </row>
        <row r="485">
          <cell r="Q485" t="str">
            <v>Forward Slider Reaches</v>
          </cell>
        </row>
        <row r="486">
          <cell r="Q486" t="str">
            <v>SL Calf Raises</v>
          </cell>
        </row>
        <row r="487">
          <cell r="Q487" t="str">
            <v>DL Calf Raises</v>
          </cell>
        </row>
        <row r="488">
          <cell r="Q488" t="str">
            <v>Stork + SL Calf Raises</v>
          </cell>
        </row>
        <row r="489">
          <cell r="Q489" t="str">
            <v>SL Balance on Foam Pad</v>
          </cell>
        </row>
        <row r="490">
          <cell r="Q490" t="str">
            <v>SL Balance on Foam Pad - Eyes closed</v>
          </cell>
        </row>
        <row r="491">
          <cell r="Q491" t="str">
            <v>Roll Calf/Shin</v>
          </cell>
        </row>
        <row r="492">
          <cell r="Q492" t="str">
            <v>Skipping</v>
          </cell>
        </row>
        <row r="493">
          <cell r="Q493" t="str">
            <v>Pedal/Press w/ mini band</v>
          </cell>
        </row>
        <row r="494">
          <cell r="Q494" t="str">
            <v>Peroneal Forward Bend Stretch</v>
          </cell>
        </row>
        <row r="496">
          <cell r="Q496" t="str">
            <v>JUMP/LAND</v>
          </cell>
        </row>
        <row r="498">
          <cell r="Q498" t="str">
            <v>Rev. Drop Landing - low box</v>
          </cell>
        </row>
        <row r="499">
          <cell r="Q499" t="str">
            <v>Snapdown</v>
          </cell>
        </row>
        <row r="500">
          <cell r="Q500" t="str">
            <v>SL Snap Down</v>
          </cell>
        </row>
        <row r="501">
          <cell r="Q501" t="str">
            <v>SL Lateral Rebound hops</v>
          </cell>
        </row>
        <row r="502">
          <cell r="Q502" t="str">
            <v>4-way Drop Landing (24)</v>
          </cell>
        </row>
        <row r="503">
          <cell r="Q503" t="str">
            <v>4-way 180 Drop Landing (24)</v>
          </cell>
        </row>
        <row r="504">
          <cell r="Q504" t="str">
            <v>SL Forward Hop &amp; Stick</v>
          </cell>
        </row>
        <row r="507">
          <cell r="Q507" t="str">
            <v>BFR</v>
          </cell>
        </row>
        <row r="509">
          <cell r="Q509" t="str">
            <v>BFR Front Squat</v>
          </cell>
        </row>
        <row r="510">
          <cell r="Q510" t="str">
            <v>BFR Back Squat</v>
          </cell>
        </row>
        <row r="511">
          <cell r="Q511" t="str">
            <v>BFR Goblet Squat</v>
          </cell>
        </row>
        <row r="512">
          <cell r="Q512" t="str">
            <v>BFR Squat Bodyweight</v>
          </cell>
        </row>
        <row r="513">
          <cell r="Q513" t="str">
            <v>3-way toe taps w/ elevated heel</v>
          </cell>
        </row>
        <row r="514">
          <cell r="Q514" t="str">
            <v>BFR RDL</v>
          </cell>
        </row>
        <row r="515">
          <cell r="Q515" t="str">
            <v>BFR Prone Hamstring Curl</v>
          </cell>
        </row>
        <row r="516">
          <cell r="Q516" t="str">
            <v>BFR Glute Bridge</v>
          </cell>
        </row>
        <row r="517">
          <cell r="Q517" t="str">
            <v>BFR Knee Extensions</v>
          </cell>
        </row>
        <row r="518">
          <cell r="Q518" t="str">
            <v>BFR Calf Raises</v>
          </cell>
        </row>
        <row r="519">
          <cell r="Q519" t="str">
            <v>SL BFR Calf Raises w/ TKE</v>
          </cell>
        </row>
        <row r="523">
          <cell r="Q523" t="str">
            <v>CARRIES/HOLDS</v>
          </cell>
        </row>
        <row r="525">
          <cell r="Q525" t="str">
            <v>Kneel-to-Stand OH DB Hold</v>
          </cell>
        </row>
        <row r="526">
          <cell r="Q526" t="str">
            <v>Waiters Carry - SA Bottom Up KB</v>
          </cell>
        </row>
        <row r="528">
          <cell r="Q528" t="str">
            <v>YOGA</v>
          </cell>
        </row>
        <row r="530">
          <cell r="Q530" t="str">
            <v>Stick Pose Sequence</v>
          </cell>
        </row>
        <row r="531">
          <cell r="Q531" t="str">
            <v>Up Dog - Down Dog</v>
          </cell>
        </row>
        <row r="532">
          <cell r="Q532" t="str">
            <v>Lateral Split Squat - Deep Lunge Rot &amp; Reach</v>
          </cell>
        </row>
        <row r="535">
          <cell r="Q535" t="str">
            <v>ROLLING</v>
          </cell>
        </row>
        <row r="537">
          <cell r="Q537" t="str">
            <v>Roll Quads</v>
          </cell>
        </row>
        <row r="538">
          <cell r="Q538" t="str">
            <v>Roll Quads &amp; Hip Flexors</v>
          </cell>
        </row>
        <row r="539">
          <cell r="Q539" t="str">
            <v>Roll Hamstrings</v>
          </cell>
        </row>
        <row r="540">
          <cell r="Q540" t="str">
            <v>Roll Hamstrings w/ BB</v>
          </cell>
        </row>
        <row r="541">
          <cell r="Q541" t="str">
            <v>Roll Adductors</v>
          </cell>
        </row>
        <row r="542">
          <cell r="Q542" t="str">
            <v>Roll Adductors w/ BB</v>
          </cell>
        </row>
        <row r="543">
          <cell r="Q543" t="str">
            <v>Roll Upper Traps w/ LAX Ball</v>
          </cell>
        </row>
        <row r="544">
          <cell r="Q544" t="str">
            <v>Biceps Femoris Release</v>
          </cell>
        </row>
      </sheetData>
      <sheetData sheetId="3">
        <row r="3">
          <cell r="AM3" t="str">
            <v>Training Season</v>
          </cell>
        </row>
        <row r="4">
          <cell r="AM4" t="str">
            <v>Meso 1</v>
          </cell>
          <cell r="AN4">
            <v>45432</v>
          </cell>
          <cell r="AO4">
            <v>45427</v>
          </cell>
        </row>
        <row r="5">
          <cell r="AM5" t="str">
            <v>Meso 2</v>
          </cell>
          <cell r="AO5">
            <v>45485</v>
          </cell>
        </row>
        <row r="6">
          <cell r="A6" t="str">
            <v>Empty</v>
          </cell>
          <cell r="D6">
            <v>0</v>
          </cell>
          <cell r="E6">
            <v>0</v>
          </cell>
          <cell r="F6">
            <v>0</v>
          </cell>
          <cell r="G6">
            <v>0</v>
          </cell>
          <cell r="H6">
            <v>0</v>
          </cell>
          <cell r="I6">
            <v>0</v>
          </cell>
          <cell r="M6">
            <v>0</v>
          </cell>
          <cell r="N6">
            <v>0</v>
          </cell>
          <cell r="O6">
            <v>0</v>
          </cell>
          <cell r="P6">
            <v>0</v>
          </cell>
          <cell r="Q6">
            <v>0</v>
          </cell>
          <cell r="R6">
            <v>0</v>
          </cell>
          <cell r="V6">
            <v>0</v>
          </cell>
          <cell r="W6">
            <v>0</v>
          </cell>
          <cell r="X6">
            <v>0</v>
          </cell>
          <cell r="Y6">
            <v>0</v>
          </cell>
          <cell r="Z6">
            <v>0</v>
          </cell>
          <cell r="AA6">
            <v>0</v>
          </cell>
          <cell r="AE6">
            <v>0</v>
          </cell>
          <cell r="AF6">
            <v>0</v>
          </cell>
          <cell r="AG6">
            <v>0</v>
          </cell>
          <cell r="AH6">
            <v>0</v>
          </cell>
          <cell r="AI6">
            <v>0</v>
          </cell>
          <cell r="AJ6">
            <v>0</v>
          </cell>
          <cell r="AM6" t="str">
            <v>Meso 3</v>
          </cell>
          <cell r="AN6">
            <v>45488</v>
          </cell>
          <cell r="AO6">
            <v>45506</v>
          </cell>
          <cell r="AS6" t="str">
            <v>Mikaël Kingsbury</v>
          </cell>
        </row>
        <row r="7">
          <cell r="AM7" t="str">
            <v>Meso 4</v>
          </cell>
          <cell r="AN7">
            <v>45516</v>
          </cell>
          <cell r="AO7">
            <v>45534</v>
          </cell>
          <cell r="AS7" t="str">
            <v>Gab Dufresne</v>
          </cell>
        </row>
        <row r="8">
          <cell r="A8" t="str">
            <v>PLYOMETRIC</v>
          </cell>
          <cell r="AM8" t="str">
            <v>Meso 5</v>
          </cell>
          <cell r="AN8">
            <v>45537</v>
          </cell>
          <cell r="AO8">
            <v>45555</v>
          </cell>
          <cell r="AS8" t="str">
            <v>Elliot Vaillancourt</v>
          </cell>
        </row>
        <row r="9">
          <cell r="A9" t="str">
            <v>PE1A</v>
          </cell>
          <cell r="D9">
            <v>24</v>
          </cell>
          <cell r="M9">
            <v>27</v>
          </cell>
          <cell r="V9">
            <v>30</v>
          </cell>
          <cell r="AE9">
            <v>25</v>
          </cell>
          <cell r="AM9" t="str">
            <v>Meso 6</v>
          </cell>
          <cell r="AN9">
            <v>45565</v>
          </cell>
          <cell r="AO9">
            <v>45583</v>
          </cell>
          <cell r="AS9" t="str">
            <v>Julien Viel</v>
          </cell>
        </row>
        <row r="10">
          <cell r="A10" t="str">
            <v>PE1B</v>
          </cell>
          <cell r="D10">
            <v>64</v>
          </cell>
          <cell r="M10">
            <v>80</v>
          </cell>
          <cell r="V10">
            <v>100</v>
          </cell>
          <cell r="AE10">
            <v>80</v>
          </cell>
          <cell r="AM10" t="str">
            <v>Meso 7</v>
          </cell>
          <cell r="AN10">
            <v>45593</v>
          </cell>
          <cell r="AO10">
            <v>45611</v>
          </cell>
          <cell r="AS10" t="str">
            <v>Louis-David Chalifoux</v>
          </cell>
        </row>
        <row r="11">
          <cell r="A11" t="str">
            <v>PE1C</v>
          </cell>
          <cell r="AM11" t="str">
            <v>Meso 8</v>
          </cell>
          <cell r="AN11">
            <v>45611</v>
          </cell>
          <cell r="AO11">
            <v>45632</v>
          </cell>
          <cell r="AS11" t="str">
            <v>Sam Goodison</v>
          </cell>
        </row>
        <row r="12">
          <cell r="A12" t="str">
            <v>PE1D</v>
          </cell>
          <cell r="AM12" t="str">
            <v>Meso 9</v>
          </cell>
          <cell r="AN12">
            <v>45638</v>
          </cell>
          <cell r="AO12">
            <v>45660</v>
          </cell>
          <cell r="AS12" t="str">
            <v>Sam Cordell</v>
          </cell>
        </row>
        <row r="13">
          <cell r="A13" t="str">
            <v>PE1E</v>
          </cell>
          <cell r="D13">
            <v>32</v>
          </cell>
          <cell r="M13">
            <v>40</v>
          </cell>
          <cell r="V13">
            <v>48</v>
          </cell>
          <cell r="AE13">
            <v>48</v>
          </cell>
          <cell r="AM13" t="str">
            <v>Meso 10</v>
          </cell>
          <cell r="AN13">
            <v>45663</v>
          </cell>
          <cell r="AO13">
            <v>45683</v>
          </cell>
          <cell r="AS13" t="str">
            <v>Danny Tanner</v>
          </cell>
        </row>
        <row r="14">
          <cell r="A14" t="str">
            <v>PE1F</v>
          </cell>
          <cell r="AM14" t="str">
            <v>Meso 11</v>
          </cell>
          <cell r="AN14">
            <v>45698</v>
          </cell>
          <cell r="AO14">
            <v>45718</v>
          </cell>
          <cell r="AS14" t="str">
            <v>Ryan Portello</v>
          </cell>
        </row>
        <row r="15">
          <cell r="A15" t="str">
            <v>PE1G</v>
          </cell>
          <cell r="AM15" t="str">
            <v>Meso 12</v>
          </cell>
          <cell r="AN15">
            <v>45740</v>
          </cell>
          <cell r="AO15">
            <v>45760</v>
          </cell>
          <cell r="AS15" t="str">
            <v>Charles Beaulieu</v>
          </cell>
        </row>
        <row r="16">
          <cell r="A16" t="str">
            <v>PE1H</v>
          </cell>
          <cell r="AS16" t="str">
            <v>JC Bougie</v>
          </cell>
          <cell r="BK16" t="str">
            <v>K2W</v>
          </cell>
          <cell r="BL16">
            <v>43622</v>
          </cell>
          <cell r="BM16">
            <v>14</v>
          </cell>
          <cell r="BN16">
            <v>13</v>
          </cell>
          <cell r="BQ16" t="str">
            <v>K2W43622</v>
          </cell>
        </row>
        <row r="17">
          <cell r="AS17" t="str">
            <v>Cole Carey</v>
          </cell>
          <cell r="BK17" t="str">
            <v>ASLR</v>
          </cell>
          <cell r="BL17">
            <v>43622</v>
          </cell>
          <cell r="BM17">
            <v>85</v>
          </cell>
          <cell r="BN17">
            <v>80</v>
          </cell>
          <cell r="BQ17" t="str">
            <v>ASLR43622</v>
          </cell>
        </row>
        <row r="18">
          <cell r="A18" t="str">
            <v>DYNAMIC</v>
          </cell>
          <cell r="AS18" t="str">
            <v>Joey Dubuc</v>
          </cell>
          <cell r="BK18" t="str">
            <v>K2W</v>
          </cell>
          <cell r="BL18">
            <v>43589</v>
          </cell>
          <cell r="BM18">
            <v>12</v>
          </cell>
          <cell r="BN18">
            <v>11</v>
          </cell>
          <cell r="BQ18" t="str">
            <v>K2W43589</v>
          </cell>
        </row>
        <row r="19">
          <cell r="A19" t="str">
            <v>DE1A</v>
          </cell>
          <cell r="D19">
            <v>6</v>
          </cell>
          <cell r="E19">
            <v>6</v>
          </cell>
          <cell r="F19">
            <v>6</v>
          </cell>
          <cell r="G19">
            <v>6</v>
          </cell>
          <cell r="M19">
            <v>6</v>
          </cell>
          <cell r="N19">
            <v>6</v>
          </cell>
          <cell r="O19">
            <v>6</v>
          </cell>
          <cell r="P19">
            <v>6</v>
          </cell>
          <cell r="V19">
            <v>6</v>
          </cell>
          <cell r="W19">
            <v>6</v>
          </cell>
          <cell r="X19">
            <v>6</v>
          </cell>
          <cell r="Y19">
            <v>6</v>
          </cell>
          <cell r="AE19">
            <v>6</v>
          </cell>
          <cell r="AF19">
            <v>6</v>
          </cell>
          <cell r="AG19">
            <v>6</v>
          </cell>
          <cell r="BK19" t="str">
            <v>FABER</v>
          </cell>
          <cell r="BL19">
            <v>43605</v>
          </cell>
          <cell r="BM19">
            <v>65</v>
          </cell>
          <cell r="BN19">
            <v>63</v>
          </cell>
          <cell r="BQ19" t="str">
            <v>FABER43605</v>
          </cell>
        </row>
        <row r="20">
          <cell r="A20" t="str">
            <v>DE1B</v>
          </cell>
          <cell r="D20">
            <v>5</v>
          </cell>
          <cell r="E20">
            <v>5</v>
          </cell>
          <cell r="F20">
            <v>5</v>
          </cell>
          <cell r="G20">
            <v>5</v>
          </cell>
          <cell r="M20">
            <v>5</v>
          </cell>
          <cell r="N20">
            <v>5</v>
          </cell>
          <cell r="O20">
            <v>5</v>
          </cell>
          <cell r="P20">
            <v>5</v>
          </cell>
          <cell r="V20">
            <v>5</v>
          </cell>
          <cell r="W20">
            <v>5</v>
          </cell>
          <cell r="X20">
            <v>5</v>
          </cell>
          <cell r="Y20">
            <v>5</v>
          </cell>
          <cell r="AE20">
            <v>5</v>
          </cell>
          <cell r="AF20">
            <v>5</v>
          </cell>
          <cell r="AG20">
            <v>5</v>
          </cell>
          <cell r="AM20" t="str">
            <v>Comp Season</v>
          </cell>
          <cell r="BK20" t="str">
            <v>TPI T-Spine</v>
          </cell>
          <cell r="BL20">
            <v>43598</v>
          </cell>
          <cell r="BM20">
            <v>35</v>
          </cell>
          <cell r="BN20">
            <v>40</v>
          </cell>
          <cell r="BQ20" t="str">
            <v>TPI T-Spine43598</v>
          </cell>
        </row>
        <row r="21">
          <cell r="A21" t="str">
            <v>DE1C</v>
          </cell>
          <cell r="AS21" t="str">
            <v>Maia Schwinghammer</v>
          </cell>
          <cell r="BK21" t="str">
            <v>TPI T-Spine</v>
          </cell>
          <cell r="BL21">
            <v>43614</v>
          </cell>
          <cell r="BM21">
            <v>45</v>
          </cell>
          <cell r="BN21">
            <v>45</v>
          </cell>
          <cell r="BQ21" t="str">
            <v>TPI T-Spine43614</v>
          </cell>
        </row>
        <row r="22">
          <cell r="A22" t="str">
            <v>DE1D</v>
          </cell>
          <cell r="AS22" t="str">
            <v>Berkley Brown</v>
          </cell>
          <cell r="BK22" t="str">
            <v>TPI T-Spine</v>
          </cell>
          <cell r="BL22">
            <v>43622</v>
          </cell>
          <cell r="BM22">
            <v>42</v>
          </cell>
          <cell r="BN22">
            <v>41</v>
          </cell>
          <cell r="BQ22" t="str">
            <v>TPI T-Spine43622</v>
          </cell>
        </row>
        <row r="23">
          <cell r="AS23" t="str">
            <v>Laurianne Gilbert</v>
          </cell>
          <cell r="BQ23" t="str">
            <v/>
          </cell>
        </row>
        <row r="24">
          <cell r="A24" t="str">
            <v>MAXIMUM</v>
          </cell>
          <cell r="AS24" t="str">
            <v>Jessie Linton</v>
          </cell>
          <cell r="BQ24" t="str">
            <v/>
          </cell>
        </row>
        <row r="25">
          <cell r="A25" t="str">
            <v>ME1A</v>
          </cell>
          <cell r="D25">
            <v>6</v>
          </cell>
          <cell r="E25">
            <v>6</v>
          </cell>
          <cell r="F25">
            <v>6</v>
          </cell>
          <cell r="G25">
            <v>6</v>
          </cell>
          <cell r="M25">
            <v>6</v>
          </cell>
          <cell r="N25">
            <v>6</v>
          </cell>
          <cell r="O25">
            <v>6</v>
          </cell>
          <cell r="P25">
            <v>6</v>
          </cell>
          <cell r="V25">
            <v>6</v>
          </cell>
          <cell r="W25">
            <v>6</v>
          </cell>
          <cell r="X25">
            <v>6</v>
          </cell>
          <cell r="Y25">
            <v>6</v>
          </cell>
          <cell r="AE25">
            <v>6</v>
          </cell>
          <cell r="AF25">
            <v>6</v>
          </cell>
          <cell r="AG25">
            <v>6</v>
          </cell>
          <cell r="AS25" t="str">
            <v>Maya Mikkelsen</v>
          </cell>
          <cell r="BQ25" t="str">
            <v/>
          </cell>
        </row>
        <row r="26">
          <cell r="A26" t="str">
            <v>ME1B</v>
          </cell>
          <cell r="D26">
            <v>5</v>
          </cell>
          <cell r="E26">
            <v>4</v>
          </cell>
          <cell r="F26">
            <v>3</v>
          </cell>
          <cell r="M26">
            <v>5</v>
          </cell>
          <cell r="N26">
            <v>4</v>
          </cell>
          <cell r="O26">
            <v>3</v>
          </cell>
          <cell r="V26">
            <v>5</v>
          </cell>
          <cell r="W26">
            <v>4</v>
          </cell>
          <cell r="X26">
            <v>3</v>
          </cell>
          <cell r="AE26">
            <v>5</v>
          </cell>
          <cell r="AF26">
            <v>4</v>
          </cell>
          <cell r="AG26">
            <v>3</v>
          </cell>
          <cell r="AS26" t="str">
            <v>Ashley Koehler</v>
          </cell>
          <cell r="BQ26" t="str">
            <v/>
          </cell>
        </row>
        <row r="27">
          <cell r="A27" t="str">
            <v>ME1C</v>
          </cell>
          <cell r="AS27" t="str">
            <v>Sina Clegg</v>
          </cell>
          <cell r="BQ27" t="str">
            <v/>
          </cell>
        </row>
        <row r="28">
          <cell r="A28" t="str">
            <v>ME1D</v>
          </cell>
          <cell r="AS28" t="str">
            <v>Florence Laroche</v>
          </cell>
          <cell r="BQ28" t="str">
            <v/>
          </cell>
        </row>
        <row r="29">
          <cell r="A29" t="str">
            <v>Wendler</v>
          </cell>
          <cell r="D29">
            <v>5</v>
          </cell>
          <cell r="E29">
            <v>5</v>
          </cell>
          <cell r="F29">
            <v>5</v>
          </cell>
          <cell r="M29">
            <v>3</v>
          </cell>
          <cell r="N29">
            <v>3</v>
          </cell>
          <cell r="O29">
            <v>3</v>
          </cell>
          <cell r="V29">
            <v>5</v>
          </cell>
          <cell r="W29">
            <v>3</v>
          </cell>
          <cell r="X29">
            <v>1</v>
          </cell>
          <cell r="AE29">
            <v>5</v>
          </cell>
          <cell r="AF29">
            <v>5</v>
          </cell>
          <cell r="AG29">
            <v>5</v>
          </cell>
          <cell r="BQ29" t="str">
            <v/>
          </cell>
        </row>
        <row r="30">
          <cell r="BQ30" t="str">
            <v/>
          </cell>
        </row>
        <row r="31">
          <cell r="A31" t="str">
            <v>REPEATED</v>
          </cell>
          <cell r="BQ31" t="str">
            <v/>
          </cell>
        </row>
        <row r="32">
          <cell r="A32" t="str">
            <v>RE1A</v>
          </cell>
          <cell r="D32">
            <v>15</v>
          </cell>
          <cell r="E32">
            <v>15</v>
          </cell>
          <cell r="F32">
            <v>15</v>
          </cell>
          <cell r="G32">
            <v>15</v>
          </cell>
          <cell r="M32">
            <v>15</v>
          </cell>
          <cell r="N32">
            <v>15</v>
          </cell>
          <cell r="O32">
            <v>15</v>
          </cell>
          <cell r="P32">
            <v>15</v>
          </cell>
          <cell r="V32">
            <v>15</v>
          </cell>
          <cell r="W32">
            <v>15</v>
          </cell>
          <cell r="X32">
            <v>15</v>
          </cell>
          <cell r="Y32">
            <v>15</v>
          </cell>
          <cell r="AE32">
            <v>15</v>
          </cell>
          <cell r="AF32">
            <v>15</v>
          </cell>
          <cell r="AG32">
            <v>15</v>
          </cell>
          <cell r="BI32" t="str">
            <v>% MAX</v>
          </cell>
          <cell r="BQ32" t="str">
            <v/>
          </cell>
        </row>
        <row r="33">
          <cell r="A33" t="str">
            <v>RE1B</v>
          </cell>
          <cell r="D33">
            <v>12</v>
          </cell>
          <cell r="E33">
            <v>12</v>
          </cell>
          <cell r="F33">
            <v>12</v>
          </cell>
          <cell r="G33">
            <v>12</v>
          </cell>
          <cell r="M33">
            <v>12</v>
          </cell>
          <cell r="N33">
            <v>12</v>
          </cell>
          <cell r="O33">
            <v>12</v>
          </cell>
          <cell r="P33">
            <v>12</v>
          </cell>
          <cell r="V33">
            <v>12</v>
          </cell>
          <cell r="W33">
            <v>12</v>
          </cell>
          <cell r="X33">
            <v>12</v>
          </cell>
          <cell r="Y33">
            <v>12</v>
          </cell>
          <cell r="AE33">
            <v>12</v>
          </cell>
          <cell r="AF33">
            <v>12</v>
          </cell>
          <cell r="AG33">
            <v>12</v>
          </cell>
          <cell r="BI33">
            <v>1</v>
          </cell>
          <cell r="BQ33" t="str">
            <v/>
          </cell>
        </row>
        <row r="34">
          <cell r="A34" t="str">
            <v>RE1C</v>
          </cell>
          <cell r="D34">
            <v>10</v>
          </cell>
          <cell r="E34">
            <v>10</v>
          </cell>
          <cell r="F34">
            <v>10</v>
          </cell>
          <cell r="G34">
            <v>10</v>
          </cell>
          <cell r="M34">
            <v>10</v>
          </cell>
          <cell r="N34">
            <v>10</v>
          </cell>
          <cell r="O34">
            <v>10</v>
          </cell>
          <cell r="P34">
            <v>10</v>
          </cell>
          <cell r="V34">
            <v>10</v>
          </cell>
          <cell r="W34">
            <v>10</v>
          </cell>
          <cell r="X34">
            <v>10</v>
          </cell>
          <cell r="Y34">
            <v>10</v>
          </cell>
          <cell r="AE34">
            <v>10</v>
          </cell>
          <cell r="AF34">
            <v>10</v>
          </cell>
          <cell r="AG34">
            <v>10</v>
          </cell>
          <cell r="BI34">
            <v>0.95</v>
          </cell>
          <cell r="BQ34" t="str">
            <v/>
          </cell>
        </row>
        <row r="35">
          <cell r="A35" t="str">
            <v>RE1D</v>
          </cell>
          <cell r="D35">
            <v>8</v>
          </cell>
          <cell r="E35">
            <v>8</v>
          </cell>
          <cell r="F35">
            <v>8</v>
          </cell>
          <cell r="G35">
            <v>8</v>
          </cell>
          <cell r="M35">
            <v>8</v>
          </cell>
          <cell r="N35">
            <v>8</v>
          </cell>
          <cell r="O35">
            <v>8</v>
          </cell>
          <cell r="P35">
            <v>8</v>
          </cell>
          <cell r="V35">
            <v>8</v>
          </cell>
          <cell r="W35">
            <v>8</v>
          </cell>
          <cell r="X35">
            <v>8</v>
          </cell>
          <cell r="Y35">
            <v>8</v>
          </cell>
          <cell r="AE35">
            <v>8</v>
          </cell>
          <cell r="AF35">
            <v>8</v>
          </cell>
          <cell r="AG35">
            <v>8</v>
          </cell>
          <cell r="BI35">
            <v>0.93</v>
          </cell>
          <cell r="BQ35" t="str">
            <v/>
          </cell>
        </row>
        <row r="36">
          <cell r="A36" t="str">
            <v>RE1E</v>
          </cell>
          <cell r="D36">
            <v>8</v>
          </cell>
          <cell r="E36">
            <v>8</v>
          </cell>
          <cell r="F36">
            <v>8</v>
          </cell>
          <cell r="G36">
            <v>8</v>
          </cell>
          <cell r="M36">
            <v>10</v>
          </cell>
          <cell r="N36">
            <v>10</v>
          </cell>
          <cell r="O36">
            <v>8</v>
          </cell>
          <cell r="P36">
            <v>8</v>
          </cell>
          <cell r="V36">
            <v>10</v>
          </cell>
          <cell r="W36">
            <v>10</v>
          </cell>
          <cell r="X36">
            <v>10</v>
          </cell>
          <cell r="Y36">
            <v>10</v>
          </cell>
          <cell r="AE36">
            <v>10</v>
          </cell>
          <cell r="AF36">
            <v>10</v>
          </cell>
          <cell r="AG36">
            <v>10</v>
          </cell>
          <cell r="BI36">
            <v>0.9</v>
          </cell>
          <cell r="BQ36" t="str">
            <v/>
          </cell>
        </row>
        <row r="37">
          <cell r="BQ37" t="str">
            <v/>
          </cell>
        </row>
        <row r="38">
          <cell r="BQ38" t="str">
            <v/>
          </cell>
        </row>
        <row r="39">
          <cell r="A39" t="str">
            <v>MISC</v>
          </cell>
          <cell r="BQ39" t="str">
            <v/>
          </cell>
        </row>
        <row r="40">
          <cell r="A40" t="str">
            <v>3xMax</v>
          </cell>
          <cell r="D40" t="str">
            <v>Max</v>
          </cell>
          <cell r="E40" t="str">
            <v>Max</v>
          </cell>
          <cell r="F40" t="str">
            <v>Max</v>
          </cell>
          <cell r="M40" t="str">
            <v>Max</v>
          </cell>
          <cell r="N40" t="str">
            <v>Max</v>
          </cell>
          <cell r="O40" t="str">
            <v>Max</v>
          </cell>
          <cell r="V40" t="str">
            <v>Max</v>
          </cell>
          <cell r="W40" t="str">
            <v>Max</v>
          </cell>
          <cell r="X40" t="str">
            <v>Max</v>
          </cell>
          <cell r="AE40" t="str">
            <v>Max</v>
          </cell>
          <cell r="AF40" t="str">
            <v>Max</v>
          </cell>
          <cell r="AG40" t="str">
            <v>Max</v>
          </cell>
          <cell r="BQ40" t="str">
            <v/>
          </cell>
        </row>
        <row r="41">
          <cell r="A41" t="str">
            <v>4xMax</v>
          </cell>
          <cell r="D41" t="str">
            <v>Max</v>
          </cell>
          <cell r="E41" t="str">
            <v>Max</v>
          </cell>
          <cell r="F41" t="str">
            <v>Max</v>
          </cell>
          <cell r="G41" t="str">
            <v>Max</v>
          </cell>
          <cell r="M41" t="str">
            <v>Max</v>
          </cell>
          <cell r="N41" t="str">
            <v>Max</v>
          </cell>
          <cell r="O41" t="str">
            <v>Max</v>
          </cell>
          <cell r="P41" t="str">
            <v>Max</v>
          </cell>
          <cell r="V41" t="str">
            <v>Max</v>
          </cell>
          <cell r="W41" t="str">
            <v>Max</v>
          </cell>
          <cell r="X41" t="str">
            <v>Max</v>
          </cell>
          <cell r="Y41" t="str">
            <v>Max</v>
          </cell>
          <cell r="AE41" t="str">
            <v>Max</v>
          </cell>
          <cell r="AF41" t="str">
            <v>Max</v>
          </cell>
          <cell r="AG41" t="str">
            <v>Max</v>
          </cell>
          <cell r="AH41" t="str">
            <v>Max</v>
          </cell>
          <cell r="BQ41" t="str">
            <v/>
          </cell>
        </row>
        <row r="42">
          <cell r="BQ42" t="str">
            <v/>
          </cell>
        </row>
        <row r="43">
          <cell r="A43" t="str">
            <v>PREHAB</v>
          </cell>
          <cell r="BQ43" t="str">
            <v/>
          </cell>
        </row>
        <row r="44">
          <cell r="A44" t="str">
            <v>1AB</v>
          </cell>
          <cell r="D44" t="str">
            <v>1A</v>
          </cell>
          <cell r="E44" t="str">
            <v>1B</v>
          </cell>
          <cell r="M44" t="str">
            <v>1A</v>
          </cell>
          <cell r="N44" t="str">
            <v>1B</v>
          </cell>
          <cell r="V44" t="str">
            <v>1A</v>
          </cell>
          <cell r="W44" t="str">
            <v>1B</v>
          </cell>
          <cell r="AE44" t="str">
            <v>1A</v>
          </cell>
          <cell r="AF44" t="str">
            <v>1B</v>
          </cell>
          <cell r="BQ44" t="str">
            <v/>
          </cell>
        </row>
        <row r="45">
          <cell r="A45" t="str">
            <v>1A</v>
          </cell>
          <cell r="D45" t="str">
            <v>1A</v>
          </cell>
          <cell r="M45" t="str">
            <v>1A</v>
          </cell>
          <cell r="V45" t="str">
            <v>1A</v>
          </cell>
          <cell r="AE45" t="str">
            <v>1A</v>
          </cell>
          <cell r="AM45" t="str">
            <v>Program Objectives</v>
          </cell>
          <cell r="AS45" t="str">
            <v>TrapBar Deadlift</v>
          </cell>
          <cell r="AT45">
            <v>43258</v>
          </cell>
          <cell r="AU45">
            <v>120</v>
          </cell>
          <cell r="AV45">
            <v>5</v>
          </cell>
          <cell r="AY45" t="str">
            <v>TrapBar Deadlift43258</v>
          </cell>
          <cell r="BQ45" t="str">
            <v/>
          </cell>
        </row>
        <row r="46">
          <cell r="A46" t="str">
            <v>1B</v>
          </cell>
          <cell r="D46" t="str">
            <v>1B</v>
          </cell>
          <cell r="M46" t="str">
            <v>1B</v>
          </cell>
          <cell r="V46" t="str">
            <v>1B</v>
          </cell>
          <cell r="AE46" t="str">
            <v>1B</v>
          </cell>
          <cell r="AM46" t="str">
            <v>Accumulation</v>
          </cell>
          <cell r="AS46" t="str">
            <v>Power Clean</v>
          </cell>
          <cell r="AT46">
            <v>43260</v>
          </cell>
          <cell r="AU46">
            <v>90</v>
          </cell>
          <cell r="AV46">
            <v>3</v>
          </cell>
          <cell r="AY46" t="str">
            <v>Power Clean43260</v>
          </cell>
          <cell r="BQ46" t="str">
            <v/>
          </cell>
        </row>
        <row r="47">
          <cell r="A47" t="str">
            <v>2AB</v>
          </cell>
          <cell r="D47" t="str">
            <v>2A</v>
          </cell>
          <cell r="E47" t="str">
            <v>2B</v>
          </cell>
          <cell r="M47" t="str">
            <v>2A</v>
          </cell>
          <cell r="N47" t="str">
            <v>2B</v>
          </cell>
          <cell r="V47" t="str">
            <v>2A</v>
          </cell>
          <cell r="W47" t="str">
            <v>2B</v>
          </cell>
          <cell r="AE47" t="str">
            <v>2A</v>
          </cell>
          <cell r="AF47" t="str">
            <v>2B</v>
          </cell>
          <cell r="AM47" t="str">
            <v>Hypertrophy</v>
          </cell>
          <cell r="AS47" t="str">
            <v>Back Squat</v>
          </cell>
          <cell r="AT47">
            <v>43260</v>
          </cell>
          <cell r="AU47">
            <v>95</v>
          </cell>
          <cell r="AV47">
            <v>4</v>
          </cell>
          <cell r="AY47" t="str">
            <v>Back Squat43260</v>
          </cell>
          <cell r="BQ47" t="str">
            <v/>
          </cell>
        </row>
        <row r="48">
          <cell r="A48" t="str">
            <v>2A</v>
          </cell>
          <cell r="D48" t="str">
            <v>2A</v>
          </cell>
          <cell r="M48" t="str">
            <v>2A</v>
          </cell>
          <cell r="V48" t="str">
            <v>2A</v>
          </cell>
          <cell r="AE48" t="str">
            <v>2A</v>
          </cell>
          <cell r="AM48" t="str">
            <v>Max Strength</v>
          </cell>
          <cell r="AS48" t="str">
            <v>Snatch</v>
          </cell>
          <cell r="AT48">
            <v>43271</v>
          </cell>
          <cell r="AU48">
            <v>45</v>
          </cell>
          <cell r="AV48">
            <v>3</v>
          </cell>
          <cell r="AY48" t="str">
            <v>Snatch43271</v>
          </cell>
          <cell r="BQ48" t="str">
            <v/>
          </cell>
        </row>
        <row r="49">
          <cell r="A49" t="str">
            <v>2B</v>
          </cell>
          <cell r="D49" t="str">
            <v>2B</v>
          </cell>
          <cell r="M49" t="str">
            <v>2B</v>
          </cell>
          <cell r="V49" t="str">
            <v>2B</v>
          </cell>
          <cell r="AE49" t="str">
            <v>2B</v>
          </cell>
          <cell r="AM49" t="str">
            <v>Strength-Speed</v>
          </cell>
          <cell r="AS49" t="str">
            <v>Deadlift</v>
          </cell>
          <cell r="AT49">
            <v>43271</v>
          </cell>
          <cell r="AU49">
            <v>110</v>
          </cell>
          <cell r="AV49">
            <v>5</v>
          </cell>
          <cell r="AY49" t="str">
            <v>Deadlift43271</v>
          </cell>
          <cell r="BQ49" t="str">
            <v/>
          </cell>
        </row>
        <row r="50">
          <cell r="A50" t="str">
            <v>3AB</v>
          </cell>
          <cell r="D50" t="str">
            <v>3A</v>
          </cell>
          <cell r="E50" t="str">
            <v>3B</v>
          </cell>
          <cell r="M50" t="str">
            <v>3A</v>
          </cell>
          <cell r="N50" t="str">
            <v>3B</v>
          </cell>
          <cell r="V50" t="str">
            <v>3A</v>
          </cell>
          <cell r="W50" t="str">
            <v>3B</v>
          </cell>
          <cell r="AE50" t="str">
            <v>3A</v>
          </cell>
          <cell r="AF50" t="str">
            <v>3B</v>
          </cell>
          <cell r="AM50" t="str">
            <v>Speed-Strength</v>
          </cell>
          <cell r="AS50" t="str">
            <v>Front Squat</v>
          </cell>
          <cell r="AT50">
            <v>43273</v>
          </cell>
          <cell r="AU50">
            <v>90</v>
          </cell>
          <cell r="AV50">
            <v>5</v>
          </cell>
          <cell r="AY50" t="str">
            <v>Front Squat43273</v>
          </cell>
          <cell r="BQ50" t="str">
            <v/>
          </cell>
        </row>
        <row r="51">
          <cell r="A51" t="str">
            <v>3A</v>
          </cell>
          <cell r="D51" t="str">
            <v>3A</v>
          </cell>
          <cell r="M51" t="str">
            <v>3A</v>
          </cell>
          <cell r="V51" t="str">
            <v>3A</v>
          </cell>
          <cell r="AE51" t="str">
            <v>3A</v>
          </cell>
          <cell r="AM51" t="str">
            <v>Speed</v>
          </cell>
          <cell r="AS51" t="str">
            <v>Pull Up</v>
          </cell>
          <cell r="AT51">
            <v>43273</v>
          </cell>
          <cell r="AU51">
            <v>15</v>
          </cell>
          <cell r="AV51">
            <v>4</v>
          </cell>
          <cell r="AY51" t="str">
            <v>Pull Up43273</v>
          </cell>
          <cell r="BQ51" t="str">
            <v/>
          </cell>
        </row>
        <row r="52">
          <cell r="AM52" t="str">
            <v>Plyometrics</v>
          </cell>
          <cell r="AS52" t="str">
            <v>Deadlift</v>
          </cell>
          <cell r="AT52">
            <v>43300</v>
          </cell>
          <cell r="AU52">
            <v>130</v>
          </cell>
          <cell r="AV52">
            <v>5</v>
          </cell>
          <cell r="AY52" t="str">
            <v>Deadlift43300</v>
          </cell>
          <cell r="BQ52" t="str">
            <v/>
          </cell>
        </row>
        <row r="53">
          <cell r="A53" t="str">
            <v>Pre Season/Accumulation</v>
          </cell>
          <cell r="AM53" t="str">
            <v>Slow Eccentric</v>
          </cell>
          <cell r="AS53" t="str">
            <v>Power Clean</v>
          </cell>
          <cell r="AT53">
            <v>43299</v>
          </cell>
          <cell r="AU53">
            <v>90</v>
          </cell>
          <cell r="AV53">
            <v>3</v>
          </cell>
          <cell r="AY53" t="str">
            <v>Power Clean43299</v>
          </cell>
          <cell r="BQ53" t="str">
            <v/>
          </cell>
        </row>
        <row r="54">
          <cell r="A54" t="str">
            <v>PS-PE1</v>
          </cell>
          <cell r="D54">
            <v>12</v>
          </cell>
          <cell r="E54">
            <v>12</v>
          </cell>
          <cell r="M54">
            <v>10</v>
          </cell>
          <cell r="N54">
            <v>10</v>
          </cell>
          <cell r="O54">
            <v>10</v>
          </cell>
          <cell r="V54">
            <v>12</v>
          </cell>
          <cell r="W54">
            <v>12</v>
          </cell>
          <cell r="X54">
            <v>12</v>
          </cell>
          <cell r="AM54" t="str">
            <v>Fast Eccentric</v>
          </cell>
          <cell r="AS54" t="str">
            <v>Back Squat</v>
          </cell>
          <cell r="AT54">
            <v>43299</v>
          </cell>
          <cell r="AU54">
            <v>100</v>
          </cell>
          <cell r="AV54">
            <v>4</v>
          </cell>
          <cell r="AY54" t="str">
            <v>Back Squat43299</v>
          </cell>
          <cell r="BQ54" t="str">
            <v/>
          </cell>
        </row>
        <row r="55">
          <cell r="A55" t="str">
            <v>PS-PE1a</v>
          </cell>
          <cell r="AS55" t="str">
            <v>Front Squat</v>
          </cell>
          <cell r="AT55">
            <v>43364</v>
          </cell>
          <cell r="AU55">
            <v>90</v>
          </cell>
          <cell r="AV55">
            <v>3</v>
          </cell>
          <cell r="AY55" t="str">
            <v>Front Squat43364</v>
          </cell>
          <cell r="BQ55" t="str">
            <v/>
          </cell>
        </row>
        <row r="56">
          <cell r="A56" t="str">
            <v>PS-PE2</v>
          </cell>
          <cell r="D56">
            <v>10</v>
          </cell>
          <cell r="E56">
            <v>10</v>
          </cell>
          <cell r="F56">
            <v>10</v>
          </cell>
          <cell r="M56">
            <v>12</v>
          </cell>
          <cell r="N56">
            <v>12</v>
          </cell>
          <cell r="O56">
            <v>12</v>
          </cell>
          <cell r="V56">
            <v>14</v>
          </cell>
          <cell r="W56">
            <v>14</v>
          </cell>
          <cell r="X56">
            <v>14</v>
          </cell>
          <cell r="AS56" t="str">
            <v>Jerk</v>
          </cell>
          <cell r="AT56">
            <v>43364</v>
          </cell>
          <cell r="AU56">
            <v>55</v>
          </cell>
          <cell r="AV56">
            <v>4</v>
          </cell>
          <cell r="AY56" t="str">
            <v>Jerk43364</v>
          </cell>
          <cell r="BQ56" t="str">
            <v/>
          </cell>
        </row>
        <row r="57">
          <cell r="A57" t="str">
            <v>PS-PE2a</v>
          </cell>
          <cell r="D57">
            <v>6</v>
          </cell>
          <cell r="E57">
            <v>6</v>
          </cell>
          <cell r="F57">
            <v>6</v>
          </cell>
          <cell r="M57">
            <v>8</v>
          </cell>
          <cell r="N57">
            <v>8</v>
          </cell>
          <cell r="O57">
            <v>8</v>
          </cell>
          <cell r="V57">
            <v>10</v>
          </cell>
          <cell r="W57">
            <v>10</v>
          </cell>
          <cell r="X57">
            <v>10</v>
          </cell>
          <cell r="AS57" t="str">
            <v>Power Clean</v>
          </cell>
          <cell r="AT57">
            <v>43424</v>
          </cell>
          <cell r="AU57">
            <v>90</v>
          </cell>
          <cell r="AV57">
            <v>3</v>
          </cell>
          <cell r="AY57" t="str">
            <v>Power Clean43424</v>
          </cell>
          <cell r="BQ57" t="str">
            <v/>
          </cell>
        </row>
        <row r="58">
          <cell r="AM58" t="str">
            <v>Phases</v>
          </cell>
          <cell r="AS58" t="str">
            <v>Jerk</v>
          </cell>
          <cell r="AT58">
            <v>43424</v>
          </cell>
          <cell r="AU58">
            <v>60</v>
          </cell>
          <cell r="AV58">
            <v>4</v>
          </cell>
          <cell r="AY58" t="str">
            <v>Jerk43424</v>
          </cell>
          <cell r="BQ58" t="str">
            <v/>
          </cell>
        </row>
        <row r="59">
          <cell r="AM59" t="str">
            <v>General Prep - Technique Development</v>
          </cell>
          <cell r="AS59" t="str">
            <v>Back Squat</v>
          </cell>
          <cell r="AT59">
            <v>43426</v>
          </cell>
          <cell r="AU59">
            <v>110</v>
          </cell>
          <cell r="AV59">
            <v>4</v>
          </cell>
          <cell r="AY59" t="str">
            <v>Back Squat43426</v>
          </cell>
          <cell r="BQ59" t="str">
            <v/>
          </cell>
        </row>
        <row r="60">
          <cell r="A60" t="str">
            <v>PS-RE1</v>
          </cell>
          <cell r="D60">
            <v>8</v>
          </cell>
          <cell r="E60">
            <v>8</v>
          </cell>
          <cell r="F60">
            <v>8</v>
          </cell>
          <cell r="G60">
            <v>8</v>
          </cell>
          <cell r="M60">
            <v>8</v>
          </cell>
          <cell r="N60">
            <v>8</v>
          </cell>
          <cell r="O60">
            <v>8</v>
          </cell>
          <cell r="P60">
            <v>8</v>
          </cell>
          <cell r="V60">
            <v>8</v>
          </cell>
          <cell r="W60">
            <v>8</v>
          </cell>
          <cell r="X60">
            <v>8</v>
          </cell>
          <cell r="AM60" t="str">
            <v>General Prep - Hypertrophy</v>
          </cell>
          <cell r="AS60" t="str">
            <v>Back Squat</v>
          </cell>
          <cell r="AT60">
            <v>43442</v>
          </cell>
          <cell r="AU60">
            <v>100</v>
          </cell>
          <cell r="AV60">
            <v>2</v>
          </cell>
          <cell r="AY60" t="str">
            <v>Back Squat43442</v>
          </cell>
          <cell r="BQ60" t="str">
            <v/>
          </cell>
        </row>
        <row r="61">
          <cell r="A61" t="str">
            <v>PS-RE1a</v>
          </cell>
          <cell r="D61">
            <v>10</v>
          </cell>
          <cell r="E61">
            <v>10</v>
          </cell>
          <cell r="F61">
            <v>10</v>
          </cell>
          <cell r="G61">
            <v>10</v>
          </cell>
          <cell r="M61">
            <v>10</v>
          </cell>
          <cell r="N61">
            <v>10</v>
          </cell>
          <cell r="O61">
            <v>8</v>
          </cell>
          <cell r="P61">
            <v>8</v>
          </cell>
          <cell r="V61">
            <v>8</v>
          </cell>
          <cell r="W61">
            <v>8</v>
          </cell>
          <cell r="X61">
            <v>8</v>
          </cell>
          <cell r="Y61">
            <v>8</v>
          </cell>
          <cell r="AE61">
            <v>8</v>
          </cell>
          <cell r="AF61">
            <v>8</v>
          </cell>
          <cell r="AG61">
            <v>8</v>
          </cell>
          <cell r="AM61" t="str">
            <v>General Prep - Strength Base</v>
          </cell>
          <cell r="AS61" t="str">
            <v>Deadlift</v>
          </cell>
          <cell r="AT61">
            <v>43477</v>
          </cell>
          <cell r="AU61">
            <v>150</v>
          </cell>
          <cell r="AV61">
            <v>3</v>
          </cell>
          <cell r="AY61" t="str">
            <v>Deadlift43477</v>
          </cell>
          <cell r="BQ61" t="str">
            <v/>
          </cell>
        </row>
        <row r="62">
          <cell r="A62" t="str">
            <v>PS-RE1b</v>
          </cell>
          <cell r="D62">
            <v>8</v>
          </cell>
          <cell r="E62">
            <v>8</v>
          </cell>
          <cell r="F62">
            <v>8</v>
          </cell>
          <cell r="G62">
            <v>8</v>
          </cell>
          <cell r="M62">
            <v>8</v>
          </cell>
          <cell r="N62">
            <v>8</v>
          </cell>
          <cell r="O62">
            <v>8</v>
          </cell>
          <cell r="P62">
            <v>8</v>
          </cell>
          <cell r="V62">
            <v>7</v>
          </cell>
          <cell r="W62">
            <v>7</v>
          </cell>
          <cell r="X62">
            <v>7</v>
          </cell>
          <cell r="Y62">
            <v>7</v>
          </cell>
          <cell r="AE62">
            <v>7</v>
          </cell>
          <cell r="AF62">
            <v>7</v>
          </cell>
          <cell r="AG62">
            <v>7</v>
          </cell>
          <cell r="AM62" t="str">
            <v>General Prep - Muscle Endurance</v>
          </cell>
          <cell r="AS62" t="str">
            <v>Back Squat</v>
          </cell>
          <cell r="AT62">
            <v>43501</v>
          </cell>
          <cell r="AU62">
            <v>105</v>
          </cell>
          <cell r="AV62">
            <v>2</v>
          </cell>
          <cell r="AY62" t="str">
            <v>Back Squat43501</v>
          </cell>
          <cell r="BQ62" t="str">
            <v/>
          </cell>
        </row>
        <row r="63">
          <cell r="A63" t="str">
            <v>PS-RE1c</v>
          </cell>
          <cell r="D63">
            <v>8</v>
          </cell>
          <cell r="E63">
            <v>8</v>
          </cell>
          <cell r="F63">
            <v>7</v>
          </cell>
          <cell r="G63">
            <v>7</v>
          </cell>
          <cell r="M63">
            <v>8</v>
          </cell>
          <cell r="N63">
            <v>7</v>
          </cell>
          <cell r="O63">
            <v>7</v>
          </cell>
          <cell r="P63">
            <v>6</v>
          </cell>
          <cell r="V63">
            <v>7</v>
          </cell>
          <cell r="W63">
            <v>7</v>
          </cell>
          <cell r="X63">
            <v>6</v>
          </cell>
          <cell r="Y63">
            <v>6</v>
          </cell>
          <cell r="AE63">
            <v>7</v>
          </cell>
          <cell r="AF63">
            <v>6</v>
          </cell>
          <cell r="AG63">
            <v>6</v>
          </cell>
          <cell r="AM63" t="str">
            <v>Specific Prep - Strength</v>
          </cell>
          <cell r="AS63" t="str">
            <v>Back Squat</v>
          </cell>
          <cell r="AT63">
            <v>43508</v>
          </cell>
          <cell r="AU63">
            <v>120</v>
          </cell>
          <cell r="AV63">
            <v>2</v>
          </cell>
          <cell r="AY63" t="str">
            <v>Back Squat43508</v>
          </cell>
          <cell r="BQ63" t="str">
            <v/>
          </cell>
        </row>
        <row r="64">
          <cell r="A64" t="str">
            <v>PS-RE2</v>
          </cell>
          <cell r="D64">
            <v>8</v>
          </cell>
          <cell r="E64">
            <v>8</v>
          </cell>
          <cell r="F64">
            <v>8</v>
          </cell>
          <cell r="G64">
            <v>8</v>
          </cell>
          <cell r="M64">
            <v>10</v>
          </cell>
          <cell r="N64">
            <v>10</v>
          </cell>
          <cell r="O64">
            <v>10</v>
          </cell>
          <cell r="P64">
            <v>10</v>
          </cell>
          <cell r="V64">
            <v>12</v>
          </cell>
          <cell r="W64">
            <v>12</v>
          </cell>
          <cell r="X64">
            <v>12</v>
          </cell>
          <cell r="AM64" t="str">
            <v>Specifc Prep - Strength/Power</v>
          </cell>
          <cell r="AS64" t="str">
            <v>Back Squat</v>
          </cell>
          <cell r="AT64">
            <v>43524</v>
          </cell>
          <cell r="AU64">
            <v>130</v>
          </cell>
          <cell r="AV64">
            <v>2</v>
          </cell>
          <cell r="AY64" t="str">
            <v>Back Squat43524</v>
          </cell>
          <cell r="BQ64" t="str">
            <v/>
          </cell>
        </row>
        <row r="65">
          <cell r="A65" t="str">
            <v>PS-RE3</v>
          </cell>
          <cell r="D65">
            <v>12</v>
          </cell>
          <cell r="E65">
            <v>12</v>
          </cell>
          <cell r="F65">
            <v>12</v>
          </cell>
          <cell r="G65">
            <v>12</v>
          </cell>
          <cell r="M65">
            <v>14</v>
          </cell>
          <cell r="N65">
            <v>14</v>
          </cell>
          <cell r="O65">
            <v>14</v>
          </cell>
          <cell r="P65">
            <v>14</v>
          </cell>
          <cell r="V65">
            <v>16</v>
          </cell>
          <cell r="W65">
            <v>16</v>
          </cell>
          <cell r="X65">
            <v>16</v>
          </cell>
          <cell r="Y65">
            <v>16</v>
          </cell>
          <cell r="AE65">
            <v>18</v>
          </cell>
          <cell r="AF65">
            <v>18</v>
          </cell>
          <cell r="AG65">
            <v>18</v>
          </cell>
          <cell r="AM65" t="str">
            <v>Specifc Prep - Power</v>
          </cell>
          <cell r="AS65" t="str">
            <v>Pull Up</v>
          </cell>
          <cell r="AT65">
            <v>43524</v>
          </cell>
          <cell r="AU65">
            <v>20</v>
          </cell>
          <cell r="AV65">
            <v>4</v>
          </cell>
          <cell r="AY65" t="str">
            <v>Pull Up43524</v>
          </cell>
          <cell r="BQ65" t="str">
            <v/>
          </cell>
        </row>
        <row r="66">
          <cell r="A66" t="str">
            <v>PS-RE3a</v>
          </cell>
          <cell r="D66">
            <v>10</v>
          </cell>
          <cell r="E66">
            <v>10</v>
          </cell>
          <cell r="F66">
            <v>10</v>
          </cell>
          <cell r="G66">
            <v>10</v>
          </cell>
          <cell r="M66">
            <v>12</v>
          </cell>
          <cell r="N66">
            <v>12</v>
          </cell>
          <cell r="O66">
            <v>12</v>
          </cell>
          <cell r="P66">
            <v>12</v>
          </cell>
          <cell r="V66">
            <v>14</v>
          </cell>
          <cell r="W66">
            <v>14</v>
          </cell>
          <cell r="X66">
            <v>12</v>
          </cell>
          <cell r="Y66">
            <v>12</v>
          </cell>
          <cell r="AE66">
            <v>14</v>
          </cell>
          <cell r="AF66">
            <v>14</v>
          </cell>
          <cell r="AG66">
            <v>14</v>
          </cell>
          <cell r="AM66" t="str">
            <v>Specific Prep - Power Endurance</v>
          </cell>
          <cell r="AS66" t="str">
            <v>Deadlift</v>
          </cell>
          <cell r="AT66">
            <v>43526</v>
          </cell>
          <cell r="AU66">
            <v>130</v>
          </cell>
          <cell r="AV66">
            <v>3</v>
          </cell>
          <cell r="AY66" t="str">
            <v>Deadlift43526</v>
          </cell>
          <cell r="BQ66" t="str">
            <v/>
          </cell>
        </row>
        <row r="67">
          <cell r="A67" t="str">
            <v>PS-DE1</v>
          </cell>
          <cell r="D67">
            <v>6</v>
          </cell>
          <cell r="E67">
            <v>6</v>
          </cell>
          <cell r="F67">
            <v>6</v>
          </cell>
          <cell r="M67">
            <v>5</v>
          </cell>
          <cell r="N67">
            <v>5</v>
          </cell>
          <cell r="O67">
            <v>5</v>
          </cell>
          <cell r="V67">
            <v>4</v>
          </cell>
          <cell r="W67">
            <v>4</v>
          </cell>
          <cell r="X67">
            <v>4</v>
          </cell>
          <cell r="AM67" t="str">
            <v>Strength Maintenance</v>
          </cell>
          <cell r="AS67" t="str">
            <v>Back Squat</v>
          </cell>
          <cell r="AT67">
            <v>43634</v>
          </cell>
          <cell r="AU67">
            <v>115</v>
          </cell>
          <cell r="AV67">
            <v>4</v>
          </cell>
          <cell r="AY67" t="str">
            <v>Back Squat43634</v>
          </cell>
          <cell r="BQ67" t="str">
            <v/>
          </cell>
        </row>
        <row r="68">
          <cell r="AS68" t="str">
            <v>Deadlift</v>
          </cell>
          <cell r="AT68">
            <v>43632</v>
          </cell>
          <cell r="AU68">
            <v>130</v>
          </cell>
          <cell r="AV68">
            <v>5</v>
          </cell>
          <cell r="AY68" t="str">
            <v>Deadlift43632</v>
          </cell>
          <cell r="BQ68" t="str">
            <v/>
          </cell>
        </row>
        <row r="69">
          <cell r="AS69" t="str">
            <v>Front Squat</v>
          </cell>
          <cell r="AT69">
            <v>43663</v>
          </cell>
          <cell r="AU69">
            <v>95</v>
          </cell>
          <cell r="AV69">
            <v>4</v>
          </cell>
          <cell r="AY69" t="str">
            <v>Front Squat43663</v>
          </cell>
          <cell r="BQ69" t="str">
            <v/>
          </cell>
        </row>
        <row r="70">
          <cell r="A70" t="str">
            <v>Pull Ups</v>
          </cell>
          <cell r="AS70" t="str">
            <v>Snatch</v>
          </cell>
          <cell r="AT70">
            <v>43663</v>
          </cell>
          <cell r="AU70">
            <v>45</v>
          </cell>
          <cell r="AV70">
            <v>3</v>
          </cell>
          <cell r="AY70" t="str">
            <v>Snatch43663</v>
          </cell>
          <cell r="BQ70" t="str">
            <v/>
          </cell>
        </row>
        <row r="71">
          <cell r="A71" t="str">
            <v>PU-RE1</v>
          </cell>
          <cell r="D71">
            <v>8</v>
          </cell>
          <cell r="E71">
            <v>8</v>
          </cell>
          <cell r="F71">
            <v>8</v>
          </cell>
          <cell r="G71">
            <v>8</v>
          </cell>
          <cell r="M71">
            <v>10</v>
          </cell>
          <cell r="N71">
            <v>10</v>
          </cell>
          <cell r="O71">
            <v>8</v>
          </cell>
          <cell r="P71">
            <v>8</v>
          </cell>
          <cell r="V71">
            <v>12</v>
          </cell>
          <cell r="W71">
            <v>10</v>
          </cell>
          <cell r="X71">
            <v>10</v>
          </cell>
          <cell r="Y71">
            <v>8</v>
          </cell>
          <cell r="AS71" t="str">
            <v>Power Clean</v>
          </cell>
          <cell r="AT71">
            <v>43665</v>
          </cell>
          <cell r="AU71">
            <v>95</v>
          </cell>
          <cell r="AV71">
            <v>2</v>
          </cell>
          <cell r="AY71" t="str">
            <v>Power Clean43665</v>
          </cell>
          <cell r="BQ71" t="str">
            <v/>
          </cell>
        </row>
        <row r="72">
          <cell r="A72" t="str">
            <v>PU-RE2</v>
          </cell>
          <cell r="D72">
            <v>6</v>
          </cell>
          <cell r="E72">
            <v>6</v>
          </cell>
          <cell r="F72">
            <v>6</v>
          </cell>
          <cell r="G72">
            <v>6</v>
          </cell>
          <cell r="M72">
            <v>8</v>
          </cell>
          <cell r="N72">
            <v>6</v>
          </cell>
          <cell r="O72">
            <v>6</v>
          </cell>
          <cell r="P72">
            <v>6</v>
          </cell>
          <cell r="V72">
            <v>8</v>
          </cell>
          <cell r="W72">
            <v>8</v>
          </cell>
          <cell r="X72">
            <v>6</v>
          </cell>
          <cell r="Y72">
            <v>6</v>
          </cell>
          <cell r="AE72">
            <v>8</v>
          </cell>
          <cell r="AF72">
            <v>8</v>
          </cell>
          <cell r="AG72">
            <v>8</v>
          </cell>
          <cell r="AS72" t="str">
            <v>Front Squat</v>
          </cell>
          <cell r="AT72">
            <v>43668</v>
          </cell>
          <cell r="AU72">
            <v>105</v>
          </cell>
          <cell r="AV72">
            <v>4</v>
          </cell>
          <cell r="AY72" t="str">
            <v>Front Squat43668</v>
          </cell>
          <cell r="BQ72" t="str">
            <v/>
          </cell>
        </row>
        <row r="73">
          <cell r="A73" t="str">
            <v>3xMax</v>
          </cell>
          <cell r="D73" t="str">
            <v>Max</v>
          </cell>
          <cell r="E73" t="str">
            <v>Max</v>
          </cell>
          <cell r="F73" t="str">
            <v>Max</v>
          </cell>
          <cell r="M73" t="str">
            <v>Max</v>
          </cell>
          <cell r="N73" t="str">
            <v>Max</v>
          </cell>
          <cell r="O73" t="str">
            <v>Max</v>
          </cell>
          <cell r="V73" t="str">
            <v>Max</v>
          </cell>
          <cell r="W73" t="str">
            <v>Max</v>
          </cell>
          <cell r="X73" t="str">
            <v>Max</v>
          </cell>
          <cell r="AE73" t="str">
            <v>Max</v>
          </cell>
          <cell r="AF73" t="str">
            <v>Max</v>
          </cell>
          <cell r="AG73" t="str">
            <v>Max</v>
          </cell>
          <cell r="AS73" t="str">
            <v>Snatch</v>
          </cell>
          <cell r="AT73">
            <v>43668</v>
          </cell>
          <cell r="AU73">
            <v>50</v>
          </cell>
          <cell r="AV73">
            <v>3</v>
          </cell>
          <cell r="AY73" t="str">
            <v>Snatch43668</v>
          </cell>
          <cell r="BQ73" t="str">
            <v/>
          </cell>
        </row>
        <row r="74">
          <cell r="A74" t="str">
            <v>RC-RE1</v>
          </cell>
          <cell r="D74">
            <v>4</v>
          </cell>
          <cell r="E74">
            <v>3</v>
          </cell>
          <cell r="F74">
            <v>3</v>
          </cell>
          <cell r="G74">
            <v>3</v>
          </cell>
          <cell r="M74">
            <v>4</v>
          </cell>
          <cell r="N74">
            <v>4</v>
          </cell>
          <cell r="O74">
            <v>3</v>
          </cell>
          <cell r="P74">
            <v>3</v>
          </cell>
          <cell r="V74">
            <v>5</v>
          </cell>
          <cell r="W74">
            <v>4</v>
          </cell>
          <cell r="X74">
            <v>3</v>
          </cell>
          <cell r="Y74">
            <v>3</v>
          </cell>
          <cell r="AE74">
            <v>5</v>
          </cell>
          <cell r="AF74">
            <v>4</v>
          </cell>
          <cell r="AG74">
            <v>4</v>
          </cell>
          <cell r="AS74" t="str">
            <v>Front Squat</v>
          </cell>
          <cell r="AT74">
            <v>43672</v>
          </cell>
          <cell r="AU74">
            <v>110</v>
          </cell>
          <cell r="AV74">
            <v>3</v>
          </cell>
          <cell r="AY74" t="str">
            <v>Front Squat43672</v>
          </cell>
          <cell r="BQ74" t="str">
            <v/>
          </cell>
        </row>
        <row r="75">
          <cell r="AS75" t="str">
            <v>Snatch</v>
          </cell>
          <cell r="AT75">
            <v>43672</v>
          </cell>
          <cell r="AU75">
            <v>55</v>
          </cell>
          <cell r="AV75">
            <v>3</v>
          </cell>
          <cell r="AY75" t="str">
            <v>Snatch43672</v>
          </cell>
          <cell r="BQ75" t="str">
            <v/>
          </cell>
        </row>
        <row r="76">
          <cell r="AS76" t="str">
            <v>Back Squat</v>
          </cell>
          <cell r="AT76">
            <v>43689</v>
          </cell>
          <cell r="AU76">
            <v>130</v>
          </cell>
          <cell r="AV76">
            <v>3</v>
          </cell>
          <cell r="AY76" t="str">
            <v>Back Squat43689</v>
          </cell>
          <cell r="BQ76" t="str">
            <v/>
          </cell>
        </row>
        <row r="77">
          <cell r="A77" t="str">
            <v>1x1</v>
          </cell>
          <cell r="D77">
            <v>1</v>
          </cell>
          <cell r="M77">
            <v>1</v>
          </cell>
          <cell r="V77">
            <v>1</v>
          </cell>
          <cell r="AE77">
            <v>1</v>
          </cell>
          <cell r="AS77" t="str">
            <v>Snatch</v>
          </cell>
          <cell r="AT77">
            <v>43689</v>
          </cell>
          <cell r="AU77">
            <v>60</v>
          </cell>
          <cell r="AV77">
            <v>2</v>
          </cell>
          <cell r="AY77" t="str">
            <v>Snatch43689</v>
          </cell>
          <cell r="BQ77" t="str">
            <v/>
          </cell>
        </row>
        <row r="78">
          <cell r="A78" t="str">
            <v>2x1</v>
          </cell>
          <cell r="D78">
            <v>1</v>
          </cell>
          <cell r="E78">
            <v>1</v>
          </cell>
          <cell r="M78">
            <v>1</v>
          </cell>
          <cell r="N78">
            <v>1</v>
          </cell>
          <cell r="V78">
            <v>1</v>
          </cell>
          <cell r="W78">
            <v>1</v>
          </cell>
          <cell r="AE78">
            <v>1</v>
          </cell>
          <cell r="AF78">
            <v>1</v>
          </cell>
          <cell r="AS78" t="str">
            <v>Back Squat</v>
          </cell>
          <cell r="AT78">
            <v>43693</v>
          </cell>
          <cell r="AU78">
            <v>140</v>
          </cell>
          <cell r="AV78">
            <v>2</v>
          </cell>
          <cell r="AY78" t="str">
            <v>Back Squat43693</v>
          </cell>
          <cell r="BQ78" t="str">
            <v/>
          </cell>
        </row>
        <row r="79">
          <cell r="A79" t="str">
            <v>3x1</v>
          </cell>
          <cell r="D79">
            <v>1</v>
          </cell>
          <cell r="E79">
            <v>1</v>
          </cell>
          <cell r="F79">
            <v>1</v>
          </cell>
          <cell r="M79">
            <v>1</v>
          </cell>
          <cell r="N79">
            <v>1</v>
          </cell>
          <cell r="O79">
            <v>1</v>
          </cell>
          <cell r="V79">
            <v>1</v>
          </cell>
          <cell r="W79">
            <v>1</v>
          </cell>
          <cell r="X79">
            <v>1</v>
          </cell>
          <cell r="AE79">
            <v>1</v>
          </cell>
          <cell r="AF79">
            <v>1</v>
          </cell>
          <cell r="AG79">
            <v>1</v>
          </cell>
          <cell r="AS79" t="str">
            <v>Snatch</v>
          </cell>
          <cell r="AT79">
            <v>43693</v>
          </cell>
          <cell r="AU79">
            <v>65</v>
          </cell>
          <cell r="AV79">
            <v>2</v>
          </cell>
          <cell r="AY79" t="str">
            <v>Snatch43693</v>
          </cell>
          <cell r="BQ79" t="str">
            <v/>
          </cell>
        </row>
        <row r="80">
          <cell r="A80" t="str">
            <v>3x1+1</v>
          </cell>
          <cell r="D80">
            <v>1</v>
          </cell>
          <cell r="E80">
            <v>1</v>
          </cell>
          <cell r="F80">
            <v>1</v>
          </cell>
          <cell r="M80">
            <v>2</v>
          </cell>
          <cell r="N80">
            <v>2</v>
          </cell>
          <cell r="O80">
            <v>2</v>
          </cell>
          <cell r="V80">
            <v>3</v>
          </cell>
          <cell r="W80">
            <v>3</v>
          </cell>
          <cell r="X80">
            <v>3</v>
          </cell>
          <cell r="AE80">
            <v>4</v>
          </cell>
          <cell r="AF80">
            <v>4</v>
          </cell>
          <cell r="AG80">
            <v>4</v>
          </cell>
          <cell r="AS80" t="str">
            <v>Power Clean</v>
          </cell>
          <cell r="AT80">
            <v>43697</v>
          </cell>
          <cell r="AU80">
            <v>100</v>
          </cell>
          <cell r="AV80">
            <v>2</v>
          </cell>
          <cell r="AY80" t="str">
            <v>Power Clean43697</v>
          </cell>
          <cell r="BQ80" t="str">
            <v/>
          </cell>
        </row>
        <row r="81">
          <cell r="A81" t="str">
            <v>3x1&lt;2</v>
          </cell>
          <cell r="D81">
            <v>1</v>
          </cell>
          <cell r="E81">
            <v>1</v>
          </cell>
          <cell r="F81">
            <v>1</v>
          </cell>
          <cell r="M81">
            <v>2</v>
          </cell>
          <cell r="N81">
            <v>1</v>
          </cell>
          <cell r="O81">
            <v>1</v>
          </cell>
          <cell r="V81">
            <v>2</v>
          </cell>
          <cell r="W81">
            <v>2</v>
          </cell>
          <cell r="X81">
            <v>1</v>
          </cell>
          <cell r="AE81">
            <v>2</v>
          </cell>
          <cell r="AF81">
            <v>2</v>
          </cell>
          <cell r="AG81">
            <v>2</v>
          </cell>
          <cell r="AS81" t="str">
            <v>Deadlift</v>
          </cell>
          <cell r="AT81">
            <v>43810</v>
          </cell>
          <cell r="AU81">
            <v>156</v>
          </cell>
          <cell r="AV81">
            <v>3</v>
          </cell>
          <cell r="AY81" t="str">
            <v>Deadlift43810</v>
          </cell>
          <cell r="BQ81" t="str">
            <v/>
          </cell>
        </row>
        <row r="82">
          <cell r="A82" t="str">
            <v>4x1</v>
          </cell>
          <cell r="D82">
            <v>1</v>
          </cell>
          <cell r="E82">
            <v>1</v>
          </cell>
          <cell r="F82">
            <v>1</v>
          </cell>
          <cell r="G82">
            <v>1</v>
          </cell>
          <cell r="M82">
            <v>1</v>
          </cell>
          <cell r="N82">
            <v>1</v>
          </cell>
          <cell r="O82">
            <v>1</v>
          </cell>
          <cell r="P82">
            <v>1</v>
          </cell>
          <cell r="V82">
            <v>1</v>
          </cell>
          <cell r="W82">
            <v>1</v>
          </cell>
          <cell r="X82">
            <v>1</v>
          </cell>
          <cell r="Y82">
            <v>1</v>
          </cell>
          <cell r="AE82">
            <v>1</v>
          </cell>
          <cell r="AF82">
            <v>1</v>
          </cell>
          <cell r="AG82">
            <v>1</v>
          </cell>
          <cell r="AH82">
            <v>1</v>
          </cell>
          <cell r="AS82" t="str">
            <v>Deadlift</v>
          </cell>
          <cell r="AT82">
            <v>43840</v>
          </cell>
          <cell r="AU82">
            <v>150</v>
          </cell>
          <cell r="AV82">
            <v>3</v>
          </cell>
          <cell r="AY82" t="str">
            <v>Deadlift43840</v>
          </cell>
          <cell r="BQ82" t="str">
            <v/>
          </cell>
        </row>
        <row r="83">
          <cell r="A83" t="str">
            <v>5x1</v>
          </cell>
          <cell r="D83">
            <v>1</v>
          </cell>
          <cell r="E83">
            <v>1</v>
          </cell>
          <cell r="F83">
            <v>1</v>
          </cell>
          <cell r="G83">
            <v>1</v>
          </cell>
          <cell r="H83">
            <v>1</v>
          </cell>
          <cell r="M83">
            <v>1</v>
          </cell>
          <cell r="N83">
            <v>1</v>
          </cell>
          <cell r="O83">
            <v>1</v>
          </cell>
          <cell r="P83">
            <v>1</v>
          </cell>
          <cell r="Q83">
            <v>1</v>
          </cell>
          <cell r="V83">
            <v>1</v>
          </cell>
          <cell r="W83">
            <v>1</v>
          </cell>
          <cell r="X83">
            <v>1</v>
          </cell>
          <cell r="Y83">
            <v>1</v>
          </cell>
          <cell r="Z83">
            <v>1</v>
          </cell>
          <cell r="AE83">
            <v>1</v>
          </cell>
          <cell r="AF83">
            <v>1</v>
          </cell>
          <cell r="AG83">
            <v>1</v>
          </cell>
          <cell r="AH83">
            <v>1</v>
          </cell>
          <cell r="AI83">
            <v>1</v>
          </cell>
          <cell r="AS83" t="str">
            <v>Power Clean</v>
          </cell>
          <cell r="AT83">
            <v>43842</v>
          </cell>
          <cell r="AU83">
            <v>105</v>
          </cell>
          <cell r="AV83">
            <v>1</v>
          </cell>
          <cell r="AY83" t="str">
            <v>Power Clean43842</v>
          </cell>
          <cell r="BQ83" t="str">
            <v/>
          </cell>
        </row>
        <row r="84">
          <cell r="A84" t="str">
            <v>6x1</v>
          </cell>
          <cell r="D84">
            <v>1</v>
          </cell>
          <cell r="E84">
            <v>1</v>
          </cell>
          <cell r="F84">
            <v>1</v>
          </cell>
          <cell r="G84">
            <v>1</v>
          </cell>
          <cell r="H84">
            <v>1</v>
          </cell>
          <cell r="I84">
            <v>1</v>
          </cell>
          <cell r="M84">
            <v>1</v>
          </cell>
          <cell r="N84">
            <v>1</v>
          </cell>
          <cell r="O84">
            <v>1</v>
          </cell>
          <cell r="P84">
            <v>1</v>
          </cell>
          <cell r="Q84">
            <v>1</v>
          </cell>
          <cell r="R84">
            <v>1</v>
          </cell>
          <cell r="V84">
            <v>1</v>
          </cell>
          <cell r="W84">
            <v>1</v>
          </cell>
          <cell r="X84">
            <v>1</v>
          </cell>
          <cell r="Y84">
            <v>1</v>
          </cell>
          <cell r="Z84">
            <v>1</v>
          </cell>
          <cell r="AA84">
            <v>1</v>
          </cell>
          <cell r="AE84">
            <v>1</v>
          </cell>
          <cell r="AF84">
            <v>1</v>
          </cell>
          <cell r="AG84">
            <v>1</v>
          </cell>
          <cell r="AH84">
            <v>1</v>
          </cell>
          <cell r="AI84">
            <v>1</v>
          </cell>
          <cell r="AJ84">
            <v>1</v>
          </cell>
          <cell r="AS84" t="str">
            <v>Back Squat</v>
          </cell>
          <cell r="AT84">
            <v>43842</v>
          </cell>
          <cell r="AU84">
            <v>130</v>
          </cell>
          <cell r="AV84">
            <v>2</v>
          </cell>
          <cell r="AY84" t="str">
            <v>Back Squat43842</v>
          </cell>
          <cell r="BQ84" t="str">
            <v/>
          </cell>
        </row>
        <row r="85">
          <cell r="A85" t="str">
            <v>2x2</v>
          </cell>
          <cell r="D85">
            <v>2</v>
          </cell>
          <cell r="E85">
            <v>2</v>
          </cell>
          <cell r="M85">
            <v>2</v>
          </cell>
          <cell r="N85">
            <v>2</v>
          </cell>
          <cell r="V85">
            <v>2</v>
          </cell>
          <cell r="W85">
            <v>2</v>
          </cell>
          <cell r="AE85">
            <v>2</v>
          </cell>
          <cell r="AF85">
            <v>2</v>
          </cell>
          <cell r="AS85" t="str">
            <v>Power Clean</v>
          </cell>
          <cell r="AT85">
            <v>44151</v>
          </cell>
          <cell r="AU85">
            <v>105</v>
          </cell>
          <cell r="AV85">
            <v>1</v>
          </cell>
          <cell r="AY85" t="str">
            <v>Power Clean44151</v>
          </cell>
          <cell r="BQ85" t="str">
            <v/>
          </cell>
        </row>
        <row r="86">
          <cell r="A86" t="str">
            <v>3x2</v>
          </cell>
          <cell r="D86">
            <v>2</v>
          </cell>
          <cell r="E86">
            <v>2</v>
          </cell>
          <cell r="F86">
            <v>2</v>
          </cell>
          <cell r="M86">
            <v>2</v>
          </cell>
          <cell r="N86">
            <v>2</v>
          </cell>
          <cell r="O86">
            <v>2</v>
          </cell>
          <cell r="V86">
            <v>2</v>
          </cell>
          <cell r="W86">
            <v>2</v>
          </cell>
          <cell r="X86">
            <v>2</v>
          </cell>
          <cell r="AE86">
            <v>2</v>
          </cell>
          <cell r="AF86">
            <v>2</v>
          </cell>
          <cell r="AG86">
            <v>2</v>
          </cell>
          <cell r="AS86" t="str">
            <v>Deadlift</v>
          </cell>
          <cell r="AT86">
            <v>44151</v>
          </cell>
          <cell r="AU86">
            <v>155</v>
          </cell>
          <cell r="AV86">
            <v>3</v>
          </cell>
          <cell r="AY86" t="str">
            <v>Deadlift44151</v>
          </cell>
          <cell r="BQ86" t="str">
            <v/>
          </cell>
        </row>
        <row r="87">
          <cell r="A87" t="str">
            <v>3x2+1</v>
          </cell>
          <cell r="D87">
            <v>2</v>
          </cell>
          <cell r="E87">
            <v>2</v>
          </cell>
          <cell r="F87">
            <v>2</v>
          </cell>
          <cell r="M87">
            <v>3</v>
          </cell>
          <cell r="N87">
            <v>3</v>
          </cell>
          <cell r="O87">
            <v>3</v>
          </cell>
          <cell r="V87">
            <v>4</v>
          </cell>
          <cell r="W87">
            <v>4</v>
          </cell>
          <cell r="X87">
            <v>4</v>
          </cell>
          <cell r="AE87">
            <v>5</v>
          </cell>
          <cell r="AF87">
            <v>5</v>
          </cell>
          <cell r="AG87">
            <v>5</v>
          </cell>
          <cell r="AS87" t="str">
            <v>Snatch</v>
          </cell>
          <cell r="AT87">
            <v>44158</v>
          </cell>
          <cell r="AU87">
            <v>68</v>
          </cell>
          <cell r="AV87">
            <v>1</v>
          </cell>
          <cell r="AY87" t="str">
            <v>Snatch44158</v>
          </cell>
          <cell r="BQ87" t="str">
            <v/>
          </cell>
        </row>
        <row r="88">
          <cell r="A88" t="str">
            <v>3x2&lt;3</v>
          </cell>
          <cell r="D88">
            <v>2</v>
          </cell>
          <cell r="E88">
            <v>2</v>
          </cell>
          <cell r="F88">
            <v>2</v>
          </cell>
          <cell r="M88">
            <v>3</v>
          </cell>
          <cell r="N88">
            <v>2</v>
          </cell>
          <cell r="O88">
            <v>2</v>
          </cell>
          <cell r="V88">
            <v>3</v>
          </cell>
          <cell r="W88">
            <v>3</v>
          </cell>
          <cell r="X88">
            <v>2</v>
          </cell>
          <cell r="AE88">
            <v>3</v>
          </cell>
          <cell r="AF88">
            <v>3</v>
          </cell>
          <cell r="AG88">
            <v>3</v>
          </cell>
          <cell r="AS88" t="str">
            <v>Back Squat</v>
          </cell>
          <cell r="AT88">
            <v>44158</v>
          </cell>
          <cell r="AU88">
            <v>144</v>
          </cell>
          <cell r="AV88">
            <v>2</v>
          </cell>
          <cell r="AY88" t="str">
            <v>Back Squat44158</v>
          </cell>
          <cell r="BQ88" t="str">
            <v/>
          </cell>
        </row>
        <row r="89">
          <cell r="A89" t="str">
            <v>4x2</v>
          </cell>
          <cell r="D89">
            <v>2</v>
          </cell>
          <cell r="E89">
            <v>2</v>
          </cell>
          <cell r="F89">
            <v>2</v>
          </cell>
          <cell r="G89">
            <v>2</v>
          </cell>
          <cell r="M89">
            <v>2</v>
          </cell>
          <cell r="N89">
            <v>2</v>
          </cell>
          <cell r="O89">
            <v>2</v>
          </cell>
          <cell r="P89">
            <v>2</v>
          </cell>
          <cell r="V89">
            <v>2</v>
          </cell>
          <cell r="W89">
            <v>2</v>
          </cell>
          <cell r="X89">
            <v>2</v>
          </cell>
          <cell r="Y89">
            <v>2</v>
          </cell>
          <cell r="AE89">
            <v>2</v>
          </cell>
          <cell r="AF89">
            <v>2</v>
          </cell>
          <cell r="AG89">
            <v>2</v>
          </cell>
          <cell r="AH89">
            <v>2</v>
          </cell>
          <cell r="AS89" t="str">
            <v>Power Clean</v>
          </cell>
          <cell r="AT89">
            <v>44160</v>
          </cell>
          <cell r="AU89">
            <v>107</v>
          </cell>
          <cell r="AV89">
            <v>1</v>
          </cell>
          <cell r="AY89" t="str">
            <v>Power Clean44160</v>
          </cell>
          <cell r="BQ89" t="str">
            <v/>
          </cell>
        </row>
        <row r="90">
          <cell r="A90" t="str">
            <v>5x2</v>
          </cell>
          <cell r="D90">
            <v>2</v>
          </cell>
          <cell r="E90">
            <v>2</v>
          </cell>
          <cell r="F90">
            <v>2</v>
          </cell>
          <cell r="G90">
            <v>2</v>
          </cell>
          <cell r="H90">
            <v>2</v>
          </cell>
          <cell r="M90">
            <v>2</v>
          </cell>
          <cell r="N90">
            <v>2</v>
          </cell>
          <cell r="O90">
            <v>2</v>
          </cell>
          <cell r="P90">
            <v>2</v>
          </cell>
          <cell r="Q90">
            <v>2</v>
          </cell>
          <cell r="V90">
            <v>2</v>
          </cell>
          <cell r="W90">
            <v>2</v>
          </cell>
          <cell r="X90">
            <v>2</v>
          </cell>
          <cell r="Y90">
            <v>2</v>
          </cell>
          <cell r="Z90">
            <v>2</v>
          </cell>
          <cell r="AE90">
            <v>2</v>
          </cell>
          <cell r="AF90">
            <v>2</v>
          </cell>
          <cell r="AG90">
            <v>2</v>
          </cell>
          <cell r="AH90">
            <v>2</v>
          </cell>
          <cell r="AI90">
            <v>2</v>
          </cell>
          <cell r="AS90" t="str">
            <v>Deadlift</v>
          </cell>
          <cell r="AT90">
            <v>44160</v>
          </cell>
          <cell r="AU90">
            <v>160</v>
          </cell>
          <cell r="AV90">
            <v>3</v>
          </cell>
          <cell r="AY90" t="str">
            <v>Deadlift44160</v>
          </cell>
          <cell r="BQ90" t="str">
            <v/>
          </cell>
        </row>
        <row r="91">
          <cell r="A91" t="str">
            <v>6x2</v>
          </cell>
          <cell r="D91">
            <v>2</v>
          </cell>
          <cell r="E91">
            <v>2</v>
          </cell>
          <cell r="F91">
            <v>2</v>
          </cell>
          <cell r="G91">
            <v>2</v>
          </cell>
          <cell r="H91">
            <v>2</v>
          </cell>
          <cell r="I91">
            <v>2</v>
          </cell>
          <cell r="M91">
            <v>2</v>
          </cell>
          <cell r="N91">
            <v>2</v>
          </cell>
          <cell r="O91">
            <v>2</v>
          </cell>
          <cell r="P91">
            <v>2</v>
          </cell>
          <cell r="Q91">
            <v>2</v>
          </cell>
          <cell r="R91">
            <v>2</v>
          </cell>
          <cell r="V91">
            <v>2</v>
          </cell>
          <cell r="W91">
            <v>2</v>
          </cell>
          <cell r="X91">
            <v>2</v>
          </cell>
          <cell r="Y91">
            <v>2</v>
          </cell>
          <cell r="Z91">
            <v>2</v>
          </cell>
          <cell r="AA91">
            <v>2</v>
          </cell>
          <cell r="AE91">
            <v>2</v>
          </cell>
          <cell r="AF91">
            <v>2</v>
          </cell>
          <cell r="AG91">
            <v>2</v>
          </cell>
          <cell r="AH91">
            <v>2</v>
          </cell>
          <cell r="AI91">
            <v>2</v>
          </cell>
          <cell r="AJ91">
            <v>2</v>
          </cell>
          <cell r="AS91" t="str">
            <v>Deadlift</v>
          </cell>
          <cell r="AT91">
            <v>44160</v>
          </cell>
          <cell r="AU91">
            <v>180</v>
          </cell>
          <cell r="AV91">
            <v>1</v>
          </cell>
          <cell r="AY91" t="str">
            <v>Deadlift44160</v>
          </cell>
          <cell r="BQ91" t="str">
            <v/>
          </cell>
        </row>
        <row r="92">
          <cell r="A92" t="str">
            <v>2x3</v>
          </cell>
          <cell r="D92">
            <v>3</v>
          </cell>
          <cell r="E92">
            <v>3</v>
          </cell>
          <cell r="M92">
            <v>3</v>
          </cell>
          <cell r="N92">
            <v>3</v>
          </cell>
          <cell r="V92">
            <v>3</v>
          </cell>
          <cell r="W92">
            <v>3</v>
          </cell>
          <cell r="AE92">
            <v>3</v>
          </cell>
          <cell r="AF92">
            <v>3</v>
          </cell>
          <cell r="AS92" t="str">
            <v>Pull Up</v>
          </cell>
          <cell r="AT92">
            <v>44125</v>
          </cell>
          <cell r="AU92">
            <v>40</v>
          </cell>
          <cell r="AV92">
            <v>3</v>
          </cell>
          <cell r="AY92" t="str">
            <v>Pull Up44125</v>
          </cell>
          <cell r="BQ92" t="str">
            <v/>
          </cell>
        </row>
        <row r="93">
          <cell r="A93" t="str">
            <v>3x3</v>
          </cell>
          <cell r="D93">
            <v>3</v>
          </cell>
          <cell r="E93">
            <v>3</v>
          </cell>
          <cell r="F93">
            <v>3</v>
          </cell>
          <cell r="M93">
            <v>3</v>
          </cell>
          <cell r="N93">
            <v>3</v>
          </cell>
          <cell r="O93">
            <v>3</v>
          </cell>
          <cell r="V93">
            <v>3</v>
          </cell>
          <cell r="W93">
            <v>3</v>
          </cell>
          <cell r="X93">
            <v>3</v>
          </cell>
          <cell r="AE93">
            <v>3</v>
          </cell>
          <cell r="AF93">
            <v>3</v>
          </cell>
          <cell r="AG93">
            <v>3</v>
          </cell>
          <cell r="AY93" t="str">
            <v/>
          </cell>
          <cell r="BQ93" t="str">
            <v/>
          </cell>
        </row>
        <row r="94">
          <cell r="A94" t="str">
            <v>3x3-1</v>
          </cell>
          <cell r="D94">
            <v>3</v>
          </cell>
          <cell r="E94">
            <v>3</v>
          </cell>
          <cell r="F94">
            <v>3</v>
          </cell>
          <cell r="M94">
            <v>2</v>
          </cell>
          <cell r="N94">
            <v>2</v>
          </cell>
          <cell r="O94">
            <v>2</v>
          </cell>
          <cell r="V94">
            <v>1</v>
          </cell>
          <cell r="W94">
            <v>1</v>
          </cell>
          <cell r="X94">
            <v>1</v>
          </cell>
          <cell r="AE94">
            <v>3</v>
          </cell>
          <cell r="AF94">
            <v>2</v>
          </cell>
          <cell r="AG94">
            <v>1</v>
          </cell>
          <cell r="AY94" t="str">
            <v/>
          </cell>
          <cell r="BQ94" t="str">
            <v/>
          </cell>
        </row>
        <row r="95">
          <cell r="A95" t="str">
            <v>3x3+1</v>
          </cell>
          <cell r="D95">
            <v>3</v>
          </cell>
          <cell r="E95">
            <v>3</v>
          </cell>
          <cell r="F95">
            <v>3</v>
          </cell>
          <cell r="M95">
            <v>4</v>
          </cell>
          <cell r="N95">
            <v>4</v>
          </cell>
          <cell r="O95">
            <v>4</v>
          </cell>
          <cell r="V95">
            <v>5</v>
          </cell>
          <cell r="W95">
            <v>5</v>
          </cell>
          <cell r="X95">
            <v>5</v>
          </cell>
          <cell r="AE95">
            <v>6</v>
          </cell>
          <cell r="AF95">
            <v>6</v>
          </cell>
          <cell r="AG95">
            <v>6</v>
          </cell>
          <cell r="AY95" t="str">
            <v/>
          </cell>
          <cell r="BQ95" t="str">
            <v/>
          </cell>
        </row>
        <row r="96">
          <cell r="A96" t="str">
            <v>3x3&gt;</v>
          </cell>
          <cell r="D96">
            <v>3</v>
          </cell>
          <cell r="E96">
            <v>2</v>
          </cell>
          <cell r="F96">
            <v>1</v>
          </cell>
          <cell r="M96">
            <v>3</v>
          </cell>
          <cell r="N96">
            <v>2</v>
          </cell>
          <cell r="O96">
            <v>1</v>
          </cell>
          <cell r="V96">
            <v>3</v>
          </cell>
          <cell r="W96">
            <v>2</v>
          </cell>
          <cell r="X96">
            <v>1</v>
          </cell>
          <cell r="AE96">
            <v>3</v>
          </cell>
          <cell r="AF96">
            <v>2</v>
          </cell>
          <cell r="AG96">
            <v>1</v>
          </cell>
          <cell r="AY96" t="str">
            <v/>
          </cell>
          <cell r="BQ96" t="str">
            <v/>
          </cell>
        </row>
        <row r="97">
          <cell r="A97" t="str">
            <v>3x3&gt;+1</v>
          </cell>
          <cell r="D97">
            <v>3</v>
          </cell>
          <cell r="E97">
            <v>2</v>
          </cell>
          <cell r="F97">
            <v>1</v>
          </cell>
          <cell r="M97">
            <v>4</v>
          </cell>
          <cell r="N97">
            <v>3</v>
          </cell>
          <cell r="O97">
            <v>2</v>
          </cell>
          <cell r="V97">
            <v>5</v>
          </cell>
          <cell r="W97">
            <v>4</v>
          </cell>
          <cell r="X97">
            <v>3</v>
          </cell>
          <cell r="AE97">
            <v>6</v>
          </cell>
          <cell r="AF97">
            <v>5</v>
          </cell>
          <cell r="AG97">
            <v>4</v>
          </cell>
          <cell r="AY97" t="str">
            <v/>
          </cell>
          <cell r="BQ97" t="str">
            <v/>
          </cell>
        </row>
        <row r="98">
          <cell r="A98" t="str">
            <v>4x3</v>
          </cell>
          <cell r="D98">
            <v>3</v>
          </cell>
          <cell r="E98">
            <v>3</v>
          </cell>
          <cell r="F98">
            <v>3</v>
          </cell>
          <cell r="G98">
            <v>3</v>
          </cell>
          <cell r="M98">
            <v>3</v>
          </cell>
          <cell r="N98">
            <v>3</v>
          </cell>
          <cell r="O98">
            <v>3</v>
          </cell>
          <cell r="P98">
            <v>3</v>
          </cell>
          <cell r="V98">
            <v>3</v>
          </cell>
          <cell r="W98">
            <v>3</v>
          </cell>
          <cell r="X98">
            <v>3</v>
          </cell>
          <cell r="Y98">
            <v>3</v>
          </cell>
          <cell r="AE98">
            <v>3</v>
          </cell>
          <cell r="AF98">
            <v>3</v>
          </cell>
          <cell r="AG98">
            <v>3</v>
          </cell>
          <cell r="AH98">
            <v>3</v>
          </cell>
          <cell r="AY98" t="str">
            <v/>
          </cell>
          <cell r="BQ98" t="str">
            <v/>
          </cell>
        </row>
        <row r="99">
          <cell r="A99" t="str">
            <v>5x3</v>
          </cell>
          <cell r="D99">
            <v>3</v>
          </cell>
          <cell r="E99">
            <v>3</v>
          </cell>
          <cell r="F99">
            <v>3</v>
          </cell>
          <cell r="G99">
            <v>3</v>
          </cell>
          <cell r="H99">
            <v>3</v>
          </cell>
          <cell r="M99">
            <v>3</v>
          </cell>
          <cell r="N99">
            <v>3</v>
          </cell>
          <cell r="O99">
            <v>3</v>
          </cell>
          <cell r="P99">
            <v>3</v>
          </cell>
          <cell r="Q99">
            <v>3</v>
          </cell>
          <cell r="V99">
            <v>3</v>
          </cell>
          <cell r="W99">
            <v>3</v>
          </cell>
          <cell r="X99">
            <v>3</v>
          </cell>
          <cell r="Y99">
            <v>3</v>
          </cell>
          <cell r="Z99">
            <v>3</v>
          </cell>
          <cell r="AE99">
            <v>3</v>
          </cell>
          <cell r="AF99">
            <v>3</v>
          </cell>
          <cell r="AG99">
            <v>3</v>
          </cell>
          <cell r="AH99">
            <v>3</v>
          </cell>
          <cell r="AI99">
            <v>3</v>
          </cell>
          <cell r="AY99" t="str">
            <v/>
          </cell>
          <cell r="BQ99" t="str">
            <v/>
          </cell>
        </row>
        <row r="100">
          <cell r="A100" t="str">
            <v>6x3</v>
          </cell>
          <cell r="D100">
            <v>3</v>
          </cell>
          <cell r="E100">
            <v>3</v>
          </cell>
          <cell r="F100">
            <v>3</v>
          </cell>
          <cell r="G100">
            <v>3</v>
          </cell>
          <cell r="H100">
            <v>3</v>
          </cell>
          <cell r="I100">
            <v>3</v>
          </cell>
          <cell r="M100">
            <v>3</v>
          </cell>
          <cell r="N100">
            <v>3</v>
          </cell>
          <cell r="O100">
            <v>3</v>
          </cell>
          <cell r="P100">
            <v>3</v>
          </cell>
          <cell r="Q100">
            <v>3</v>
          </cell>
          <cell r="R100">
            <v>3</v>
          </cell>
          <cell r="V100">
            <v>3</v>
          </cell>
          <cell r="W100">
            <v>3</v>
          </cell>
          <cell r="X100">
            <v>3</v>
          </cell>
          <cell r="Y100">
            <v>3</v>
          </cell>
          <cell r="Z100">
            <v>3</v>
          </cell>
          <cell r="AA100">
            <v>3</v>
          </cell>
          <cell r="AE100">
            <v>3</v>
          </cell>
          <cell r="AF100">
            <v>3</v>
          </cell>
          <cell r="AG100">
            <v>3</v>
          </cell>
          <cell r="AH100">
            <v>3</v>
          </cell>
          <cell r="AI100">
            <v>3</v>
          </cell>
          <cell r="AJ100">
            <v>3</v>
          </cell>
          <cell r="AY100" t="str">
            <v/>
          </cell>
          <cell r="BQ100" t="str">
            <v/>
          </cell>
        </row>
        <row r="101">
          <cell r="A101" t="str">
            <v>2x4</v>
          </cell>
          <cell r="D101">
            <v>4</v>
          </cell>
          <cell r="E101">
            <v>4</v>
          </cell>
          <cell r="M101">
            <v>4</v>
          </cell>
          <cell r="N101">
            <v>4</v>
          </cell>
          <cell r="V101">
            <v>4</v>
          </cell>
          <cell r="W101">
            <v>4</v>
          </cell>
          <cell r="AE101">
            <v>4</v>
          </cell>
          <cell r="AF101">
            <v>4</v>
          </cell>
          <cell r="AY101" t="str">
            <v/>
          </cell>
          <cell r="BQ101" t="str">
            <v/>
          </cell>
        </row>
        <row r="102">
          <cell r="A102" t="str">
            <v>3x4</v>
          </cell>
          <cell r="D102">
            <v>4</v>
          </cell>
          <cell r="E102">
            <v>4</v>
          </cell>
          <cell r="F102">
            <v>4</v>
          </cell>
          <cell r="M102">
            <v>4</v>
          </cell>
          <cell r="N102">
            <v>4</v>
          </cell>
          <cell r="O102">
            <v>4</v>
          </cell>
          <cell r="V102">
            <v>4</v>
          </cell>
          <cell r="W102">
            <v>4</v>
          </cell>
          <cell r="X102">
            <v>4</v>
          </cell>
          <cell r="AE102">
            <v>4</v>
          </cell>
          <cell r="AF102">
            <v>4</v>
          </cell>
          <cell r="AG102">
            <v>4</v>
          </cell>
          <cell r="AY102" t="str">
            <v/>
          </cell>
          <cell r="BQ102" t="str">
            <v/>
          </cell>
        </row>
        <row r="103">
          <cell r="A103" t="str">
            <v>3x4-1</v>
          </cell>
          <cell r="D103">
            <v>4</v>
          </cell>
          <cell r="E103">
            <v>4</v>
          </cell>
          <cell r="F103">
            <v>4</v>
          </cell>
          <cell r="M103">
            <v>3</v>
          </cell>
          <cell r="N103">
            <v>3</v>
          </cell>
          <cell r="O103">
            <v>3</v>
          </cell>
          <cell r="V103">
            <v>2</v>
          </cell>
          <cell r="W103">
            <v>2</v>
          </cell>
          <cell r="X103">
            <v>2</v>
          </cell>
          <cell r="AE103">
            <v>4</v>
          </cell>
          <cell r="AF103">
            <v>3</v>
          </cell>
          <cell r="AG103">
            <v>2</v>
          </cell>
          <cell r="AY103" t="str">
            <v/>
          </cell>
          <cell r="BQ103" t="str">
            <v/>
          </cell>
        </row>
        <row r="104">
          <cell r="A104" t="str">
            <v>3x4+1</v>
          </cell>
          <cell r="D104">
            <v>4</v>
          </cell>
          <cell r="E104">
            <v>4</v>
          </cell>
          <cell r="F104">
            <v>4</v>
          </cell>
          <cell r="M104">
            <v>5</v>
          </cell>
          <cell r="N104">
            <v>5</v>
          </cell>
          <cell r="O104">
            <v>5</v>
          </cell>
          <cell r="V104">
            <v>6</v>
          </cell>
          <cell r="W104">
            <v>6</v>
          </cell>
          <cell r="X104">
            <v>6</v>
          </cell>
          <cell r="AE104">
            <v>7</v>
          </cell>
          <cell r="AF104">
            <v>7</v>
          </cell>
          <cell r="AG104">
            <v>7</v>
          </cell>
          <cell r="AY104" t="str">
            <v/>
          </cell>
          <cell r="BQ104" t="str">
            <v/>
          </cell>
        </row>
        <row r="105">
          <cell r="A105" t="str">
            <v>3x4&gt;</v>
          </cell>
          <cell r="D105">
            <v>4</v>
          </cell>
          <cell r="E105">
            <v>3</v>
          </cell>
          <cell r="F105">
            <v>2</v>
          </cell>
          <cell r="M105">
            <v>4</v>
          </cell>
          <cell r="N105">
            <v>3</v>
          </cell>
          <cell r="O105">
            <v>2</v>
          </cell>
          <cell r="V105">
            <v>4</v>
          </cell>
          <cell r="W105">
            <v>3</v>
          </cell>
          <cell r="X105">
            <v>2</v>
          </cell>
          <cell r="AE105">
            <v>4</v>
          </cell>
          <cell r="AF105">
            <v>3</v>
          </cell>
          <cell r="AG105">
            <v>2</v>
          </cell>
          <cell r="AY105" t="str">
            <v/>
          </cell>
          <cell r="BQ105" t="str">
            <v/>
          </cell>
        </row>
        <row r="106">
          <cell r="A106" t="str">
            <v>3x4&gt;+1</v>
          </cell>
          <cell r="D106">
            <v>4</v>
          </cell>
          <cell r="E106">
            <v>3</v>
          </cell>
          <cell r="F106">
            <v>2</v>
          </cell>
          <cell r="M106">
            <v>5</v>
          </cell>
          <cell r="N106">
            <v>4</v>
          </cell>
          <cell r="O106">
            <v>3</v>
          </cell>
          <cell r="V106">
            <v>6</v>
          </cell>
          <cell r="W106">
            <v>5</v>
          </cell>
          <cell r="X106">
            <v>4</v>
          </cell>
          <cell r="AE106">
            <v>7</v>
          </cell>
          <cell r="AF106">
            <v>6</v>
          </cell>
          <cell r="AG106">
            <v>5</v>
          </cell>
          <cell r="AY106" t="str">
            <v/>
          </cell>
          <cell r="BQ106" t="str">
            <v/>
          </cell>
        </row>
        <row r="107">
          <cell r="A107" t="str">
            <v>4x4</v>
          </cell>
          <cell r="D107">
            <v>4</v>
          </cell>
          <cell r="E107">
            <v>4</v>
          </cell>
          <cell r="F107">
            <v>4</v>
          </cell>
          <cell r="G107">
            <v>4</v>
          </cell>
          <cell r="M107">
            <v>4</v>
          </cell>
          <cell r="N107">
            <v>4</v>
          </cell>
          <cell r="O107">
            <v>4</v>
          </cell>
          <cell r="P107">
            <v>4</v>
          </cell>
          <cell r="V107">
            <v>4</v>
          </cell>
          <cell r="W107">
            <v>4</v>
          </cell>
          <cell r="X107">
            <v>4</v>
          </cell>
          <cell r="Y107">
            <v>4</v>
          </cell>
          <cell r="AE107">
            <v>4</v>
          </cell>
          <cell r="AF107">
            <v>4</v>
          </cell>
          <cell r="AG107">
            <v>4</v>
          </cell>
          <cell r="AH107">
            <v>4</v>
          </cell>
          <cell r="AY107" t="str">
            <v/>
          </cell>
          <cell r="BQ107" t="str">
            <v/>
          </cell>
        </row>
        <row r="108">
          <cell r="A108" t="str">
            <v>5x4</v>
          </cell>
          <cell r="D108">
            <v>4</v>
          </cell>
          <cell r="E108">
            <v>4</v>
          </cell>
          <cell r="F108">
            <v>4</v>
          </cell>
          <cell r="G108">
            <v>4</v>
          </cell>
          <cell r="H108">
            <v>4</v>
          </cell>
          <cell r="M108">
            <v>4</v>
          </cell>
          <cell r="N108">
            <v>4</v>
          </cell>
          <cell r="O108">
            <v>4</v>
          </cell>
          <cell r="P108">
            <v>4</v>
          </cell>
          <cell r="Q108">
            <v>4</v>
          </cell>
          <cell r="V108">
            <v>4</v>
          </cell>
          <cell r="W108">
            <v>4</v>
          </cell>
          <cell r="X108">
            <v>4</v>
          </cell>
          <cell r="Y108">
            <v>4</v>
          </cell>
          <cell r="Z108">
            <v>4</v>
          </cell>
          <cell r="AE108">
            <v>4</v>
          </cell>
          <cell r="AF108">
            <v>4</v>
          </cell>
          <cell r="AG108">
            <v>4</v>
          </cell>
          <cell r="AH108">
            <v>4</v>
          </cell>
          <cell r="AI108">
            <v>4</v>
          </cell>
          <cell r="AY108" t="str">
            <v/>
          </cell>
          <cell r="BQ108" t="str">
            <v/>
          </cell>
        </row>
        <row r="109">
          <cell r="A109" t="str">
            <v>6x4</v>
          </cell>
          <cell r="D109">
            <v>4</v>
          </cell>
          <cell r="E109">
            <v>4</v>
          </cell>
          <cell r="F109">
            <v>4</v>
          </cell>
          <cell r="G109">
            <v>4</v>
          </cell>
          <cell r="H109">
            <v>4</v>
          </cell>
          <cell r="I109">
            <v>4</v>
          </cell>
          <cell r="M109">
            <v>4</v>
          </cell>
          <cell r="N109">
            <v>4</v>
          </cell>
          <cell r="O109">
            <v>4</v>
          </cell>
          <cell r="P109">
            <v>4</v>
          </cell>
          <cell r="Q109">
            <v>4</v>
          </cell>
          <cell r="R109">
            <v>4</v>
          </cell>
          <cell r="V109">
            <v>4</v>
          </cell>
          <cell r="W109">
            <v>4</v>
          </cell>
          <cell r="X109">
            <v>4</v>
          </cell>
          <cell r="Y109">
            <v>4</v>
          </cell>
          <cell r="Z109">
            <v>4</v>
          </cell>
          <cell r="AA109">
            <v>4</v>
          </cell>
          <cell r="AE109">
            <v>4</v>
          </cell>
          <cell r="AF109">
            <v>4</v>
          </cell>
          <cell r="AG109">
            <v>4</v>
          </cell>
          <cell r="AH109">
            <v>4</v>
          </cell>
          <cell r="AI109">
            <v>4</v>
          </cell>
          <cell r="AJ109">
            <v>4</v>
          </cell>
          <cell r="AY109" t="str">
            <v/>
          </cell>
          <cell r="BQ109" t="str">
            <v/>
          </cell>
        </row>
        <row r="110">
          <cell r="A110" t="str">
            <v>2x5</v>
          </cell>
          <cell r="D110">
            <v>5</v>
          </cell>
          <cell r="E110">
            <v>5</v>
          </cell>
          <cell r="M110">
            <v>5</v>
          </cell>
          <cell r="N110">
            <v>5</v>
          </cell>
          <cell r="V110">
            <v>5</v>
          </cell>
          <cell r="W110">
            <v>5</v>
          </cell>
          <cell r="AE110">
            <v>5</v>
          </cell>
          <cell r="AF110">
            <v>5</v>
          </cell>
          <cell r="AY110" t="str">
            <v/>
          </cell>
          <cell r="BQ110" t="str">
            <v/>
          </cell>
        </row>
        <row r="111">
          <cell r="A111" t="str">
            <v>3x5</v>
          </cell>
          <cell r="D111">
            <v>5</v>
          </cell>
          <cell r="E111">
            <v>5</v>
          </cell>
          <cell r="F111">
            <v>5</v>
          </cell>
          <cell r="M111">
            <v>5</v>
          </cell>
          <cell r="N111">
            <v>5</v>
          </cell>
          <cell r="O111">
            <v>5</v>
          </cell>
          <cell r="V111">
            <v>5</v>
          </cell>
          <cell r="W111">
            <v>5</v>
          </cell>
          <cell r="X111">
            <v>5</v>
          </cell>
          <cell r="AE111">
            <v>5</v>
          </cell>
          <cell r="AF111">
            <v>5</v>
          </cell>
          <cell r="AG111">
            <v>5</v>
          </cell>
          <cell r="AY111" t="str">
            <v/>
          </cell>
          <cell r="BQ111" t="str">
            <v/>
          </cell>
        </row>
        <row r="112">
          <cell r="A112" t="str">
            <v>3x5-1</v>
          </cell>
          <cell r="D112">
            <v>5</v>
          </cell>
          <cell r="E112">
            <v>5</v>
          </cell>
          <cell r="F112">
            <v>5</v>
          </cell>
          <cell r="M112">
            <v>4</v>
          </cell>
          <cell r="N112">
            <v>4</v>
          </cell>
          <cell r="O112">
            <v>4</v>
          </cell>
          <cell r="V112">
            <v>3</v>
          </cell>
          <cell r="W112">
            <v>3</v>
          </cell>
          <cell r="X112">
            <v>3</v>
          </cell>
          <cell r="AE112">
            <v>2</v>
          </cell>
          <cell r="AF112">
            <v>2</v>
          </cell>
          <cell r="AG112">
            <v>2</v>
          </cell>
          <cell r="AY112" t="str">
            <v/>
          </cell>
          <cell r="BQ112" t="str">
            <v/>
          </cell>
        </row>
        <row r="113">
          <cell r="A113" t="str">
            <v>3x5+1</v>
          </cell>
          <cell r="D113">
            <v>5</v>
          </cell>
          <cell r="E113">
            <v>5</v>
          </cell>
          <cell r="F113">
            <v>5</v>
          </cell>
          <cell r="M113">
            <v>6</v>
          </cell>
          <cell r="N113">
            <v>6</v>
          </cell>
          <cell r="O113">
            <v>6</v>
          </cell>
          <cell r="V113">
            <v>7</v>
          </cell>
          <cell r="W113">
            <v>7</v>
          </cell>
          <cell r="X113">
            <v>7</v>
          </cell>
          <cell r="AE113">
            <v>8</v>
          </cell>
          <cell r="AF113">
            <v>8</v>
          </cell>
          <cell r="AG113">
            <v>8</v>
          </cell>
          <cell r="AY113" t="str">
            <v/>
          </cell>
          <cell r="BQ113" t="str">
            <v/>
          </cell>
        </row>
        <row r="114">
          <cell r="A114" t="str">
            <v>3x5&gt;</v>
          </cell>
          <cell r="D114">
            <v>5</v>
          </cell>
          <cell r="E114">
            <v>4</v>
          </cell>
          <cell r="F114">
            <v>3</v>
          </cell>
          <cell r="M114">
            <v>5</v>
          </cell>
          <cell r="N114">
            <v>4</v>
          </cell>
          <cell r="O114">
            <v>3</v>
          </cell>
          <cell r="V114">
            <v>5</v>
          </cell>
          <cell r="W114">
            <v>4</v>
          </cell>
          <cell r="X114">
            <v>3</v>
          </cell>
          <cell r="AE114">
            <v>5</v>
          </cell>
          <cell r="AF114">
            <v>4</v>
          </cell>
          <cell r="AG114">
            <v>3</v>
          </cell>
          <cell r="AY114" t="str">
            <v/>
          </cell>
          <cell r="BQ114" t="str">
            <v/>
          </cell>
        </row>
        <row r="115">
          <cell r="A115" t="str">
            <v>3x5&gt;+1</v>
          </cell>
          <cell r="D115">
            <v>5</v>
          </cell>
          <cell r="E115">
            <v>4</v>
          </cell>
          <cell r="F115">
            <v>3</v>
          </cell>
          <cell r="M115">
            <v>6</v>
          </cell>
          <cell r="N115">
            <v>5</v>
          </cell>
          <cell r="O115">
            <v>4</v>
          </cell>
          <cell r="V115">
            <v>7</v>
          </cell>
          <cell r="W115">
            <v>6</v>
          </cell>
          <cell r="X115">
            <v>5</v>
          </cell>
          <cell r="AE115">
            <v>8</v>
          </cell>
          <cell r="AF115">
            <v>7</v>
          </cell>
          <cell r="AG115">
            <v>6</v>
          </cell>
          <cell r="AY115" t="str">
            <v/>
          </cell>
          <cell r="BQ115" t="str">
            <v/>
          </cell>
        </row>
        <row r="116">
          <cell r="A116" t="str">
            <v>3x5&gt;-1</v>
          </cell>
          <cell r="D116">
            <v>5</v>
          </cell>
          <cell r="E116">
            <v>4</v>
          </cell>
          <cell r="F116">
            <v>3</v>
          </cell>
          <cell r="M116">
            <v>4</v>
          </cell>
          <cell r="N116">
            <v>3</v>
          </cell>
          <cell r="O116">
            <v>2</v>
          </cell>
          <cell r="V116">
            <v>3</v>
          </cell>
          <cell r="W116">
            <v>2</v>
          </cell>
          <cell r="X116">
            <v>1</v>
          </cell>
          <cell r="AE116">
            <v>3</v>
          </cell>
          <cell r="AF116">
            <v>2</v>
          </cell>
          <cell r="AG116">
            <v>1</v>
          </cell>
          <cell r="AY116" t="str">
            <v/>
          </cell>
          <cell r="BQ116" t="str">
            <v/>
          </cell>
        </row>
        <row r="117">
          <cell r="A117" t="str">
            <v>4x5</v>
          </cell>
          <cell r="D117">
            <v>5</v>
          </cell>
          <cell r="E117">
            <v>5</v>
          </cell>
          <cell r="F117">
            <v>5</v>
          </cell>
          <cell r="G117">
            <v>5</v>
          </cell>
          <cell r="M117">
            <v>5</v>
          </cell>
          <cell r="N117">
            <v>5</v>
          </cell>
          <cell r="O117">
            <v>5</v>
          </cell>
          <cell r="P117">
            <v>5</v>
          </cell>
          <cell r="V117">
            <v>5</v>
          </cell>
          <cell r="W117">
            <v>5</v>
          </cell>
          <cell r="X117">
            <v>5</v>
          </cell>
          <cell r="Y117">
            <v>5</v>
          </cell>
          <cell r="AE117">
            <v>5</v>
          </cell>
          <cell r="AF117">
            <v>5</v>
          </cell>
          <cell r="AG117">
            <v>5</v>
          </cell>
          <cell r="AH117">
            <v>5</v>
          </cell>
          <cell r="AY117" t="str">
            <v/>
          </cell>
          <cell r="BQ117" t="str">
            <v/>
          </cell>
        </row>
        <row r="118">
          <cell r="A118" t="str">
            <v>5x5</v>
          </cell>
          <cell r="D118">
            <v>5</v>
          </cell>
          <cell r="E118">
            <v>5</v>
          </cell>
          <cell r="F118">
            <v>5</v>
          </cell>
          <cell r="G118">
            <v>5</v>
          </cell>
          <cell r="H118">
            <v>5</v>
          </cell>
          <cell r="M118">
            <v>5</v>
          </cell>
          <cell r="N118">
            <v>5</v>
          </cell>
          <cell r="O118">
            <v>5</v>
          </cell>
          <cell r="P118">
            <v>5</v>
          </cell>
          <cell r="Q118">
            <v>5</v>
          </cell>
          <cell r="V118">
            <v>5</v>
          </cell>
          <cell r="W118">
            <v>5</v>
          </cell>
          <cell r="X118">
            <v>5</v>
          </cell>
          <cell r="Y118">
            <v>5</v>
          </cell>
          <cell r="Z118">
            <v>5</v>
          </cell>
          <cell r="AE118">
            <v>5</v>
          </cell>
          <cell r="AF118">
            <v>5</v>
          </cell>
          <cell r="AG118">
            <v>5</v>
          </cell>
          <cell r="AH118">
            <v>5</v>
          </cell>
          <cell r="AI118">
            <v>5</v>
          </cell>
          <cell r="AY118" t="str">
            <v/>
          </cell>
          <cell r="BQ118" t="str">
            <v/>
          </cell>
        </row>
        <row r="119">
          <cell r="A119" t="str">
            <v>6x5</v>
          </cell>
          <cell r="D119">
            <v>5</v>
          </cell>
          <cell r="E119">
            <v>5</v>
          </cell>
          <cell r="F119">
            <v>5</v>
          </cell>
          <cell r="G119">
            <v>5</v>
          </cell>
          <cell r="H119">
            <v>5</v>
          </cell>
          <cell r="I119">
            <v>5</v>
          </cell>
          <cell r="M119">
            <v>5</v>
          </cell>
          <cell r="N119">
            <v>5</v>
          </cell>
          <cell r="O119">
            <v>5</v>
          </cell>
          <cell r="P119">
            <v>5</v>
          </cell>
          <cell r="Q119">
            <v>5</v>
          </cell>
          <cell r="R119">
            <v>5</v>
          </cell>
          <cell r="V119">
            <v>5</v>
          </cell>
          <cell r="W119">
            <v>5</v>
          </cell>
          <cell r="X119">
            <v>5</v>
          </cell>
          <cell r="Y119">
            <v>5</v>
          </cell>
          <cell r="Z119">
            <v>5</v>
          </cell>
          <cell r="AA119">
            <v>5</v>
          </cell>
          <cell r="AE119">
            <v>5</v>
          </cell>
          <cell r="AF119">
            <v>5</v>
          </cell>
          <cell r="AG119">
            <v>5</v>
          </cell>
          <cell r="AH119">
            <v>5</v>
          </cell>
          <cell r="AI119">
            <v>5</v>
          </cell>
          <cell r="AJ119">
            <v>5</v>
          </cell>
          <cell r="AY119" t="str">
            <v/>
          </cell>
          <cell r="BQ119" t="str">
            <v/>
          </cell>
        </row>
        <row r="120">
          <cell r="A120" t="str">
            <v>2x6</v>
          </cell>
          <cell r="D120">
            <v>6</v>
          </cell>
          <cell r="E120">
            <v>6</v>
          </cell>
          <cell r="M120">
            <v>6</v>
          </cell>
          <cell r="N120">
            <v>6</v>
          </cell>
          <cell r="V120">
            <v>6</v>
          </cell>
          <cell r="W120">
            <v>6</v>
          </cell>
          <cell r="AE120">
            <v>6</v>
          </cell>
          <cell r="AF120">
            <v>6</v>
          </cell>
          <cell r="AY120" t="str">
            <v/>
          </cell>
          <cell r="BQ120" t="str">
            <v/>
          </cell>
        </row>
        <row r="121">
          <cell r="A121" t="str">
            <v>3x6</v>
          </cell>
          <cell r="D121">
            <v>6</v>
          </cell>
          <cell r="E121">
            <v>6</v>
          </cell>
          <cell r="F121">
            <v>6</v>
          </cell>
          <cell r="M121">
            <v>6</v>
          </cell>
          <cell r="N121">
            <v>6</v>
          </cell>
          <cell r="O121">
            <v>6</v>
          </cell>
          <cell r="V121">
            <v>6</v>
          </cell>
          <cell r="W121">
            <v>6</v>
          </cell>
          <cell r="X121">
            <v>6</v>
          </cell>
          <cell r="AE121">
            <v>6</v>
          </cell>
          <cell r="AF121">
            <v>6</v>
          </cell>
          <cell r="AG121">
            <v>6</v>
          </cell>
          <cell r="AY121" t="str">
            <v/>
          </cell>
          <cell r="BQ121" t="str">
            <v/>
          </cell>
        </row>
        <row r="122">
          <cell r="A122" t="str">
            <v>3x6-1</v>
          </cell>
          <cell r="D122">
            <v>6</v>
          </cell>
          <cell r="E122">
            <v>6</v>
          </cell>
          <cell r="F122">
            <v>6</v>
          </cell>
          <cell r="M122">
            <v>5</v>
          </cell>
          <cell r="N122">
            <v>5</v>
          </cell>
          <cell r="O122">
            <v>5</v>
          </cell>
          <cell r="V122">
            <v>4</v>
          </cell>
          <cell r="W122">
            <v>4</v>
          </cell>
          <cell r="X122">
            <v>4</v>
          </cell>
          <cell r="AE122">
            <v>3</v>
          </cell>
          <cell r="AF122">
            <v>3</v>
          </cell>
          <cell r="AG122">
            <v>3</v>
          </cell>
          <cell r="AY122" t="str">
            <v/>
          </cell>
          <cell r="BQ122" t="str">
            <v/>
          </cell>
        </row>
        <row r="123">
          <cell r="A123" t="str">
            <v>3x6+1</v>
          </cell>
          <cell r="D123">
            <v>6</v>
          </cell>
          <cell r="E123">
            <v>6</v>
          </cell>
          <cell r="F123">
            <v>6</v>
          </cell>
          <cell r="M123">
            <v>7</v>
          </cell>
          <cell r="N123">
            <v>7</v>
          </cell>
          <cell r="O123">
            <v>7</v>
          </cell>
          <cell r="V123">
            <v>8</v>
          </cell>
          <cell r="W123">
            <v>8</v>
          </cell>
          <cell r="X123">
            <v>8</v>
          </cell>
          <cell r="AE123">
            <v>9</v>
          </cell>
          <cell r="AF123">
            <v>9</v>
          </cell>
          <cell r="AG123">
            <v>9</v>
          </cell>
          <cell r="AY123" t="str">
            <v/>
          </cell>
          <cell r="BQ123" t="str">
            <v/>
          </cell>
        </row>
        <row r="124">
          <cell r="A124" t="str">
            <v>3x6&gt;</v>
          </cell>
          <cell r="D124">
            <v>6</v>
          </cell>
          <cell r="E124">
            <v>5</v>
          </cell>
          <cell r="F124">
            <v>4</v>
          </cell>
          <cell r="M124">
            <v>6</v>
          </cell>
          <cell r="N124">
            <v>5</v>
          </cell>
          <cell r="O124">
            <v>4</v>
          </cell>
          <cell r="V124">
            <v>6</v>
          </cell>
          <cell r="W124">
            <v>5</v>
          </cell>
          <cell r="X124">
            <v>4</v>
          </cell>
          <cell r="AE124">
            <v>6</v>
          </cell>
          <cell r="AF124">
            <v>5</v>
          </cell>
          <cell r="AG124">
            <v>4</v>
          </cell>
          <cell r="AY124" t="str">
            <v/>
          </cell>
          <cell r="BQ124" t="str">
            <v/>
          </cell>
        </row>
        <row r="125">
          <cell r="A125" t="str">
            <v>3x6&gt;+1</v>
          </cell>
          <cell r="D125">
            <v>6</v>
          </cell>
          <cell r="E125">
            <v>5</v>
          </cell>
          <cell r="F125">
            <v>4</v>
          </cell>
          <cell r="M125">
            <v>7</v>
          </cell>
          <cell r="N125">
            <v>6</v>
          </cell>
          <cell r="O125">
            <v>5</v>
          </cell>
          <cell r="V125">
            <v>8</v>
          </cell>
          <cell r="W125">
            <v>7</v>
          </cell>
          <cell r="X125">
            <v>6</v>
          </cell>
          <cell r="AE125">
            <v>9</v>
          </cell>
          <cell r="AF125">
            <v>8</v>
          </cell>
          <cell r="AG125">
            <v>7</v>
          </cell>
          <cell r="AY125" t="str">
            <v/>
          </cell>
          <cell r="BQ125" t="str">
            <v/>
          </cell>
        </row>
        <row r="126">
          <cell r="A126" t="str">
            <v>3x6&gt;-1</v>
          </cell>
          <cell r="D126">
            <v>6</v>
          </cell>
          <cell r="E126">
            <v>5</v>
          </cell>
          <cell r="F126">
            <v>4</v>
          </cell>
          <cell r="M126">
            <v>5</v>
          </cell>
          <cell r="N126">
            <v>4</v>
          </cell>
          <cell r="O126">
            <v>3</v>
          </cell>
          <cell r="V126">
            <v>4</v>
          </cell>
          <cell r="W126">
            <v>3</v>
          </cell>
          <cell r="X126">
            <v>2</v>
          </cell>
          <cell r="AE126">
            <v>3</v>
          </cell>
          <cell r="AF126">
            <v>2</v>
          </cell>
          <cell r="AG126">
            <v>1</v>
          </cell>
          <cell r="AY126" t="str">
            <v/>
          </cell>
          <cell r="BQ126" t="str">
            <v/>
          </cell>
        </row>
        <row r="127">
          <cell r="A127" t="str">
            <v>4x6</v>
          </cell>
          <cell r="D127">
            <v>6</v>
          </cell>
          <cell r="E127">
            <v>6</v>
          </cell>
          <cell r="F127">
            <v>6</v>
          </cell>
          <cell r="G127">
            <v>6</v>
          </cell>
          <cell r="M127">
            <v>6</v>
          </cell>
          <cell r="N127">
            <v>6</v>
          </cell>
          <cell r="O127">
            <v>6</v>
          </cell>
          <cell r="P127">
            <v>6</v>
          </cell>
          <cell r="V127">
            <v>6</v>
          </cell>
          <cell r="W127">
            <v>6</v>
          </cell>
          <cell r="X127">
            <v>6</v>
          </cell>
          <cell r="Y127">
            <v>6</v>
          </cell>
          <cell r="AE127">
            <v>6</v>
          </cell>
          <cell r="AF127">
            <v>6</v>
          </cell>
          <cell r="AG127">
            <v>6</v>
          </cell>
          <cell r="AH127">
            <v>6</v>
          </cell>
          <cell r="AY127" t="str">
            <v/>
          </cell>
          <cell r="BQ127" t="str">
            <v/>
          </cell>
        </row>
        <row r="128">
          <cell r="A128" t="str">
            <v>5x6</v>
          </cell>
          <cell r="D128">
            <v>6</v>
          </cell>
          <cell r="E128">
            <v>6</v>
          </cell>
          <cell r="F128">
            <v>6</v>
          </cell>
          <cell r="G128">
            <v>6</v>
          </cell>
          <cell r="H128">
            <v>6</v>
          </cell>
          <cell r="M128">
            <v>6</v>
          </cell>
          <cell r="N128">
            <v>6</v>
          </cell>
          <cell r="O128">
            <v>6</v>
          </cell>
          <cell r="P128">
            <v>6</v>
          </cell>
          <cell r="Q128">
            <v>6</v>
          </cell>
          <cell r="V128">
            <v>6</v>
          </cell>
          <cell r="W128">
            <v>6</v>
          </cell>
          <cell r="X128">
            <v>6</v>
          </cell>
          <cell r="Y128">
            <v>6</v>
          </cell>
          <cell r="Z128">
            <v>6</v>
          </cell>
          <cell r="AE128">
            <v>6</v>
          </cell>
          <cell r="AF128">
            <v>6</v>
          </cell>
          <cell r="AG128">
            <v>6</v>
          </cell>
          <cell r="AH128">
            <v>6</v>
          </cell>
          <cell r="AI128">
            <v>6</v>
          </cell>
          <cell r="AY128" t="str">
            <v/>
          </cell>
          <cell r="BQ128" t="str">
            <v/>
          </cell>
        </row>
        <row r="129">
          <cell r="A129" t="str">
            <v>6x6</v>
          </cell>
          <cell r="D129">
            <v>6</v>
          </cell>
          <cell r="E129">
            <v>6</v>
          </cell>
          <cell r="F129">
            <v>6</v>
          </cell>
          <cell r="G129">
            <v>6</v>
          </cell>
          <cell r="H129">
            <v>6</v>
          </cell>
          <cell r="I129">
            <v>6</v>
          </cell>
          <cell r="M129">
            <v>6</v>
          </cell>
          <cell r="N129">
            <v>6</v>
          </cell>
          <cell r="O129">
            <v>6</v>
          </cell>
          <cell r="P129">
            <v>6</v>
          </cell>
          <cell r="Q129">
            <v>6</v>
          </cell>
          <cell r="R129">
            <v>6</v>
          </cell>
          <cell r="V129">
            <v>6</v>
          </cell>
          <cell r="W129">
            <v>6</v>
          </cell>
          <cell r="X129">
            <v>6</v>
          </cell>
          <cell r="Y129">
            <v>6</v>
          </cell>
          <cell r="Z129">
            <v>6</v>
          </cell>
          <cell r="AA129">
            <v>6</v>
          </cell>
          <cell r="AE129">
            <v>6</v>
          </cell>
          <cell r="AF129">
            <v>6</v>
          </cell>
          <cell r="AG129">
            <v>6</v>
          </cell>
          <cell r="AH129">
            <v>6</v>
          </cell>
          <cell r="AI129">
            <v>6</v>
          </cell>
          <cell r="AJ129">
            <v>6</v>
          </cell>
          <cell r="AY129" t="str">
            <v/>
          </cell>
          <cell r="BQ129" t="str">
            <v/>
          </cell>
        </row>
        <row r="130">
          <cell r="A130" t="str">
            <v>2x7</v>
          </cell>
          <cell r="D130">
            <v>7</v>
          </cell>
          <cell r="E130">
            <v>7</v>
          </cell>
          <cell r="M130">
            <v>7</v>
          </cell>
          <cell r="N130">
            <v>7</v>
          </cell>
          <cell r="V130">
            <v>7</v>
          </cell>
          <cell r="W130">
            <v>7</v>
          </cell>
          <cell r="AE130">
            <v>7</v>
          </cell>
          <cell r="AF130">
            <v>7</v>
          </cell>
          <cell r="AY130" t="str">
            <v/>
          </cell>
          <cell r="BQ130" t="str">
            <v/>
          </cell>
        </row>
        <row r="131">
          <cell r="A131" t="str">
            <v>3x7</v>
          </cell>
          <cell r="D131">
            <v>7</v>
          </cell>
          <cell r="E131">
            <v>7</v>
          </cell>
          <cell r="F131">
            <v>7</v>
          </cell>
          <cell r="M131">
            <v>7</v>
          </cell>
          <cell r="N131">
            <v>7</v>
          </cell>
          <cell r="O131">
            <v>7</v>
          </cell>
          <cell r="V131">
            <v>7</v>
          </cell>
          <cell r="W131">
            <v>7</v>
          </cell>
          <cell r="X131">
            <v>7</v>
          </cell>
          <cell r="AE131">
            <v>7</v>
          </cell>
          <cell r="AF131">
            <v>7</v>
          </cell>
          <cell r="AG131">
            <v>7</v>
          </cell>
          <cell r="AY131" t="str">
            <v/>
          </cell>
          <cell r="BQ131" t="str">
            <v/>
          </cell>
        </row>
        <row r="132">
          <cell r="A132" t="str">
            <v>3x7-1</v>
          </cell>
          <cell r="D132">
            <v>7</v>
          </cell>
          <cell r="E132">
            <v>7</v>
          </cell>
          <cell r="F132">
            <v>7</v>
          </cell>
          <cell r="M132">
            <v>6</v>
          </cell>
          <cell r="N132">
            <v>6</v>
          </cell>
          <cell r="O132">
            <v>6</v>
          </cell>
          <cell r="V132">
            <v>5</v>
          </cell>
          <cell r="W132">
            <v>5</v>
          </cell>
          <cell r="X132">
            <v>5</v>
          </cell>
          <cell r="AE132">
            <v>4</v>
          </cell>
          <cell r="AF132">
            <v>4</v>
          </cell>
          <cell r="AG132">
            <v>4</v>
          </cell>
          <cell r="AY132" t="str">
            <v/>
          </cell>
          <cell r="BQ132" t="str">
            <v/>
          </cell>
        </row>
        <row r="133">
          <cell r="A133" t="str">
            <v>3x7+1</v>
          </cell>
          <cell r="D133">
            <v>7</v>
          </cell>
          <cell r="E133">
            <v>7</v>
          </cell>
          <cell r="F133">
            <v>7</v>
          </cell>
          <cell r="M133">
            <v>8</v>
          </cell>
          <cell r="N133">
            <v>8</v>
          </cell>
          <cell r="O133">
            <v>8</v>
          </cell>
          <cell r="V133">
            <v>9</v>
          </cell>
          <cell r="W133">
            <v>9</v>
          </cell>
          <cell r="X133">
            <v>9</v>
          </cell>
          <cell r="AE133">
            <v>10</v>
          </cell>
          <cell r="AF133">
            <v>10</v>
          </cell>
          <cell r="AG133">
            <v>10</v>
          </cell>
          <cell r="AY133" t="str">
            <v/>
          </cell>
          <cell r="BQ133" t="str">
            <v/>
          </cell>
        </row>
        <row r="134">
          <cell r="A134" t="str">
            <v>3x7&gt;</v>
          </cell>
          <cell r="D134">
            <v>7</v>
          </cell>
          <cell r="E134">
            <v>6</v>
          </cell>
          <cell r="F134">
            <v>5</v>
          </cell>
          <cell r="M134">
            <v>7</v>
          </cell>
          <cell r="N134">
            <v>6</v>
          </cell>
          <cell r="O134">
            <v>5</v>
          </cell>
          <cell r="V134">
            <v>7</v>
          </cell>
          <cell r="W134">
            <v>6</v>
          </cell>
          <cell r="X134">
            <v>5</v>
          </cell>
          <cell r="AE134">
            <v>7</v>
          </cell>
          <cell r="AF134">
            <v>6</v>
          </cell>
          <cell r="AG134">
            <v>5</v>
          </cell>
          <cell r="AY134" t="str">
            <v/>
          </cell>
          <cell r="BQ134" t="str">
            <v/>
          </cell>
        </row>
        <row r="135">
          <cell r="A135" t="str">
            <v>3x7&gt;+1</v>
          </cell>
          <cell r="D135">
            <v>7</v>
          </cell>
          <cell r="E135">
            <v>6</v>
          </cell>
          <cell r="F135">
            <v>5</v>
          </cell>
          <cell r="M135">
            <v>8</v>
          </cell>
          <cell r="N135">
            <v>7</v>
          </cell>
          <cell r="O135">
            <v>6</v>
          </cell>
          <cell r="V135">
            <v>9</v>
          </cell>
          <cell r="W135">
            <v>8</v>
          </cell>
          <cell r="X135">
            <v>7</v>
          </cell>
          <cell r="AE135">
            <v>10</v>
          </cell>
          <cell r="AF135">
            <v>9</v>
          </cell>
          <cell r="AG135">
            <v>8</v>
          </cell>
          <cell r="AY135" t="str">
            <v/>
          </cell>
          <cell r="BQ135" t="str">
            <v/>
          </cell>
        </row>
        <row r="136">
          <cell r="A136" t="str">
            <v>3x7&gt;-1</v>
          </cell>
          <cell r="D136">
            <v>7</v>
          </cell>
          <cell r="E136">
            <v>6</v>
          </cell>
          <cell r="F136">
            <v>5</v>
          </cell>
          <cell r="M136">
            <v>6</v>
          </cell>
          <cell r="N136">
            <v>5</v>
          </cell>
          <cell r="O136">
            <v>4</v>
          </cell>
          <cell r="V136">
            <v>5</v>
          </cell>
          <cell r="W136">
            <v>4</v>
          </cell>
          <cell r="X136">
            <v>3</v>
          </cell>
          <cell r="AE136">
            <v>4</v>
          </cell>
          <cell r="AF136">
            <v>3</v>
          </cell>
          <cell r="AG136">
            <v>2</v>
          </cell>
          <cell r="AY136" t="str">
            <v/>
          </cell>
          <cell r="BQ136" t="str">
            <v/>
          </cell>
        </row>
        <row r="137">
          <cell r="A137" t="str">
            <v>4x7</v>
          </cell>
          <cell r="D137">
            <v>7</v>
          </cell>
          <cell r="E137">
            <v>7</v>
          </cell>
          <cell r="F137">
            <v>7</v>
          </cell>
          <cell r="G137">
            <v>7</v>
          </cell>
          <cell r="M137">
            <v>7</v>
          </cell>
          <cell r="N137">
            <v>7</v>
          </cell>
          <cell r="O137">
            <v>7</v>
          </cell>
          <cell r="P137">
            <v>7</v>
          </cell>
          <cell r="V137">
            <v>7</v>
          </cell>
          <cell r="W137">
            <v>7</v>
          </cell>
          <cell r="X137">
            <v>7</v>
          </cell>
          <cell r="Y137">
            <v>7</v>
          </cell>
          <cell r="AE137">
            <v>7</v>
          </cell>
          <cell r="AF137">
            <v>7</v>
          </cell>
          <cell r="AG137">
            <v>7</v>
          </cell>
          <cell r="AH137">
            <v>7</v>
          </cell>
          <cell r="AY137" t="str">
            <v/>
          </cell>
        </row>
        <row r="138">
          <cell r="A138" t="str">
            <v>5x7</v>
          </cell>
          <cell r="D138">
            <v>7</v>
          </cell>
          <cell r="E138">
            <v>7</v>
          </cell>
          <cell r="F138">
            <v>7</v>
          </cell>
          <cell r="G138">
            <v>7</v>
          </cell>
          <cell r="H138">
            <v>7</v>
          </cell>
          <cell r="M138">
            <v>7</v>
          </cell>
          <cell r="N138">
            <v>7</v>
          </cell>
          <cell r="O138">
            <v>7</v>
          </cell>
          <cell r="P138">
            <v>7</v>
          </cell>
          <cell r="Q138">
            <v>7</v>
          </cell>
          <cell r="V138">
            <v>7</v>
          </cell>
          <cell r="W138">
            <v>7</v>
          </cell>
          <cell r="X138">
            <v>7</v>
          </cell>
          <cell r="Y138">
            <v>7</v>
          </cell>
          <cell r="Z138">
            <v>7</v>
          </cell>
          <cell r="AE138">
            <v>7</v>
          </cell>
          <cell r="AF138">
            <v>7</v>
          </cell>
          <cell r="AG138">
            <v>7</v>
          </cell>
          <cell r="AH138">
            <v>7</v>
          </cell>
          <cell r="AI138">
            <v>7</v>
          </cell>
          <cell r="AY138" t="str">
            <v/>
          </cell>
        </row>
        <row r="139">
          <cell r="A139" t="str">
            <v>6x7</v>
          </cell>
          <cell r="D139">
            <v>7</v>
          </cell>
          <cell r="E139">
            <v>7</v>
          </cell>
          <cell r="F139">
            <v>7</v>
          </cell>
          <cell r="G139">
            <v>7</v>
          </cell>
          <cell r="H139">
            <v>7</v>
          </cell>
          <cell r="I139">
            <v>7</v>
          </cell>
          <cell r="M139">
            <v>7</v>
          </cell>
          <cell r="N139">
            <v>7</v>
          </cell>
          <cell r="O139">
            <v>7</v>
          </cell>
          <cell r="P139">
            <v>7</v>
          </cell>
          <cell r="Q139">
            <v>7</v>
          </cell>
          <cell r="R139">
            <v>7</v>
          </cell>
          <cell r="V139">
            <v>7</v>
          </cell>
          <cell r="W139">
            <v>7</v>
          </cell>
          <cell r="X139">
            <v>7</v>
          </cell>
          <cell r="Y139">
            <v>7</v>
          </cell>
          <cell r="Z139">
            <v>7</v>
          </cell>
          <cell r="AA139">
            <v>7</v>
          </cell>
          <cell r="AE139">
            <v>7</v>
          </cell>
          <cell r="AF139">
            <v>7</v>
          </cell>
          <cell r="AG139">
            <v>7</v>
          </cell>
          <cell r="AH139">
            <v>7</v>
          </cell>
          <cell r="AI139">
            <v>7</v>
          </cell>
          <cell r="AJ139">
            <v>7</v>
          </cell>
          <cell r="AY139" t="str">
            <v/>
          </cell>
        </row>
        <row r="140">
          <cell r="A140" t="str">
            <v>2x8</v>
          </cell>
          <cell r="D140">
            <v>8</v>
          </cell>
          <cell r="E140">
            <v>8</v>
          </cell>
          <cell r="M140">
            <v>8</v>
          </cell>
          <cell r="N140">
            <v>8</v>
          </cell>
          <cell r="V140">
            <v>8</v>
          </cell>
          <cell r="W140">
            <v>8</v>
          </cell>
          <cell r="AE140">
            <v>8</v>
          </cell>
          <cell r="AF140">
            <v>8</v>
          </cell>
          <cell r="AY140" t="str">
            <v/>
          </cell>
        </row>
        <row r="141">
          <cell r="A141" t="str">
            <v>3x8</v>
          </cell>
          <cell r="D141">
            <v>8</v>
          </cell>
          <cell r="E141">
            <v>8</v>
          </cell>
          <cell r="F141">
            <v>8</v>
          </cell>
          <cell r="M141">
            <v>8</v>
          </cell>
          <cell r="N141">
            <v>8</v>
          </cell>
          <cell r="O141">
            <v>8</v>
          </cell>
          <cell r="V141">
            <v>8</v>
          </cell>
          <cell r="W141">
            <v>8</v>
          </cell>
          <cell r="X141">
            <v>8</v>
          </cell>
          <cell r="AE141">
            <v>8</v>
          </cell>
          <cell r="AF141">
            <v>8</v>
          </cell>
          <cell r="AG141">
            <v>8</v>
          </cell>
          <cell r="AY141" t="str">
            <v/>
          </cell>
        </row>
        <row r="142">
          <cell r="A142" t="str">
            <v>3x8-1</v>
          </cell>
          <cell r="D142">
            <v>8</v>
          </cell>
          <cell r="E142">
            <v>8</v>
          </cell>
          <cell r="F142">
            <v>8</v>
          </cell>
          <cell r="M142">
            <v>7</v>
          </cell>
          <cell r="N142">
            <v>7</v>
          </cell>
          <cell r="O142">
            <v>7</v>
          </cell>
          <cell r="V142">
            <v>6</v>
          </cell>
          <cell r="W142">
            <v>6</v>
          </cell>
          <cell r="X142">
            <v>6</v>
          </cell>
          <cell r="AE142">
            <v>5</v>
          </cell>
          <cell r="AF142">
            <v>5</v>
          </cell>
          <cell r="AG142">
            <v>5</v>
          </cell>
          <cell r="AY142" t="str">
            <v/>
          </cell>
        </row>
        <row r="143">
          <cell r="A143" t="str">
            <v>3x8-.5</v>
          </cell>
          <cell r="D143">
            <v>8</v>
          </cell>
          <cell r="E143">
            <v>8</v>
          </cell>
          <cell r="F143">
            <v>8</v>
          </cell>
          <cell r="M143">
            <v>8</v>
          </cell>
          <cell r="N143">
            <v>8</v>
          </cell>
          <cell r="O143">
            <v>8</v>
          </cell>
          <cell r="V143">
            <v>7</v>
          </cell>
          <cell r="W143">
            <v>7</v>
          </cell>
          <cell r="X143">
            <v>7</v>
          </cell>
          <cell r="AE143">
            <v>7</v>
          </cell>
          <cell r="AF143">
            <v>7</v>
          </cell>
          <cell r="AG143">
            <v>7</v>
          </cell>
          <cell r="AY143" t="str">
            <v/>
          </cell>
        </row>
        <row r="144">
          <cell r="A144" t="str">
            <v>3x8+1</v>
          </cell>
          <cell r="D144">
            <v>8</v>
          </cell>
          <cell r="E144">
            <v>8</v>
          </cell>
          <cell r="F144">
            <v>8</v>
          </cell>
          <cell r="M144">
            <v>9</v>
          </cell>
          <cell r="N144">
            <v>9</v>
          </cell>
          <cell r="O144">
            <v>9</v>
          </cell>
          <cell r="V144">
            <v>10</v>
          </cell>
          <cell r="W144">
            <v>10</v>
          </cell>
          <cell r="X144">
            <v>10</v>
          </cell>
          <cell r="AE144">
            <v>11</v>
          </cell>
          <cell r="AF144">
            <v>11</v>
          </cell>
          <cell r="AG144">
            <v>11</v>
          </cell>
          <cell r="AY144" t="str">
            <v/>
          </cell>
        </row>
        <row r="145">
          <cell r="A145" t="str">
            <v>3x8&gt;</v>
          </cell>
          <cell r="D145">
            <v>8</v>
          </cell>
          <cell r="E145">
            <v>7</v>
          </cell>
          <cell r="F145">
            <v>6</v>
          </cell>
          <cell r="M145">
            <v>8</v>
          </cell>
          <cell r="N145">
            <v>7</v>
          </cell>
          <cell r="O145">
            <v>6</v>
          </cell>
          <cell r="V145">
            <v>8</v>
          </cell>
          <cell r="W145">
            <v>7</v>
          </cell>
          <cell r="X145">
            <v>6</v>
          </cell>
          <cell r="AE145">
            <v>8</v>
          </cell>
          <cell r="AF145">
            <v>7</v>
          </cell>
          <cell r="AG145">
            <v>6</v>
          </cell>
          <cell r="AY145" t="str">
            <v/>
          </cell>
        </row>
        <row r="146">
          <cell r="A146" t="str">
            <v>3x8&gt;+1</v>
          </cell>
          <cell r="D146">
            <v>8</v>
          </cell>
          <cell r="E146">
            <v>7</v>
          </cell>
          <cell r="F146">
            <v>6</v>
          </cell>
          <cell r="M146">
            <v>9</v>
          </cell>
          <cell r="N146">
            <v>8</v>
          </cell>
          <cell r="O146">
            <v>7</v>
          </cell>
          <cell r="V146">
            <v>10</v>
          </cell>
          <cell r="W146">
            <v>9</v>
          </cell>
          <cell r="X146">
            <v>8</v>
          </cell>
          <cell r="AE146">
            <v>11</v>
          </cell>
          <cell r="AF146">
            <v>10</v>
          </cell>
          <cell r="AG146">
            <v>9</v>
          </cell>
          <cell r="AY146" t="str">
            <v/>
          </cell>
        </row>
        <row r="147">
          <cell r="A147" t="str">
            <v>3x8&gt;-1</v>
          </cell>
          <cell r="D147">
            <v>8</v>
          </cell>
          <cell r="E147">
            <v>7</v>
          </cell>
          <cell r="F147">
            <v>6</v>
          </cell>
          <cell r="M147">
            <v>7</v>
          </cell>
          <cell r="N147">
            <v>6</v>
          </cell>
          <cell r="O147">
            <v>5</v>
          </cell>
          <cell r="V147">
            <v>6</v>
          </cell>
          <cell r="W147">
            <v>5</v>
          </cell>
          <cell r="X147">
            <v>4</v>
          </cell>
          <cell r="AE147">
            <v>5</v>
          </cell>
          <cell r="AF147">
            <v>4</v>
          </cell>
          <cell r="AG147">
            <v>3</v>
          </cell>
          <cell r="AY147" t="str">
            <v/>
          </cell>
        </row>
        <row r="148">
          <cell r="A148" t="str">
            <v>4x8</v>
          </cell>
          <cell r="D148">
            <v>8</v>
          </cell>
          <cell r="E148">
            <v>8</v>
          </cell>
          <cell r="F148">
            <v>8</v>
          </cell>
          <cell r="G148">
            <v>8</v>
          </cell>
          <cell r="M148">
            <v>8</v>
          </cell>
          <cell r="N148">
            <v>8</v>
          </cell>
          <cell r="O148">
            <v>8</v>
          </cell>
          <cell r="P148">
            <v>8</v>
          </cell>
          <cell r="V148">
            <v>8</v>
          </cell>
          <cell r="W148">
            <v>8</v>
          </cell>
          <cell r="X148">
            <v>8</v>
          </cell>
          <cell r="Y148">
            <v>8</v>
          </cell>
          <cell r="AE148">
            <v>8</v>
          </cell>
          <cell r="AF148">
            <v>8</v>
          </cell>
          <cell r="AG148">
            <v>8</v>
          </cell>
          <cell r="AH148">
            <v>8</v>
          </cell>
          <cell r="AY148" t="str">
            <v/>
          </cell>
        </row>
        <row r="149">
          <cell r="A149" t="str">
            <v>5x8</v>
          </cell>
          <cell r="D149">
            <v>8</v>
          </cell>
          <cell r="E149">
            <v>8</v>
          </cell>
          <cell r="F149">
            <v>8</v>
          </cell>
          <cell r="G149">
            <v>8</v>
          </cell>
          <cell r="H149">
            <v>8</v>
          </cell>
          <cell r="M149">
            <v>8</v>
          </cell>
          <cell r="N149">
            <v>8</v>
          </cell>
          <cell r="O149">
            <v>8</v>
          </cell>
          <cell r="P149">
            <v>8</v>
          </cell>
          <cell r="Q149">
            <v>8</v>
          </cell>
          <cell r="V149">
            <v>8</v>
          </cell>
          <cell r="W149">
            <v>8</v>
          </cell>
          <cell r="X149">
            <v>8</v>
          </cell>
          <cell r="Y149">
            <v>8</v>
          </cell>
          <cell r="Z149">
            <v>8</v>
          </cell>
          <cell r="AE149">
            <v>8</v>
          </cell>
          <cell r="AF149">
            <v>8</v>
          </cell>
          <cell r="AG149">
            <v>8</v>
          </cell>
          <cell r="AH149">
            <v>8</v>
          </cell>
          <cell r="AI149">
            <v>8</v>
          </cell>
          <cell r="AY149" t="str">
            <v/>
          </cell>
        </row>
        <row r="150">
          <cell r="A150" t="str">
            <v>6x8</v>
          </cell>
          <cell r="D150">
            <v>8</v>
          </cell>
          <cell r="E150">
            <v>8</v>
          </cell>
          <cell r="F150">
            <v>8</v>
          </cell>
          <cell r="G150">
            <v>8</v>
          </cell>
          <cell r="H150">
            <v>8</v>
          </cell>
          <cell r="I150">
            <v>8</v>
          </cell>
          <cell r="M150">
            <v>8</v>
          </cell>
          <cell r="N150">
            <v>8</v>
          </cell>
          <cell r="O150">
            <v>8</v>
          </cell>
          <cell r="P150">
            <v>8</v>
          </cell>
          <cell r="Q150">
            <v>8</v>
          </cell>
          <cell r="R150">
            <v>8</v>
          </cell>
          <cell r="V150">
            <v>8</v>
          </cell>
          <cell r="W150">
            <v>8</v>
          </cell>
          <cell r="X150">
            <v>8</v>
          </cell>
          <cell r="Y150">
            <v>8</v>
          </cell>
          <cell r="Z150">
            <v>8</v>
          </cell>
          <cell r="AA150">
            <v>8</v>
          </cell>
          <cell r="AE150">
            <v>8</v>
          </cell>
          <cell r="AF150">
            <v>8</v>
          </cell>
          <cell r="AG150">
            <v>8</v>
          </cell>
          <cell r="AH150">
            <v>8</v>
          </cell>
          <cell r="AI150">
            <v>8</v>
          </cell>
          <cell r="AJ150">
            <v>8</v>
          </cell>
          <cell r="AY150" t="str">
            <v/>
          </cell>
        </row>
        <row r="151">
          <cell r="A151" t="str">
            <v>2x9</v>
          </cell>
          <cell r="D151">
            <v>9</v>
          </cell>
          <cell r="E151">
            <v>9</v>
          </cell>
          <cell r="M151">
            <v>9</v>
          </cell>
          <cell r="N151">
            <v>9</v>
          </cell>
          <cell r="V151">
            <v>9</v>
          </cell>
          <cell r="W151">
            <v>9</v>
          </cell>
          <cell r="AE151">
            <v>9</v>
          </cell>
          <cell r="AF151">
            <v>9</v>
          </cell>
          <cell r="AY151" t="str">
            <v/>
          </cell>
        </row>
        <row r="152">
          <cell r="A152" t="str">
            <v>3x9</v>
          </cell>
          <cell r="D152">
            <v>9</v>
          </cell>
          <cell r="E152">
            <v>9</v>
          </cell>
          <cell r="F152">
            <v>9</v>
          </cell>
          <cell r="M152">
            <v>9</v>
          </cell>
          <cell r="N152">
            <v>9</v>
          </cell>
          <cell r="O152">
            <v>9</v>
          </cell>
          <cell r="V152">
            <v>9</v>
          </cell>
          <cell r="W152">
            <v>9</v>
          </cell>
          <cell r="X152">
            <v>9</v>
          </cell>
          <cell r="AE152">
            <v>9</v>
          </cell>
          <cell r="AF152">
            <v>9</v>
          </cell>
          <cell r="AG152">
            <v>9</v>
          </cell>
          <cell r="AY152" t="str">
            <v/>
          </cell>
        </row>
        <row r="153">
          <cell r="A153" t="str">
            <v>3x9+1</v>
          </cell>
          <cell r="D153">
            <v>9</v>
          </cell>
          <cell r="E153">
            <v>9</v>
          </cell>
          <cell r="F153">
            <v>9</v>
          </cell>
          <cell r="M153">
            <v>10</v>
          </cell>
          <cell r="N153">
            <v>10</v>
          </cell>
          <cell r="O153">
            <v>10</v>
          </cell>
          <cell r="V153">
            <v>11</v>
          </cell>
          <cell r="W153">
            <v>11</v>
          </cell>
          <cell r="X153">
            <v>11</v>
          </cell>
          <cell r="AE153">
            <v>12</v>
          </cell>
          <cell r="AF153">
            <v>12</v>
          </cell>
          <cell r="AG153">
            <v>12</v>
          </cell>
          <cell r="AY153" t="str">
            <v/>
          </cell>
        </row>
        <row r="154">
          <cell r="A154" t="str">
            <v>3x9-1</v>
          </cell>
          <cell r="D154">
            <v>9</v>
          </cell>
          <cell r="E154">
            <v>9</v>
          </cell>
          <cell r="F154">
            <v>9</v>
          </cell>
          <cell r="M154">
            <v>8</v>
          </cell>
          <cell r="N154">
            <v>8</v>
          </cell>
          <cell r="O154">
            <v>8</v>
          </cell>
          <cell r="V154">
            <v>7</v>
          </cell>
          <cell r="W154">
            <v>7</v>
          </cell>
          <cell r="X154">
            <v>7</v>
          </cell>
          <cell r="AE154">
            <v>6</v>
          </cell>
          <cell r="AF154">
            <v>6</v>
          </cell>
          <cell r="AG154">
            <v>6</v>
          </cell>
          <cell r="AY154" t="str">
            <v/>
          </cell>
        </row>
        <row r="155">
          <cell r="A155" t="str">
            <v>3x9&gt;</v>
          </cell>
          <cell r="D155">
            <v>9</v>
          </cell>
          <cell r="E155">
            <v>8</v>
          </cell>
          <cell r="F155">
            <v>7</v>
          </cell>
          <cell r="M155">
            <v>9</v>
          </cell>
          <cell r="N155">
            <v>8</v>
          </cell>
          <cell r="O155">
            <v>7</v>
          </cell>
          <cell r="V155">
            <v>9</v>
          </cell>
          <cell r="W155">
            <v>8</v>
          </cell>
          <cell r="X155">
            <v>7</v>
          </cell>
          <cell r="AE155">
            <v>9</v>
          </cell>
          <cell r="AF155">
            <v>8</v>
          </cell>
          <cell r="AG155">
            <v>7</v>
          </cell>
          <cell r="AY155" t="str">
            <v/>
          </cell>
        </row>
        <row r="156">
          <cell r="A156" t="str">
            <v>3x9&gt;+1</v>
          </cell>
          <cell r="D156">
            <v>9</v>
          </cell>
          <cell r="E156">
            <v>8</v>
          </cell>
          <cell r="F156">
            <v>7</v>
          </cell>
          <cell r="M156">
            <v>10</v>
          </cell>
          <cell r="N156">
            <v>9</v>
          </cell>
          <cell r="O156">
            <v>8</v>
          </cell>
          <cell r="V156">
            <v>11</v>
          </cell>
          <cell r="W156">
            <v>10</v>
          </cell>
          <cell r="X156">
            <v>9</v>
          </cell>
          <cell r="AE156">
            <v>12</v>
          </cell>
          <cell r="AF156">
            <v>11</v>
          </cell>
          <cell r="AG156">
            <v>10</v>
          </cell>
          <cell r="AY156" t="str">
            <v/>
          </cell>
        </row>
        <row r="157">
          <cell r="A157" t="str">
            <v>3x9&gt;-1</v>
          </cell>
          <cell r="D157">
            <v>9</v>
          </cell>
          <cell r="E157">
            <v>8</v>
          </cell>
          <cell r="F157">
            <v>7</v>
          </cell>
          <cell r="M157">
            <v>8</v>
          </cell>
          <cell r="N157">
            <v>7</v>
          </cell>
          <cell r="O157">
            <v>6</v>
          </cell>
          <cell r="V157">
            <v>7</v>
          </cell>
          <cell r="W157">
            <v>6</v>
          </cell>
          <cell r="X157">
            <v>5</v>
          </cell>
          <cell r="AE157">
            <v>6</v>
          </cell>
          <cell r="AF157">
            <v>5</v>
          </cell>
          <cell r="AG157">
            <v>4</v>
          </cell>
          <cell r="AY157" t="str">
            <v/>
          </cell>
        </row>
        <row r="158">
          <cell r="A158" t="str">
            <v>4x9</v>
          </cell>
          <cell r="D158">
            <v>9</v>
          </cell>
          <cell r="E158">
            <v>9</v>
          </cell>
          <cell r="F158">
            <v>9</v>
          </cell>
          <cell r="G158">
            <v>9</v>
          </cell>
          <cell r="M158">
            <v>9</v>
          </cell>
          <cell r="N158">
            <v>9</v>
          </cell>
          <cell r="O158">
            <v>9</v>
          </cell>
          <cell r="P158">
            <v>9</v>
          </cell>
          <cell r="V158">
            <v>9</v>
          </cell>
          <cell r="W158">
            <v>9</v>
          </cell>
          <cell r="X158">
            <v>9</v>
          </cell>
          <cell r="Y158">
            <v>9</v>
          </cell>
          <cell r="AE158">
            <v>9</v>
          </cell>
          <cell r="AF158">
            <v>9</v>
          </cell>
          <cell r="AG158">
            <v>9</v>
          </cell>
          <cell r="AH158">
            <v>9</v>
          </cell>
          <cell r="AY158" t="str">
            <v/>
          </cell>
        </row>
        <row r="159">
          <cell r="A159" t="str">
            <v>5x9</v>
          </cell>
          <cell r="D159">
            <v>9</v>
          </cell>
          <cell r="E159">
            <v>9</v>
          </cell>
          <cell r="F159">
            <v>9</v>
          </cell>
          <cell r="G159">
            <v>9</v>
          </cell>
          <cell r="H159">
            <v>9</v>
          </cell>
          <cell r="M159">
            <v>9</v>
          </cell>
          <cell r="N159">
            <v>9</v>
          </cell>
          <cell r="O159">
            <v>9</v>
          </cell>
          <cell r="P159">
            <v>9</v>
          </cell>
          <cell r="Q159">
            <v>9</v>
          </cell>
          <cell r="V159">
            <v>9</v>
          </cell>
          <cell r="W159">
            <v>9</v>
          </cell>
          <cell r="X159">
            <v>9</v>
          </cell>
          <cell r="Y159">
            <v>9</v>
          </cell>
          <cell r="Z159">
            <v>9</v>
          </cell>
          <cell r="AE159">
            <v>9</v>
          </cell>
          <cell r="AF159">
            <v>9</v>
          </cell>
          <cell r="AG159">
            <v>9</v>
          </cell>
          <cell r="AH159">
            <v>9</v>
          </cell>
          <cell r="AI159">
            <v>9</v>
          </cell>
          <cell r="AY159" t="str">
            <v/>
          </cell>
        </row>
        <row r="160">
          <cell r="A160" t="str">
            <v>6x9</v>
          </cell>
          <cell r="D160">
            <v>9</v>
          </cell>
          <cell r="E160">
            <v>9</v>
          </cell>
          <cell r="F160">
            <v>9</v>
          </cell>
          <cell r="G160">
            <v>9</v>
          </cell>
          <cell r="H160">
            <v>9</v>
          </cell>
          <cell r="I160">
            <v>9</v>
          </cell>
          <cell r="M160">
            <v>9</v>
          </cell>
          <cell r="N160">
            <v>9</v>
          </cell>
          <cell r="O160">
            <v>9</v>
          </cell>
          <cell r="P160">
            <v>9</v>
          </cell>
          <cell r="Q160">
            <v>9</v>
          </cell>
          <cell r="R160">
            <v>9</v>
          </cell>
          <cell r="V160">
            <v>9</v>
          </cell>
          <cell r="W160">
            <v>9</v>
          </cell>
          <cell r="X160">
            <v>9</v>
          </cell>
          <cell r="Y160">
            <v>9</v>
          </cell>
          <cell r="Z160">
            <v>9</v>
          </cell>
          <cell r="AA160">
            <v>9</v>
          </cell>
          <cell r="AE160">
            <v>9</v>
          </cell>
          <cell r="AF160">
            <v>9</v>
          </cell>
          <cell r="AG160">
            <v>9</v>
          </cell>
          <cell r="AH160">
            <v>9</v>
          </cell>
          <cell r="AI160">
            <v>9</v>
          </cell>
          <cell r="AJ160">
            <v>9</v>
          </cell>
          <cell r="AY160" t="str">
            <v/>
          </cell>
        </row>
        <row r="161">
          <cell r="A161" t="str">
            <v>2x10</v>
          </cell>
          <cell r="D161">
            <v>10</v>
          </cell>
          <cell r="E161">
            <v>10</v>
          </cell>
          <cell r="M161">
            <v>10</v>
          </cell>
          <cell r="N161">
            <v>10</v>
          </cell>
          <cell r="V161">
            <v>10</v>
          </cell>
          <cell r="W161">
            <v>10</v>
          </cell>
          <cell r="AE161">
            <v>10</v>
          </cell>
          <cell r="AF161">
            <v>10</v>
          </cell>
        </row>
        <row r="162">
          <cell r="A162" t="str">
            <v>3x10</v>
          </cell>
          <cell r="D162">
            <v>10</v>
          </cell>
          <cell r="E162">
            <v>10</v>
          </cell>
          <cell r="F162">
            <v>10</v>
          </cell>
          <cell r="M162">
            <v>10</v>
          </cell>
          <cell r="N162">
            <v>10</v>
          </cell>
          <cell r="O162">
            <v>10</v>
          </cell>
          <cell r="V162">
            <v>10</v>
          </cell>
          <cell r="W162">
            <v>10</v>
          </cell>
          <cell r="X162">
            <v>10</v>
          </cell>
          <cell r="AE162">
            <v>10</v>
          </cell>
          <cell r="AF162">
            <v>10</v>
          </cell>
          <cell r="AG162">
            <v>10</v>
          </cell>
        </row>
        <row r="163">
          <cell r="A163" t="str">
            <v>3x10-1</v>
          </cell>
          <cell r="D163">
            <v>10</v>
          </cell>
          <cell r="E163">
            <v>10</v>
          </cell>
          <cell r="F163">
            <v>10</v>
          </cell>
          <cell r="M163">
            <v>9</v>
          </cell>
          <cell r="N163">
            <v>9</v>
          </cell>
          <cell r="O163">
            <v>9</v>
          </cell>
          <cell r="V163">
            <v>8</v>
          </cell>
          <cell r="W163">
            <v>8</v>
          </cell>
          <cell r="X163">
            <v>8</v>
          </cell>
          <cell r="AE163">
            <v>7</v>
          </cell>
          <cell r="AF163">
            <v>7</v>
          </cell>
          <cell r="AG163">
            <v>7</v>
          </cell>
        </row>
        <row r="164">
          <cell r="A164" t="str">
            <v>3x10+1</v>
          </cell>
          <cell r="D164">
            <v>10</v>
          </cell>
          <cell r="E164">
            <v>10</v>
          </cell>
          <cell r="F164">
            <v>10</v>
          </cell>
          <cell r="M164">
            <v>11</v>
          </cell>
          <cell r="N164">
            <v>11</v>
          </cell>
          <cell r="O164">
            <v>11</v>
          </cell>
          <cell r="V164">
            <v>12</v>
          </cell>
          <cell r="W164">
            <v>12</v>
          </cell>
          <cell r="X164">
            <v>12</v>
          </cell>
          <cell r="AE164">
            <v>13</v>
          </cell>
          <cell r="AF164">
            <v>13</v>
          </cell>
          <cell r="AG164">
            <v>13</v>
          </cell>
        </row>
        <row r="165">
          <cell r="A165" t="str">
            <v>3x10&gt;</v>
          </cell>
          <cell r="D165">
            <v>10</v>
          </cell>
          <cell r="E165">
            <v>9</v>
          </cell>
          <cell r="F165">
            <v>8</v>
          </cell>
          <cell r="M165">
            <v>10</v>
          </cell>
          <cell r="N165">
            <v>9</v>
          </cell>
          <cell r="O165">
            <v>8</v>
          </cell>
          <cell r="V165">
            <v>10</v>
          </cell>
          <cell r="W165">
            <v>9</v>
          </cell>
          <cell r="X165">
            <v>8</v>
          </cell>
          <cell r="AE165">
            <v>10</v>
          </cell>
          <cell r="AF165">
            <v>9</v>
          </cell>
          <cell r="AG165">
            <v>8</v>
          </cell>
        </row>
        <row r="166">
          <cell r="A166" t="str">
            <v>3x10&gt;+1</v>
          </cell>
          <cell r="D166">
            <v>10</v>
          </cell>
          <cell r="E166">
            <v>9</v>
          </cell>
          <cell r="F166">
            <v>8</v>
          </cell>
          <cell r="M166">
            <v>11</v>
          </cell>
          <cell r="N166">
            <v>10</v>
          </cell>
          <cell r="O166">
            <v>9</v>
          </cell>
          <cell r="V166">
            <v>12</v>
          </cell>
          <cell r="W166">
            <v>11</v>
          </cell>
          <cell r="X166">
            <v>10</v>
          </cell>
          <cell r="AE166">
            <v>13</v>
          </cell>
          <cell r="AF166">
            <v>12</v>
          </cell>
          <cell r="AG166">
            <v>11</v>
          </cell>
        </row>
        <row r="167">
          <cell r="A167" t="str">
            <v>3x10&gt;-1</v>
          </cell>
          <cell r="D167">
            <v>10</v>
          </cell>
          <cell r="E167">
            <v>9</v>
          </cell>
          <cell r="F167">
            <v>8</v>
          </cell>
          <cell r="M167">
            <v>9</v>
          </cell>
          <cell r="N167">
            <v>8</v>
          </cell>
          <cell r="O167">
            <v>7</v>
          </cell>
          <cell r="V167">
            <v>8</v>
          </cell>
          <cell r="W167">
            <v>7</v>
          </cell>
          <cell r="X167">
            <v>6</v>
          </cell>
          <cell r="AE167">
            <v>7</v>
          </cell>
          <cell r="AF167">
            <v>6</v>
          </cell>
          <cell r="AG167">
            <v>5</v>
          </cell>
        </row>
        <row r="168">
          <cell r="A168" t="str">
            <v>3x10+2</v>
          </cell>
          <cell r="D168">
            <v>10</v>
          </cell>
          <cell r="E168">
            <v>10</v>
          </cell>
          <cell r="F168">
            <v>10</v>
          </cell>
          <cell r="M168">
            <v>12</v>
          </cell>
          <cell r="N168">
            <v>12</v>
          </cell>
          <cell r="O168">
            <v>12</v>
          </cell>
          <cell r="V168">
            <v>14</v>
          </cell>
          <cell r="W168">
            <v>14</v>
          </cell>
          <cell r="X168">
            <v>14</v>
          </cell>
          <cell r="AE168">
            <v>16</v>
          </cell>
          <cell r="AF168">
            <v>16</v>
          </cell>
          <cell r="AG168">
            <v>16</v>
          </cell>
        </row>
        <row r="169">
          <cell r="A169" t="str">
            <v>4x10</v>
          </cell>
          <cell r="D169">
            <v>10</v>
          </cell>
          <cell r="E169">
            <v>10</v>
          </cell>
          <cell r="F169">
            <v>10</v>
          </cell>
          <cell r="G169">
            <v>10</v>
          </cell>
          <cell r="M169">
            <v>10</v>
          </cell>
          <cell r="N169">
            <v>10</v>
          </cell>
          <cell r="O169">
            <v>10</v>
          </cell>
          <cell r="P169">
            <v>10</v>
          </cell>
          <cell r="V169">
            <v>10</v>
          </cell>
          <cell r="W169">
            <v>10</v>
          </cell>
          <cell r="X169">
            <v>10</v>
          </cell>
          <cell r="Y169">
            <v>10</v>
          </cell>
          <cell r="AE169">
            <v>10</v>
          </cell>
          <cell r="AF169">
            <v>10</v>
          </cell>
          <cell r="AG169">
            <v>10</v>
          </cell>
          <cell r="AH169">
            <v>10</v>
          </cell>
        </row>
        <row r="170">
          <cell r="A170" t="str">
            <v>5x10</v>
          </cell>
          <cell r="D170">
            <v>10</v>
          </cell>
          <cell r="E170">
            <v>10</v>
          </cell>
          <cell r="F170">
            <v>10</v>
          </cell>
          <cell r="G170">
            <v>10</v>
          </cell>
          <cell r="H170">
            <v>10</v>
          </cell>
          <cell r="M170">
            <v>10</v>
          </cell>
          <cell r="N170">
            <v>10</v>
          </cell>
          <cell r="O170">
            <v>10</v>
          </cell>
          <cell r="P170">
            <v>10</v>
          </cell>
          <cell r="Q170">
            <v>10</v>
          </cell>
          <cell r="V170">
            <v>10</v>
          </cell>
          <cell r="W170">
            <v>10</v>
          </cell>
          <cell r="X170">
            <v>10</v>
          </cell>
          <cell r="Y170">
            <v>10</v>
          </cell>
          <cell r="Z170">
            <v>10</v>
          </cell>
          <cell r="AE170">
            <v>10</v>
          </cell>
          <cell r="AF170">
            <v>10</v>
          </cell>
          <cell r="AG170">
            <v>10</v>
          </cell>
          <cell r="AH170">
            <v>10</v>
          </cell>
          <cell r="AI170">
            <v>10</v>
          </cell>
        </row>
        <row r="171">
          <cell r="A171" t="str">
            <v>6x10</v>
          </cell>
          <cell r="D171">
            <v>10</v>
          </cell>
          <cell r="E171">
            <v>10</v>
          </cell>
          <cell r="F171">
            <v>10</v>
          </cell>
          <cell r="G171">
            <v>10</v>
          </cell>
          <cell r="H171">
            <v>10</v>
          </cell>
          <cell r="I171">
            <v>10</v>
          </cell>
          <cell r="M171">
            <v>10</v>
          </cell>
          <cell r="N171">
            <v>10</v>
          </cell>
          <cell r="O171">
            <v>10</v>
          </cell>
          <cell r="P171">
            <v>10</v>
          </cell>
          <cell r="Q171">
            <v>10</v>
          </cell>
          <cell r="R171">
            <v>10</v>
          </cell>
          <cell r="V171">
            <v>10</v>
          </cell>
          <cell r="W171">
            <v>10</v>
          </cell>
          <cell r="X171">
            <v>10</v>
          </cell>
          <cell r="Y171">
            <v>10</v>
          </cell>
          <cell r="Z171">
            <v>10</v>
          </cell>
          <cell r="AA171">
            <v>10</v>
          </cell>
          <cell r="AE171">
            <v>10</v>
          </cell>
          <cell r="AF171">
            <v>10</v>
          </cell>
          <cell r="AG171">
            <v>10</v>
          </cell>
          <cell r="AH171">
            <v>10</v>
          </cell>
          <cell r="AI171">
            <v>10</v>
          </cell>
          <cell r="AJ171">
            <v>10</v>
          </cell>
        </row>
        <row r="172">
          <cell r="A172" t="str">
            <v>1x12</v>
          </cell>
          <cell r="D172">
            <v>12</v>
          </cell>
          <cell r="M172">
            <v>12</v>
          </cell>
          <cell r="V172">
            <v>12</v>
          </cell>
          <cell r="AE172">
            <v>12</v>
          </cell>
        </row>
        <row r="173">
          <cell r="A173" t="str">
            <v>2x12</v>
          </cell>
          <cell r="D173">
            <v>12</v>
          </cell>
          <cell r="E173">
            <v>12</v>
          </cell>
          <cell r="M173">
            <v>12</v>
          </cell>
          <cell r="N173">
            <v>12</v>
          </cell>
          <cell r="V173">
            <v>12</v>
          </cell>
          <cell r="W173">
            <v>12</v>
          </cell>
          <cell r="AE173">
            <v>12</v>
          </cell>
          <cell r="AF173">
            <v>12</v>
          </cell>
        </row>
        <row r="174">
          <cell r="A174" t="str">
            <v>3x12</v>
          </cell>
          <cell r="D174">
            <v>12</v>
          </cell>
          <cell r="E174">
            <v>12</v>
          </cell>
          <cell r="F174">
            <v>12</v>
          </cell>
          <cell r="M174">
            <v>12</v>
          </cell>
          <cell r="N174">
            <v>12</v>
          </cell>
          <cell r="O174">
            <v>12</v>
          </cell>
          <cell r="V174">
            <v>12</v>
          </cell>
          <cell r="W174">
            <v>12</v>
          </cell>
          <cell r="X174">
            <v>12</v>
          </cell>
          <cell r="AE174">
            <v>12</v>
          </cell>
          <cell r="AF174">
            <v>12</v>
          </cell>
          <cell r="AG174">
            <v>12</v>
          </cell>
        </row>
        <row r="175">
          <cell r="A175" t="str">
            <v>4x12</v>
          </cell>
          <cell r="D175">
            <v>12</v>
          </cell>
          <cell r="E175">
            <v>12</v>
          </cell>
          <cell r="F175">
            <v>12</v>
          </cell>
          <cell r="G175">
            <v>12</v>
          </cell>
          <cell r="M175">
            <v>12</v>
          </cell>
          <cell r="N175">
            <v>12</v>
          </cell>
          <cell r="O175">
            <v>12</v>
          </cell>
          <cell r="P175">
            <v>12</v>
          </cell>
          <cell r="V175">
            <v>12</v>
          </cell>
          <cell r="W175">
            <v>12</v>
          </cell>
          <cell r="X175">
            <v>12</v>
          </cell>
          <cell r="Y175">
            <v>12</v>
          </cell>
          <cell r="AE175">
            <v>12</v>
          </cell>
          <cell r="AF175">
            <v>12</v>
          </cell>
          <cell r="AG175">
            <v>12</v>
          </cell>
          <cell r="AH175">
            <v>12</v>
          </cell>
        </row>
        <row r="176">
          <cell r="A176" t="str">
            <v>5x12</v>
          </cell>
          <cell r="D176">
            <v>12</v>
          </cell>
          <cell r="E176">
            <v>12</v>
          </cell>
          <cell r="F176">
            <v>12</v>
          </cell>
          <cell r="G176">
            <v>12</v>
          </cell>
          <cell r="H176">
            <v>12</v>
          </cell>
          <cell r="M176">
            <v>12</v>
          </cell>
          <cell r="N176">
            <v>12</v>
          </cell>
          <cell r="O176">
            <v>12</v>
          </cell>
          <cell r="P176">
            <v>12</v>
          </cell>
          <cell r="Q176">
            <v>12</v>
          </cell>
          <cell r="V176">
            <v>12</v>
          </cell>
          <cell r="W176">
            <v>12</v>
          </cell>
          <cell r="X176">
            <v>12</v>
          </cell>
          <cell r="Y176">
            <v>12</v>
          </cell>
          <cell r="Z176">
            <v>12</v>
          </cell>
          <cell r="AE176">
            <v>12</v>
          </cell>
          <cell r="AF176">
            <v>12</v>
          </cell>
          <cell r="AG176">
            <v>12</v>
          </cell>
          <cell r="AH176">
            <v>12</v>
          </cell>
          <cell r="AI176">
            <v>12</v>
          </cell>
        </row>
        <row r="177">
          <cell r="A177" t="str">
            <v>6x12</v>
          </cell>
          <cell r="D177">
            <v>12</v>
          </cell>
          <cell r="E177">
            <v>12</v>
          </cell>
          <cell r="F177">
            <v>12</v>
          </cell>
          <cell r="G177">
            <v>12</v>
          </cell>
          <cell r="H177">
            <v>12</v>
          </cell>
          <cell r="I177">
            <v>12</v>
          </cell>
          <cell r="M177">
            <v>12</v>
          </cell>
          <cell r="N177">
            <v>12</v>
          </cell>
          <cell r="O177">
            <v>12</v>
          </cell>
          <cell r="P177">
            <v>12</v>
          </cell>
          <cell r="Q177">
            <v>12</v>
          </cell>
          <cell r="R177">
            <v>12</v>
          </cell>
          <cell r="V177">
            <v>12</v>
          </cell>
          <cell r="W177">
            <v>12</v>
          </cell>
          <cell r="X177">
            <v>12</v>
          </cell>
          <cell r="Y177">
            <v>12</v>
          </cell>
          <cell r="Z177">
            <v>12</v>
          </cell>
          <cell r="AA177">
            <v>12</v>
          </cell>
          <cell r="AE177">
            <v>12</v>
          </cell>
          <cell r="AF177">
            <v>12</v>
          </cell>
          <cell r="AG177">
            <v>12</v>
          </cell>
          <cell r="AH177">
            <v>12</v>
          </cell>
          <cell r="AI177">
            <v>12</v>
          </cell>
          <cell r="AJ177">
            <v>12</v>
          </cell>
        </row>
        <row r="178">
          <cell r="A178" t="str">
            <v>1x15</v>
          </cell>
          <cell r="D178">
            <v>15</v>
          </cell>
          <cell r="M178">
            <v>15</v>
          </cell>
          <cell r="V178">
            <v>15</v>
          </cell>
          <cell r="AE178">
            <v>15</v>
          </cell>
        </row>
        <row r="179">
          <cell r="A179" t="str">
            <v>2x15</v>
          </cell>
          <cell r="D179">
            <v>15</v>
          </cell>
          <cell r="E179">
            <v>15</v>
          </cell>
          <cell r="M179">
            <v>15</v>
          </cell>
          <cell r="N179">
            <v>15</v>
          </cell>
          <cell r="V179">
            <v>15</v>
          </cell>
          <cell r="W179">
            <v>15</v>
          </cell>
          <cell r="AE179">
            <v>15</v>
          </cell>
          <cell r="AF179">
            <v>15</v>
          </cell>
        </row>
        <row r="180">
          <cell r="A180" t="str">
            <v>3x15</v>
          </cell>
          <cell r="D180">
            <v>15</v>
          </cell>
          <cell r="E180">
            <v>15</v>
          </cell>
          <cell r="F180">
            <v>15</v>
          </cell>
          <cell r="M180">
            <v>15</v>
          </cell>
          <cell r="N180">
            <v>15</v>
          </cell>
          <cell r="O180">
            <v>15</v>
          </cell>
          <cell r="V180">
            <v>15</v>
          </cell>
          <cell r="W180">
            <v>15</v>
          </cell>
          <cell r="X180">
            <v>15</v>
          </cell>
          <cell r="AE180">
            <v>15</v>
          </cell>
          <cell r="AF180">
            <v>15</v>
          </cell>
          <cell r="AG180">
            <v>15</v>
          </cell>
        </row>
        <row r="181">
          <cell r="A181" t="str">
            <v>4x15</v>
          </cell>
          <cell r="D181">
            <v>15</v>
          </cell>
          <cell r="E181">
            <v>15</v>
          </cell>
          <cell r="F181">
            <v>15</v>
          </cell>
          <cell r="G181">
            <v>15</v>
          </cell>
          <cell r="M181">
            <v>15</v>
          </cell>
          <cell r="N181">
            <v>15</v>
          </cell>
          <cell r="O181">
            <v>15</v>
          </cell>
          <cell r="P181">
            <v>15</v>
          </cell>
          <cell r="V181">
            <v>15</v>
          </cell>
          <cell r="W181">
            <v>15</v>
          </cell>
          <cell r="X181">
            <v>15</v>
          </cell>
          <cell r="Y181">
            <v>15</v>
          </cell>
          <cell r="AE181">
            <v>15</v>
          </cell>
          <cell r="AF181">
            <v>15</v>
          </cell>
          <cell r="AG181">
            <v>15</v>
          </cell>
          <cell r="AH181">
            <v>15</v>
          </cell>
        </row>
        <row r="182">
          <cell r="A182" t="str">
            <v>5x15</v>
          </cell>
          <cell r="D182">
            <v>15</v>
          </cell>
          <cell r="E182">
            <v>15</v>
          </cell>
          <cell r="F182">
            <v>15</v>
          </cell>
          <cell r="G182">
            <v>15</v>
          </cell>
          <cell r="H182">
            <v>15</v>
          </cell>
          <cell r="M182">
            <v>15</v>
          </cell>
          <cell r="N182">
            <v>15</v>
          </cell>
          <cell r="O182">
            <v>15</v>
          </cell>
          <cell r="P182">
            <v>15</v>
          </cell>
          <cell r="Q182">
            <v>15</v>
          </cell>
          <cell r="V182">
            <v>15</v>
          </cell>
          <cell r="W182">
            <v>15</v>
          </cell>
          <cell r="X182">
            <v>15</v>
          </cell>
          <cell r="Y182">
            <v>15</v>
          </cell>
          <cell r="Z182">
            <v>15</v>
          </cell>
          <cell r="AE182">
            <v>15</v>
          </cell>
          <cell r="AF182">
            <v>15</v>
          </cell>
          <cell r="AG182">
            <v>15</v>
          </cell>
          <cell r="AH182">
            <v>15</v>
          </cell>
          <cell r="AI182">
            <v>15</v>
          </cell>
        </row>
        <row r="183">
          <cell r="A183" t="str">
            <v>6x15</v>
          </cell>
          <cell r="D183">
            <v>15</v>
          </cell>
          <cell r="E183">
            <v>15</v>
          </cell>
          <cell r="F183">
            <v>15</v>
          </cell>
          <cell r="G183">
            <v>15</v>
          </cell>
          <cell r="H183">
            <v>15</v>
          </cell>
          <cell r="I183">
            <v>15</v>
          </cell>
          <cell r="M183">
            <v>15</v>
          </cell>
          <cell r="N183">
            <v>15</v>
          </cell>
          <cell r="O183">
            <v>15</v>
          </cell>
          <cell r="P183">
            <v>15</v>
          </cell>
          <cell r="Q183">
            <v>15</v>
          </cell>
          <cell r="R183">
            <v>15</v>
          </cell>
          <cell r="V183">
            <v>15</v>
          </cell>
          <cell r="W183">
            <v>15</v>
          </cell>
          <cell r="X183">
            <v>15</v>
          </cell>
          <cell r="Y183">
            <v>15</v>
          </cell>
          <cell r="Z183">
            <v>15</v>
          </cell>
          <cell r="AA183">
            <v>15</v>
          </cell>
          <cell r="AE183">
            <v>15</v>
          </cell>
          <cell r="AF183">
            <v>15</v>
          </cell>
          <cell r="AG183">
            <v>15</v>
          </cell>
          <cell r="AH183">
            <v>15</v>
          </cell>
          <cell r="AI183">
            <v>15</v>
          </cell>
          <cell r="AJ183">
            <v>15</v>
          </cell>
        </row>
        <row r="184">
          <cell r="A184" t="str">
            <v>1x20</v>
          </cell>
          <cell r="D184">
            <v>20</v>
          </cell>
          <cell r="M184">
            <v>20</v>
          </cell>
          <cell r="V184">
            <v>20</v>
          </cell>
          <cell r="AE184">
            <v>20</v>
          </cell>
        </row>
        <row r="185">
          <cell r="A185" t="str">
            <v>2x20</v>
          </cell>
          <cell r="D185">
            <v>20</v>
          </cell>
          <cell r="E185">
            <v>20</v>
          </cell>
          <cell r="M185">
            <v>20</v>
          </cell>
          <cell r="N185">
            <v>20</v>
          </cell>
          <cell r="V185">
            <v>20</v>
          </cell>
          <cell r="W185">
            <v>20</v>
          </cell>
          <cell r="AE185">
            <v>20</v>
          </cell>
          <cell r="AF185">
            <v>20</v>
          </cell>
        </row>
        <row r="186">
          <cell r="A186" t="str">
            <v>3x20</v>
          </cell>
          <cell r="D186">
            <v>20</v>
          </cell>
          <cell r="E186">
            <v>20</v>
          </cell>
          <cell r="F186">
            <v>20</v>
          </cell>
          <cell r="M186">
            <v>20</v>
          </cell>
          <cell r="N186">
            <v>20</v>
          </cell>
          <cell r="O186">
            <v>20</v>
          </cell>
          <cell r="V186">
            <v>20</v>
          </cell>
          <cell r="W186">
            <v>20</v>
          </cell>
          <cell r="X186">
            <v>20</v>
          </cell>
          <cell r="AE186">
            <v>20</v>
          </cell>
          <cell r="AF186">
            <v>20</v>
          </cell>
          <cell r="AG186">
            <v>20</v>
          </cell>
        </row>
        <row r="187">
          <cell r="A187" t="str">
            <v>4x20</v>
          </cell>
          <cell r="D187">
            <v>20</v>
          </cell>
          <cell r="E187">
            <v>20</v>
          </cell>
          <cell r="F187">
            <v>20</v>
          </cell>
          <cell r="G187">
            <v>20</v>
          </cell>
          <cell r="M187">
            <v>20</v>
          </cell>
          <cell r="N187">
            <v>20</v>
          </cell>
          <cell r="O187">
            <v>20</v>
          </cell>
          <cell r="P187">
            <v>20</v>
          </cell>
          <cell r="V187">
            <v>20</v>
          </cell>
          <cell r="W187">
            <v>20</v>
          </cell>
          <cell r="X187">
            <v>20</v>
          </cell>
          <cell r="Y187">
            <v>20</v>
          </cell>
          <cell r="AE187">
            <v>20</v>
          </cell>
          <cell r="AF187">
            <v>20</v>
          </cell>
          <cell r="AG187">
            <v>20</v>
          </cell>
          <cell r="AH187">
            <v>20</v>
          </cell>
        </row>
        <row r="188">
          <cell r="A188" t="str">
            <v>5x20</v>
          </cell>
          <cell r="D188">
            <v>20</v>
          </cell>
          <cell r="E188">
            <v>20</v>
          </cell>
          <cell r="F188">
            <v>20</v>
          </cell>
          <cell r="G188">
            <v>20</v>
          </cell>
          <cell r="H188">
            <v>20</v>
          </cell>
          <cell r="M188">
            <v>20</v>
          </cell>
          <cell r="N188">
            <v>20</v>
          </cell>
          <cell r="O188">
            <v>20</v>
          </cell>
          <cell r="P188">
            <v>20</v>
          </cell>
          <cell r="Q188">
            <v>20</v>
          </cell>
          <cell r="V188">
            <v>20</v>
          </cell>
          <cell r="W188">
            <v>20</v>
          </cell>
          <cell r="X188">
            <v>20</v>
          </cell>
          <cell r="Y188">
            <v>20</v>
          </cell>
          <cell r="Z188">
            <v>20</v>
          </cell>
          <cell r="AE188">
            <v>20</v>
          </cell>
          <cell r="AF188">
            <v>20</v>
          </cell>
          <cell r="AG188">
            <v>20</v>
          </cell>
          <cell r="AH188">
            <v>20</v>
          </cell>
          <cell r="AI188">
            <v>20</v>
          </cell>
        </row>
        <row r="189">
          <cell r="A189" t="str">
            <v>6x20</v>
          </cell>
          <cell r="D189">
            <v>20</v>
          </cell>
          <cell r="E189">
            <v>20</v>
          </cell>
          <cell r="F189">
            <v>20</v>
          </cell>
          <cell r="G189">
            <v>20</v>
          </cell>
          <cell r="H189">
            <v>20</v>
          </cell>
          <cell r="I189">
            <v>20</v>
          </cell>
          <cell r="M189">
            <v>20</v>
          </cell>
          <cell r="N189">
            <v>20</v>
          </cell>
          <cell r="O189">
            <v>20</v>
          </cell>
          <cell r="P189">
            <v>20</v>
          </cell>
          <cell r="Q189">
            <v>20</v>
          </cell>
          <cell r="R189">
            <v>20</v>
          </cell>
          <cell r="V189">
            <v>20</v>
          </cell>
          <cell r="W189">
            <v>20</v>
          </cell>
          <cell r="X189">
            <v>20</v>
          </cell>
          <cell r="Y189">
            <v>20</v>
          </cell>
          <cell r="Z189">
            <v>20</v>
          </cell>
          <cell r="AA189">
            <v>20</v>
          </cell>
          <cell r="AE189">
            <v>20</v>
          </cell>
          <cell r="AF189">
            <v>20</v>
          </cell>
          <cell r="AG189">
            <v>20</v>
          </cell>
          <cell r="AH189">
            <v>20</v>
          </cell>
          <cell r="AI189">
            <v>20</v>
          </cell>
          <cell r="AJ189">
            <v>20</v>
          </cell>
        </row>
        <row r="190">
          <cell r="A190" t="str">
            <v>1x30</v>
          </cell>
          <cell r="D190">
            <v>30</v>
          </cell>
          <cell r="M190">
            <v>30</v>
          </cell>
          <cell r="V190">
            <v>30</v>
          </cell>
          <cell r="AE190">
            <v>30</v>
          </cell>
        </row>
        <row r="191">
          <cell r="A191" t="str">
            <v>2x30</v>
          </cell>
          <cell r="D191">
            <v>30</v>
          </cell>
          <cell r="E191">
            <v>30</v>
          </cell>
          <cell r="M191">
            <v>30</v>
          </cell>
          <cell r="N191">
            <v>30</v>
          </cell>
          <cell r="V191">
            <v>30</v>
          </cell>
          <cell r="W191">
            <v>30</v>
          </cell>
          <cell r="AE191">
            <v>30</v>
          </cell>
          <cell r="AF191">
            <v>30</v>
          </cell>
        </row>
        <row r="192">
          <cell r="A192" t="str">
            <v>3x30</v>
          </cell>
          <cell r="D192">
            <v>30</v>
          </cell>
          <cell r="E192">
            <v>30</v>
          </cell>
          <cell r="F192">
            <v>30</v>
          </cell>
          <cell r="M192">
            <v>30</v>
          </cell>
          <cell r="N192">
            <v>30</v>
          </cell>
          <cell r="O192">
            <v>30</v>
          </cell>
          <cell r="V192">
            <v>30</v>
          </cell>
          <cell r="W192">
            <v>30</v>
          </cell>
          <cell r="X192">
            <v>30</v>
          </cell>
          <cell r="AE192">
            <v>30</v>
          </cell>
          <cell r="AF192">
            <v>30</v>
          </cell>
          <cell r="AG192">
            <v>30</v>
          </cell>
        </row>
        <row r="193">
          <cell r="A193" t="str">
            <v>4x30</v>
          </cell>
          <cell r="D193">
            <v>30</v>
          </cell>
          <cell r="E193">
            <v>30</v>
          </cell>
          <cell r="F193">
            <v>30</v>
          </cell>
          <cell r="G193">
            <v>30</v>
          </cell>
          <cell r="M193">
            <v>30</v>
          </cell>
          <cell r="N193">
            <v>30</v>
          </cell>
          <cell r="O193">
            <v>30</v>
          </cell>
          <cell r="P193">
            <v>30</v>
          </cell>
          <cell r="V193">
            <v>30</v>
          </cell>
          <cell r="W193">
            <v>30</v>
          </cell>
          <cell r="X193">
            <v>30</v>
          </cell>
          <cell r="Y193">
            <v>30</v>
          </cell>
          <cell r="AE193">
            <v>30</v>
          </cell>
          <cell r="AF193">
            <v>30</v>
          </cell>
          <cell r="AG193">
            <v>30</v>
          </cell>
          <cell r="AH193">
            <v>30</v>
          </cell>
        </row>
        <row r="195">
          <cell r="A195" t="str">
            <v>TIME</v>
          </cell>
        </row>
        <row r="196">
          <cell r="A196" t="str">
            <v>3x:05</v>
          </cell>
          <cell r="D196" t="str">
            <v>:05</v>
          </cell>
          <cell r="E196" t="str">
            <v>:05</v>
          </cell>
          <cell r="F196" t="str">
            <v>:05</v>
          </cell>
          <cell r="M196" t="str">
            <v>:05</v>
          </cell>
          <cell r="N196" t="str">
            <v>:05</v>
          </cell>
          <cell r="O196" t="str">
            <v>:05</v>
          </cell>
          <cell r="V196" t="str">
            <v>:05</v>
          </cell>
          <cell r="W196" t="str">
            <v>:05</v>
          </cell>
          <cell r="X196" t="str">
            <v>:05</v>
          </cell>
          <cell r="AE196" t="str">
            <v>:05</v>
          </cell>
          <cell r="AF196" t="str">
            <v>:05</v>
          </cell>
          <cell r="AG196" t="str">
            <v>:05</v>
          </cell>
        </row>
        <row r="197">
          <cell r="A197" t="str">
            <v>3x:05+5</v>
          </cell>
          <cell r="D197" t="str">
            <v>:05</v>
          </cell>
          <cell r="E197" t="str">
            <v>:05</v>
          </cell>
          <cell r="F197" t="str">
            <v>:05</v>
          </cell>
          <cell r="M197" t="str">
            <v>:10</v>
          </cell>
          <cell r="N197" t="str">
            <v>:10</v>
          </cell>
          <cell r="O197" t="str">
            <v>:10</v>
          </cell>
          <cell r="V197" t="str">
            <v>:15</v>
          </cell>
          <cell r="W197" t="str">
            <v>:15</v>
          </cell>
          <cell r="X197" t="str">
            <v>:15</v>
          </cell>
          <cell r="AE197" t="str">
            <v>:20</v>
          </cell>
          <cell r="AF197" t="str">
            <v>:20</v>
          </cell>
          <cell r="AG197" t="str">
            <v>:20</v>
          </cell>
        </row>
        <row r="198">
          <cell r="A198" t="str">
            <v>3x:10</v>
          </cell>
          <cell r="D198" t="str">
            <v>:10</v>
          </cell>
          <cell r="E198" t="str">
            <v>:10</v>
          </cell>
          <cell r="F198" t="str">
            <v>:10</v>
          </cell>
          <cell r="M198" t="str">
            <v>:10</v>
          </cell>
          <cell r="N198" t="str">
            <v>:10</v>
          </cell>
          <cell r="O198" t="str">
            <v>:10</v>
          </cell>
          <cell r="V198" t="str">
            <v>:10</v>
          </cell>
          <cell r="W198" t="str">
            <v>:10</v>
          </cell>
          <cell r="X198" t="str">
            <v>:10</v>
          </cell>
          <cell r="AE198" t="str">
            <v>:10</v>
          </cell>
          <cell r="AF198" t="str">
            <v>:10</v>
          </cell>
          <cell r="AG198" t="str">
            <v>:10</v>
          </cell>
        </row>
        <row r="199">
          <cell r="A199" t="str">
            <v>3x:10+5</v>
          </cell>
          <cell r="D199" t="str">
            <v>:10</v>
          </cell>
          <cell r="E199" t="str">
            <v>:10</v>
          </cell>
          <cell r="F199" t="str">
            <v>:10</v>
          </cell>
          <cell r="M199" t="str">
            <v>:15</v>
          </cell>
          <cell r="N199" t="str">
            <v>:15</v>
          </cell>
          <cell r="O199" t="str">
            <v>:15</v>
          </cell>
          <cell r="V199" t="str">
            <v>:20</v>
          </cell>
          <cell r="W199" t="str">
            <v>:20</v>
          </cell>
          <cell r="X199" t="str">
            <v>:20</v>
          </cell>
          <cell r="AE199" t="str">
            <v>:25</v>
          </cell>
          <cell r="AF199" t="str">
            <v>:25</v>
          </cell>
          <cell r="AG199" t="str">
            <v>:25</v>
          </cell>
        </row>
        <row r="200">
          <cell r="A200" t="str">
            <v>3x:10+10</v>
          </cell>
          <cell r="D200" t="str">
            <v>:10</v>
          </cell>
          <cell r="E200" t="str">
            <v>:10</v>
          </cell>
          <cell r="F200" t="str">
            <v>:10</v>
          </cell>
          <cell r="M200" t="str">
            <v>:20</v>
          </cell>
          <cell r="N200" t="str">
            <v>:20</v>
          </cell>
          <cell r="O200" t="str">
            <v>:20</v>
          </cell>
          <cell r="V200" t="str">
            <v>:30</v>
          </cell>
          <cell r="W200" t="str">
            <v>:30</v>
          </cell>
          <cell r="X200" t="str">
            <v>:30</v>
          </cell>
          <cell r="AE200" t="str">
            <v>:40</v>
          </cell>
          <cell r="AF200" t="str">
            <v>:40</v>
          </cell>
          <cell r="AG200" t="str">
            <v>:40</v>
          </cell>
        </row>
        <row r="201">
          <cell r="A201" t="str">
            <v>3x:15</v>
          </cell>
          <cell r="D201" t="str">
            <v>:15</v>
          </cell>
          <cell r="E201" t="str">
            <v>:15</v>
          </cell>
          <cell r="F201" t="str">
            <v>:15</v>
          </cell>
          <cell r="M201" t="str">
            <v>:15</v>
          </cell>
          <cell r="N201" t="str">
            <v>:15</v>
          </cell>
          <cell r="O201" t="str">
            <v>:15</v>
          </cell>
          <cell r="V201" t="str">
            <v>:15</v>
          </cell>
          <cell r="W201" t="str">
            <v>:15</v>
          </cell>
          <cell r="X201" t="str">
            <v>:15</v>
          </cell>
          <cell r="AE201" t="str">
            <v>:15</v>
          </cell>
          <cell r="AF201" t="str">
            <v>:15</v>
          </cell>
          <cell r="AG201" t="str">
            <v>:15</v>
          </cell>
        </row>
        <row r="202">
          <cell r="A202" t="str">
            <v>3x:15+5</v>
          </cell>
          <cell r="D202" t="str">
            <v>:15</v>
          </cell>
          <cell r="E202" t="str">
            <v>:15</v>
          </cell>
          <cell r="F202" t="str">
            <v>:15</v>
          </cell>
          <cell r="M202" t="str">
            <v>:20</v>
          </cell>
          <cell r="N202" t="str">
            <v>:20</v>
          </cell>
          <cell r="O202" t="str">
            <v>:20</v>
          </cell>
          <cell r="V202" t="str">
            <v>:25</v>
          </cell>
          <cell r="W202" t="str">
            <v>:25</v>
          </cell>
          <cell r="X202" t="str">
            <v>:25</v>
          </cell>
          <cell r="AE202" t="str">
            <v>:30</v>
          </cell>
          <cell r="AF202" t="str">
            <v>:30</v>
          </cell>
          <cell r="AG202" t="str">
            <v>:30</v>
          </cell>
        </row>
        <row r="203">
          <cell r="A203" t="str">
            <v>3x:20</v>
          </cell>
          <cell r="D203" t="str">
            <v>:20</v>
          </cell>
          <cell r="E203" t="str">
            <v>:20</v>
          </cell>
          <cell r="F203" t="str">
            <v>:20</v>
          </cell>
          <cell r="M203" t="str">
            <v>:20</v>
          </cell>
          <cell r="N203" t="str">
            <v>:20</v>
          </cell>
          <cell r="O203" t="str">
            <v>:20</v>
          </cell>
          <cell r="V203" t="str">
            <v>:20</v>
          </cell>
          <cell r="W203" t="str">
            <v>:20</v>
          </cell>
          <cell r="X203" t="str">
            <v>:20</v>
          </cell>
          <cell r="AE203" t="str">
            <v>:20</v>
          </cell>
          <cell r="AF203" t="str">
            <v>:20</v>
          </cell>
          <cell r="AG203" t="str">
            <v>:20</v>
          </cell>
        </row>
        <row r="204">
          <cell r="A204" t="str">
            <v>3x:20+10</v>
          </cell>
          <cell r="D204" t="str">
            <v>:20</v>
          </cell>
          <cell r="E204" t="str">
            <v>:20</v>
          </cell>
          <cell r="F204" t="str">
            <v>:20</v>
          </cell>
          <cell r="M204" t="str">
            <v>:30</v>
          </cell>
          <cell r="N204" t="str">
            <v>:30</v>
          </cell>
          <cell r="O204" t="str">
            <v>:30</v>
          </cell>
          <cell r="V204" t="str">
            <v>:40</v>
          </cell>
          <cell r="W204" t="str">
            <v>:40</v>
          </cell>
          <cell r="X204" t="str">
            <v>:40</v>
          </cell>
          <cell r="AE204" t="str">
            <v>:40</v>
          </cell>
          <cell r="AF204" t="str">
            <v>:30</v>
          </cell>
          <cell r="AG204" t="str">
            <v>:20</v>
          </cell>
        </row>
        <row r="205">
          <cell r="A205" t="str">
            <v>3x:20+5</v>
          </cell>
          <cell r="D205" t="str">
            <v>:20</v>
          </cell>
          <cell r="E205" t="str">
            <v>:20</v>
          </cell>
          <cell r="F205" t="str">
            <v>:20</v>
          </cell>
          <cell r="M205" t="str">
            <v>:25</v>
          </cell>
          <cell r="N205" t="str">
            <v>:25</v>
          </cell>
          <cell r="O205" t="str">
            <v>:25</v>
          </cell>
          <cell r="V205" t="str">
            <v>:30</v>
          </cell>
          <cell r="W205" t="str">
            <v>:30</v>
          </cell>
          <cell r="X205" t="str">
            <v>:30</v>
          </cell>
          <cell r="AE205" t="str">
            <v>:30</v>
          </cell>
          <cell r="AF205" t="str">
            <v>:25</v>
          </cell>
          <cell r="AG205" t="str">
            <v>:20</v>
          </cell>
        </row>
        <row r="206">
          <cell r="A206" t="str">
            <v>3x:20&gt;5</v>
          </cell>
          <cell r="D206" t="str">
            <v>:20</v>
          </cell>
          <cell r="E206" t="str">
            <v>:15</v>
          </cell>
          <cell r="F206" t="str">
            <v>:10</v>
          </cell>
          <cell r="M206" t="str">
            <v>:20</v>
          </cell>
          <cell r="N206" t="str">
            <v>:15</v>
          </cell>
          <cell r="O206" t="str">
            <v>:10</v>
          </cell>
          <cell r="V206" t="str">
            <v>:20</v>
          </cell>
          <cell r="W206" t="str">
            <v>:15</v>
          </cell>
          <cell r="X206" t="str">
            <v>:10</v>
          </cell>
          <cell r="AE206" t="str">
            <v>:20</v>
          </cell>
          <cell r="AF206" t="str">
            <v>:15</v>
          </cell>
          <cell r="AG206" t="str">
            <v>:10</v>
          </cell>
        </row>
        <row r="207">
          <cell r="A207" t="str">
            <v>3x:20&gt;5+5</v>
          </cell>
          <cell r="D207" t="str">
            <v>:20</v>
          </cell>
          <cell r="E207" t="str">
            <v>:15</v>
          </cell>
          <cell r="F207" t="str">
            <v>:10</v>
          </cell>
          <cell r="M207" t="str">
            <v>:25</v>
          </cell>
          <cell r="N207" t="str">
            <v>:20</v>
          </cell>
          <cell r="O207" t="str">
            <v>:15</v>
          </cell>
          <cell r="V207" t="str">
            <v>:30</v>
          </cell>
          <cell r="W207" t="str">
            <v>:25</v>
          </cell>
          <cell r="X207" t="str">
            <v>:20</v>
          </cell>
          <cell r="AE207" t="str">
            <v>:20</v>
          </cell>
          <cell r="AF207" t="str">
            <v>:20</v>
          </cell>
          <cell r="AG207" t="str">
            <v>:20</v>
          </cell>
        </row>
        <row r="208">
          <cell r="A208" t="str">
            <v>3x:30</v>
          </cell>
          <cell r="D208" t="str">
            <v>:30</v>
          </cell>
          <cell r="E208" t="str">
            <v>:30</v>
          </cell>
          <cell r="F208" t="str">
            <v>:30</v>
          </cell>
          <cell r="M208" t="str">
            <v>:30</v>
          </cell>
          <cell r="N208" t="str">
            <v>:30</v>
          </cell>
          <cell r="O208" t="str">
            <v>:30</v>
          </cell>
          <cell r="V208" t="str">
            <v>:30</v>
          </cell>
          <cell r="W208" t="str">
            <v>:30</v>
          </cell>
          <cell r="X208" t="str">
            <v>:30</v>
          </cell>
          <cell r="AE208" t="str">
            <v>:30</v>
          </cell>
          <cell r="AF208" t="str">
            <v>:30</v>
          </cell>
          <cell r="AG208" t="str">
            <v>:30</v>
          </cell>
        </row>
        <row r="209">
          <cell r="A209" t="str">
            <v>3x:30+10</v>
          </cell>
          <cell r="D209" t="str">
            <v>:30</v>
          </cell>
          <cell r="E209" t="str">
            <v>:30</v>
          </cell>
          <cell r="F209" t="str">
            <v>:30</v>
          </cell>
          <cell r="M209" t="str">
            <v>:40</v>
          </cell>
          <cell r="N209" t="str">
            <v>:40</v>
          </cell>
          <cell r="O209" t="str">
            <v>:40</v>
          </cell>
          <cell r="V209" t="str">
            <v>:50</v>
          </cell>
          <cell r="W209" t="str">
            <v>:50</v>
          </cell>
          <cell r="X209" t="str">
            <v>:50</v>
          </cell>
          <cell r="AE209" t="str">
            <v>:50</v>
          </cell>
          <cell r="AF209" t="str">
            <v>:40</v>
          </cell>
          <cell r="AG209" t="str">
            <v>:30</v>
          </cell>
        </row>
        <row r="210">
          <cell r="A210" t="str">
            <v>3x:30+5</v>
          </cell>
          <cell r="D210" t="str">
            <v>:30</v>
          </cell>
          <cell r="E210" t="str">
            <v>:30</v>
          </cell>
          <cell r="F210" t="str">
            <v>:30</v>
          </cell>
          <cell r="M210" t="str">
            <v>:35</v>
          </cell>
          <cell r="N210" t="str">
            <v>:35</v>
          </cell>
          <cell r="O210" t="str">
            <v>:35</v>
          </cell>
          <cell r="V210" t="str">
            <v>:40</v>
          </cell>
          <cell r="W210" t="str">
            <v>:40</v>
          </cell>
          <cell r="X210" t="str">
            <v>:40</v>
          </cell>
          <cell r="AE210" t="str">
            <v>:40</v>
          </cell>
          <cell r="AF210" t="str">
            <v>:35</v>
          </cell>
          <cell r="AG210" t="str">
            <v>:30</v>
          </cell>
        </row>
        <row r="211">
          <cell r="A211" t="str">
            <v>3x:40+10</v>
          </cell>
          <cell r="D211" t="str">
            <v>:40</v>
          </cell>
          <cell r="E211" t="str">
            <v>:40</v>
          </cell>
          <cell r="F211" t="str">
            <v>:40</v>
          </cell>
          <cell r="M211" t="str">
            <v>:50</v>
          </cell>
          <cell r="N211" t="str">
            <v>:50</v>
          </cell>
          <cell r="O211" t="str">
            <v>:50</v>
          </cell>
          <cell r="V211" t="str">
            <v>:60</v>
          </cell>
          <cell r="W211" t="str">
            <v>:60</v>
          </cell>
          <cell r="X211" t="str">
            <v>:60</v>
          </cell>
          <cell r="AE211" t="str">
            <v>:60</v>
          </cell>
          <cell r="AF211" t="str">
            <v>:50</v>
          </cell>
          <cell r="AG211" t="str">
            <v>:40</v>
          </cell>
        </row>
        <row r="212">
          <cell r="A212" t="str">
            <v>3x:40+5</v>
          </cell>
          <cell r="D212" t="str">
            <v>:40</v>
          </cell>
          <cell r="E212" t="str">
            <v>:40</v>
          </cell>
          <cell r="F212" t="str">
            <v>:40</v>
          </cell>
          <cell r="M212" t="str">
            <v>:45</v>
          </cell>
          <cell r="N212" t="str">
            <v>:45</v>
          </cell>
          <cell r="O212" t="str">
            <v>:45</v>
          </cell>
          <cell r="V212" t="str">
            <v>:50</v>
          </cell>
          <cell r="W212" t="str">
            <v>:50</v>
          </cell>
          <cell r="X212" t="str">
            <v>:50</v>
          </cell>
          <cell r="AE212" t="str">
            <v>:50</v>
          </cell>
          <cell r="AF212" t="str">
            <v>:45</v>
          </cell>
          <cell r="AG212" t="str">
            <v>:40</v>
          </cell>
        </row>
        <row r="213">
          <cell r="A213" t="str">
            <v>3x:40&gt;5</v>
          </cell>
          <cell r="D213" t="str">
            <v>:40</v>
          </cell>
          <cell r="E213" t="str">
            <v>:35</v>
          </cell>
          <cell r="F213" t="str">
            <v>:30</v>
          </cell>
          <cell r="M213" t="str">
            <v>:40</v>
          </cell>
          <cell r="N213" t="str">
            <v>:35</v>
          </cell>
          <cell r="O213" t="str">
            <v>:30</v>
          </cell>
          <cell r="V213" t="str">
            <v>:40</v>
          </cell>
          <cell r="W213" t="str">
            <v>:35</v>
          </cell>
          <cell r="X213" t="str">
            <v>:30</v>
          </cell>
          <cell r="AE213" t="str">
            <v>:40</v>
          </cell>
          <cell r="AF213" t="str">
            <v>:35</v>
          </cell>
          <cell r="AG213" t="str">
            <v>:30</v>
          </cell>
        </row>
        <row r="214">
          <cell r="A214" t="str">
            <v>3x:40&gt;5+5</v>
          </cell>
          <cell r="D214" t="str">
            <v>:40</v>
          </cell>
          <cell r="E214" t="str">
            <v>:35</v>
          </cell>
          <cell r="F214" t="str">
            <v>:30</v>
          </cell>
          <cell r="M214" t="str">
            <v>:45</v>
          </cell>
          <cell r="N214" t="str">
            <v>:40</v>
          </cell>
          <cell r="O214" t="str">
            <v>:35</v>
          </cell>
          <cell r="V214" t="str">
            <v>:50</v>
          </cell>
          <cell r="W214" t="str">
            <v>:45</v>
          </cell>
          <cell r="X214" t="str">
            <v>:40</v>
          </cell>
          <cell r="AE214" t="str">
            <v>:40</v>
          </cell>
          <cell r="AF214" t="str">
            <v>:40</v>
          </cell>
          <cell r="AG214" t="str">
            <v>:40</v>
          </cell>
        </row>
        <row r="215">
          <cell r="A215" t="str">
            <v>3x:60</v>
          </cell>
          <cell r="D215" t="str">
            <v>:60</v>
          </cell>
          <cell r="E215" t="str">
            <v>:60</v>
          </cell>
          <cell r="F215" t="str">
            <v>:60</v>
          </cell>
          <cell r="M215" t="str">
            <v>:60</v>
          </cell>
          <cell r="N215" t="str">
            <v>:60</v>
          </cell>
          <cell r="O215" t="str">
            <v>:60</v>
          </cell>
          <cell r="V215" t="str">
            <v>:60</v>
          </cell>
          <cell r="W215" t="str">
            <v>:60</v>
          </cell>
          <cell r="X215" t="str">
            <v>:60</v>
          </cell>
          <cell r="AE215" t="str">
            <v>:60</v>
          </cell>
          <cell r="AF215" t="str">
            <v>:60</v>
          </cell>
          <cell r="AG215" t="str">
            <v>:60</v>
          </cell>
        </row>
        <row r="216">
          <cell r="A216" t="str">
            <v>3x:60&gt;5</v>
          </cell>
          <cell r="D216" t="str">
            <v>:60</v>
          </cell>
          <cell r="E216" t="str">
            <v>:55</v>
          </cell>
          <cell r="F216" t="str">
            <v>:50</v>
          </cell>
          <cell r="M216" t="str">
            <v>:60</v>
          </cell>
          <cell r="N216" t="str">
            <v>:55</v>
          </cell>
          <cell r="O216" t="str">
            <v>:50</v>
          </cell>
          <cell r="V216" t="str">
            <v>:60</v>
          </cell>
          <cell r="W216" t="str">
            <v>:55</v>
          </cell>
          <cell r="X216" t="str">
            <v>:50</v>
          </cell>
          <cell r="AE216" t="str">
            <v>:60</v>
          </cell>
          <cell r="AF216" t="str">
            <v>:55</v>
          </cell>
          <cell r="AG216" t="str">
            <v>:50</v>
          </cell>
        </row>
        <row r="217">
          <cell r="A217" t="str">
            <v>3x:60&gt;10</v>
          </cell>
          <cell r="D217" t="str">
            <v>:60</v>
          </cell>
          <cell r="E217" t="str">
            <v>:50</v>
          </cell>
          <cell r="F217" t="str">
            <v>:40</v>
          </cell>
          <cell r="M217" t="str">
            <v>:60</v>
          </cell>
          <cell r="N217" t="str">
            <v>:50</v>
          </cell>
          <cell r="O217" t="str">
            <v>:40</v>
          </cell>
          <cell r="V217" t="str">
            <v>:60</v>
          </cell>
          <cell r="W217" t="str">
            <v>:50</v>
          </cell>
          <cell r="X217" t="str">
            <v>:40</v>
          </cell>
          <cell r="AE217" t="str">
            <v>:60</v>
          </cell>
          <cell r="AF217" t="str">
            <v>:50</v>
          </cell>
          <cell r="AG217" t="str">
            <v>:40</v>
          </cell>
        </row>
        <row r="282">
          <cell r="A282" t="str">
            <v>3x30</v>
          </cell>
        </row>
      </sheetData>
      <sheetData sheetId="4" refreshError="1"/>
      <sheetData sheetId="5" refreshError="1"/>
      <sheetData sheetId="6" refreshError="1"/>
      <sheetData sheetId="7" refreshError="1"/>
      <sheetData sheetId="8" refreshError="1"/>
      <sheetData sheetId="9">
        <row r="2">
          <cell r="B2" t="str">
            <v>Back Squat</v>
          </cell>
          <cell r="D2" t="str">
            <v>1RM:</v>
          </cell>
          <cell r="E2">
            <v>140</v>
          </cell>
          <cell r="F2">
            <v>0</v>
          </cell>
          <cell r="G2">
            <v>0</v>
          </cell>
          <cell r="H2">
            <v>0</v>
          </cell>
          <cell r="I2">
            <v>0</v>
          </cell>
        </row>
        <row r="3">
          <cell r="B3" t="str">
            <v>% 1RM</v>
          </cell>
          <cell r="C3" t="str">
            <v>Load</v>
          </cell>
          <cell r="D3" t="str">
            <v>Mean V</v>
          </cell>
          <cell r="E3" t="str">
            <v>Max V</v>
          </cell>
          <cell r="F3" t="str">
            <v>Last</v>
          </cell>
          <cell r="G3" t="str">
            <v>2Last</v>
          </cell>
          <cell r="H3" t="str">
            <v>3Last</v>
          </cell>
          <cell r="I3" t="str">
            <v>4Last</v>
          </cell>
        </row>
        <row r="4">
          <cell r="C4">
            <v>40</v>
          </cell>
          <cell r="F4" t="e">
            <v>#N/A</v>
          </cell>
          <cell r="G4" t="e">
            <v>#N/A</v>
          </cell>
          <cell r="H4" t="e">
            <v>#N/A</v>
          </cell>
          <cell r="I4" t="e">
            <v>#N/A</v>
          </cell>
        </row>
        <row r="5">
          <cell r="C5">
            <v>45</v>
          </cell>
          <cell r="F5" t="e">
            <v>#N/A</v>
          </cell>
          <cell r="G5" t="e">
            <v>#N/A</v>
          </cell>
          <cell r="H5" t="e">
            <v>#N/A</v>
          </cell>
          <cell r="I5" t="e">
            <v>#N/A</v>
          </cell>
        </row>
        <row r="6">
          <cell r="C6">
            <v>50</v>
          </cell>
          <cell r="F6" t="e">
            <v>#N/A</v>
          </cell>
          <cell r="G6" t="e">
            <v>#N/A</v>
          </cell>
          <cell r="H6" t="e">
            <v>#N/A</v>
          </cell>
          <cell r="I6" t="e">
            <v>#N/A</v>
          </cell>
        </row>
        <row r="7">
          <cell r="C7">
            <v>55</v>
          </cell>
          <cell r="F7" t="e">
            <v>#N/A</v>
          </cell>
          <cell r="G7" t="e">
            <v>#N/A</v>
          </cell>
          <cell r="H7" t="e">
            <v>#N/A</v>
          </cell>
          <cell r="I7" t="e">
            <v>#N/A</v>
          </cell>
        </row>
        <row r="8">
          <cell r="C8">
            <v>60</v>
          </cell>
          <cell r="F8" t="e">
            <v>#N/A</v>
          </cell>
          <cell r="G8" t="e">
            <v>#N/A</v>
          </cell>
          <cell r="H8" t="e">
            <v>#N/A</v>
          </cell>
          <cell r="I8" t="e">
            <v>#N/A</v>
          </cell>
        </row>
        <row r="9">
          <cell r="C9">
            <v>65</v>
          </cell>
          <cell r="F9" t="e">
            <v>#N/A</v>
          </cell>
          <cell r="G9" t="e">
            <v>#N/A</v>
          </cell>
          <cell r="H9" t="e">
            <v>#N/A</v>
          </cell>
          <cell r="I9" t="e">
            <v>#N/A</v>
          </cell>
        </row>
        <row r="10">
          <cell r="C10">
            <v>70</v>
          </cell>
          <cell r="F10" t="e">
            <v>#N/A</v>
          </cell>
          <cell r="G10" t="e">
            <v>#N/A</v>
          </cell>
          <cell r="H10" t="e">
            <v>#N/A</v>
          </cell>
          <cell r="I10" t="e">
            <v>#N/A</v>
          </cell>
        </row>
        <row r="11">
          <cell r="C11">
            <v>75</v>
          </cell>
          <cell r="F11" t="e">
            <v>#N/A</v>
          </cell>
          <cell r="G11" t="e">
            <v>#N/A</v>
          </cell>
          <cell r="H11" t="e">
            <v>#N/A</v>
          </cell>
          <cell r="I11" t="e">
            <v>#N/A</v>
          </cell>
        </row>
        <row r="12">
          <cell r="B12">
            <v>0.5714285714285714</v>
          </cell>
          <cell r="C12">
            <v>80</v>
          </cell>
          <cell r="D12" t="str">
            <v/>
          </cell>
          <cell r="E12">
            <v>0</v>
          </cell>
          <cell r="F12" t="e">
            <v>#N/A</v>
          </cell>
          <cell r="G12" t="e">
            <v>#N/A</v>
          </cell>
          <cell r="H12" t="e">
            <v>#N/A</v>
          </cell>
          <cell r="I12" t="e">
            <v>#N/A</v>
          </cell>
        </row>
        <row r="13">
          <cell r="B13">
            <v>0.6071428571428571</v>
          </cell>
          <cell r="C13">
            <v>85</v>
          </cell>
          <cell r="D13" t="str">
            <v/>
          </cell>
          <cell r="E13">
            <v>0</v>
          </cell>
          <cell r="F13" t="e">
            <v>#N/A</v>
          </cell>
          <cell r="G13" t="e">
            <v>#N/A</v>
          </cell>
          <cell r="H13" t="e">
            <v>#N/A</v>
          </cell>
          <cell r="I13" t="e">
            <v>#N/A</v>
          </cell>
        </row>
        <row r="14">
          <cell r="B14">
            <v>0.6428571428571429</v>
          </cell>
          <cell r="C14">
            <v>90</v>
          </cell>
          <cell r="D14" t="str">
            <v/>
          </cell>
          <cell r="E14">
            <v>0</v>
          </cell>
          <cell r="F14" t="e">
            <v>#N/A</v>
          </cell>
          <cell r="G14" t="e">
            <v>#N/A</v>
          </cell>
          <cell r="H14" t="e">
            <v>#N/A</v>
          </cell>
          <cell r="I14" t="e">
            <v>#N/A</v>
          </cell>
        </row>
        <row r="15">
          <cell r="B15">
            <v>0.6785714285714286</v>
          </cell>
          <cell r="C15">
            <v>95</v>
          </cell>
          <cell r="D15" t="str">
            <v/>
          </cell>
          <cell r="E15">
            <v>0</v>
          </cell>
          <cell r="F15" t="e">
            <v>#N/A</v>
          </cell>
          <cell r="G15" t="e">
            <v>#N/A</v>
          </cell>
          <cell r="H15" t="e">
            <v>#N/A</v>
          </cell>
          <cell r="I15" t="e">
            <v>#N/A</v>
          </cell>
        </row>
        <row r="16">
          <cell r="B16">
            <v>0.7142857142857143</v>
          </cell>
          <cell r="C16">
            <v>100</v>
          </cell>
          <cell r="D16" t="str">
            <v/>
          </cell>
          <cell r="E16">
            <v>0</v>
          </cell>
          <cell r="F16" t="e">
            <v>#N/A</v>
          </cell>
          <cell r="G16" t="e">
            <v>#N/A</v>
          </cell>
          <cell r="H16" t="e">
            <v>#N/A</v>
          </cell>
          <cell r="I16" t="e">
            <v>#N/A</v>
          </cell>
        </row>
        <row r="17">
          <cell r="B17">
            <v>0.75</v>
          </cell>
          <cell r="C17">
            <v>105</v>
          </cell>
          <cell r="D17" t="str">
            <v/>
          </cell>
          <cell r="E17">
            <v>0</v>
          </cell>
          <cell r="F17" t="e">
            <v>#N/A</v>
          </cell>
          <cell r="G17" t="e">
            <v>#N/A</v>
          </cell>
          <cell r="H17" t="e">
            <v>#N/A</v>
          </cell>
          <cell r="I17" t="e">
            <v>#N/A</v>
          </cell>
        </row>
        <row r="18">
          <cell r="B18">
            <v>0.7857142857142857</v>
          </cell>
          <cell r="C18">
            <v>110</v>
          </cell>
          <cell r="D18" t="str">
            <v/>
          </cell>
          <cell r="E18">
            <v>0</v>
          </cell>
          <cell r="F18" t="e">
            <v>#N/A</v>
          </cell>
          <cell r="G18" t="e">
            <v>#N/A</v>
          </cell>
          <cell r="H18" t="e">
            <v>#N/A</v>
          </cell>
          <cell r="I18" t="e">
            <v>#N/A</v>
          </cell>
        </row>
        <row r="19">
          <cell r="B19">
            <v>0.8214285714285714</v>
          </cell>
          <cell r="C19">
            <v>115</v>
          </cell>
          <cell r="D19" t="str">
            <v/>
          </cell>
          <cell r="E19">
            <v>0</v>
          </cell>
          <cell r="F19" t="e">
            <v>#N/A</v>
          </cell>
          <cell r="G19" t="e">
            <v>#N/A</v>
          </cell>
          <cell r="H19" t="e">
            <v>#N/A</v>
          </cell>
          <cell r="I19" t="e">
            <v>#N/A</v>
          </cell>
        </row>
        <row r="20">
          <cell r="B20">
            <v>0.8571428571428571</v>
          </cell>
          <cell r="C20">
            <v>120</v>
          </cell>
          <cell r="D20" t="str">
            <v/>
          </cell>
          <cell r="E20">
            <v>0</v>
          </cell>
          <cell r="F20" t="e">
            <v>#N/A</v>
          </cell>
          <cell r="G20" t="e">
            <v>#N/A</v>
          </cell>
          <cell r="H20" t="e">
            <v>#N/A</v>
          </cell>
          <cell r="I20" t="e">
            <v>#N/A</v>
          </cell>
        </row>
        <row r="21">
          <cell r="C21">
            <v>125</v>
          </cell>
          <cell r="F21" t="e">
            <v>#N/A</v>
          </cell>
          <cell r="G21" t="e">
            <v>#N/A</v>
          </cell>
          <cell r="H21" t="e">
            <v>#N/A</v>
          </cell>
          <cell r="I21" t="e">
            <v>#N/A</v>
          </cell>
        </row>
        <row r="22">
          <cell r="C22">
            <v>130</v>
          </cell>
          <cell r="F22" t="e">
            <v>#N/A</v>
          </cell>
          <cell r="G22" t="e">
            <v>#N/A</v>
          </cell>
          <cell r="H22" t="e">
            <v>#N/A</v>
          </cell>
          <cell r="I22" t="e">
            <v>#N/A</v>
          </cell>
        </row>
        <row r="23">
          <cell r="C23">
            <v>135</v>
          </cell>
          <cell r="F23" t="e">
            <v>#N/A</v>
          </cell>
          <cell r="G23" t="e">
            <v>#N/A</v>
          </cell>
          <cell r="H23" t="e">
            <v>#N/A</v>
          </cell>
          <cell r="I23" t="e">
            <v>#N/A</v>
          </cell>
        </row>
        <row r="24">
          <cell r="C24">
            <v>140</v>
          </cell>
          <cell r="F24" t="e">
            <v>#N/A</v>
          </cell>
          <cell r="G24" t="e">
            <v>#N/A</v>
          </cell>
          <cell r="H24" t="e">
            <v>#N/A</v>
          </cell>
          <cell r="I24" t="e">
            <v>#N/A</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ow r="65">
          <cell r="BN65" t="str">
            <v>PE</v>
          </cell>
          <cell r="BP65" t="e">
            <v>#DIV/0!</v>
          </cell>
        </row>
        <row r="66">
          <cell r="BN66" t="str">
            <v>DE</v>
          </cell>
          <cell r="BP66" t="e">
            <v>#DIV/0!</v>
          </cell>
        </row>
        <row r="67">
          <cell r="BN67" t="str">
            <v>ME</v>
          </cell>
          <cell r="BP67" t="e">
            <v>#DIV/0!</v>
          </cell>
        </row>
        <row r="68">
          <cell r="BN68" t="str">
            <v>RE</v>
          </cell>
          <cell r="BP68" t="e">
            <v>#DIV/0!</v>
          </cell>
        </row>
        <row r="133">
          <cell r="C133" t="str">
            <v>Empty</v>
          </cell>
        </row>
        <row r="135">
          <cell r="C135" t="str">
            <v>Empty</v>
          </cell>
        </row>
        <row r="137">
          <cell r="C137" t="str">
            <v>Empty</v>
          </cell>
        </row>
        <row r="139">
          <cell r="C139" t="str">
            <v>Empty</v>
          </cell>
        </row>
        <row r="141">
          <cell r="C141" t="str">
            <v>Empty</v>
          </cell>
        </row>
        <row r="143">
          <cell r="C143" t="str">
            <v>Empty</v>
          </cell>
        </row>
        <row r="145">
          <cell r="C145" t="str">
            <v>Empty</v>
          </cell>
        </row>
        <row r="157">
          <cell r="C157" t="str">
            <v>SetRepScheme</v>
          </cell>
        </row>
      </sheetData>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ow r="63">
          <cell r="BN63" t="str">
            <v>PE</v>
          </cell>
          <cell r="BP63" t="e">
            <v>#DIV/0!</v>
          </cell>
        </row>
        <row r="64">
          <cell r="BN64" t="str">
            <v>DE</v>
          </cell>
          <cell r="BP64" t="e">
            <v>#DIV/0!</v>
          </cell>
        </row>
        <row r="65">
          <cell r="BN65" t="str">
            <v>ME</v>
          </cell>
          <cell r="BP65" t="e">
            <v>#DIV/0!</v>
          </cell>
        </row>
        <row r="66">
          <cell r="BN66" t="str">
            <v>RE</v>
          </cell>
          <cell r="BP66" t="e">
            <v>#DIV/0!</v>
          </cell>
        </row>
        <row r="83">
          <cell r="BP83" t="e">
            <v>#N/A</v>
          </cell>
        </row>
        <row r="84">
          <cell r="BP84" t="e">
            <v>#N/A</v>
          </cell>
        </row>
        <row r="85">
          <cell r="BP85" t="e">
            <v>#N/A</v>
          </cell>
        </row>
        <row r="86">
          <cell r="BP86" t="e">
            <v>#N/A</v>
          </cell>
        </row>
        <row r="103">
          <cell r="BP103" t="e">
            <v>#N/A</v>
          </cell>
        </row>
        <row r="104">
          <cell r="BP104" t="e">
            <v>#N/A</v>
          </cell>
        </row>
        <row r="105">
          <cell r="BP105" t="e">
            <v>#N/A</v>
          </cell>
        </row>
        <row r="106">
          <cell r="BP106" t="e">
            <v>#N/A</v>
          </cell>
        </row>
        <row r="198">
          <cell r="CF198" t="str">
            <v>K2W</v>
          </cell>
          <cell r="CG198">
            <v>100</v>
          </cell>
        </row>
        <row r="199">
          <cell r="CF199" t="str">
            <v>ASLR</v>
          </cell>
          <cell r="CG199">
            <v>100</v>
          </cell>
        </row>
        <row r="200">
          <cell r="CF200" t="str">
            <v>FABER</v>
          </cell>
          <cell r="CG200">
            <v>100</v>
          </cell>
        </row>
        <row r="201">
          <cell r="CF201" t="str">
            <v>TPI T-Spine</v>
          </cell>
          <cell r="CG201">
            <v>93.333333333333329</v>
          </cell>
        </row>
        <row r="212">
          <cell r="CE212" t="e">
            <v>#N/A</v>
          </cell>
          <cell r="CF212">
            <v>0</v>
          </cell>
          <cell r="CG212">
            <v>0</v>
          </cell>
          <cell r="CH212">
            <v>0</v>
          </cell>
        </row>
        <row r="213">
          <cell r="BZ213">
            <v>0</v>
          </cell>
          <cell r="CA213">
            <v>0</v>
          </cell>
          <cell r="CB213">
            <v>0</v>
          </cell>
          <cell r="CC213">
            <v>0</v>
          </cell>
        </row>
        <row r="215">
          <cell r="BZ215" t="e">
            <v>#N/A</v>
          </cell>
          <cell r="CA215">
            <v>0</v>
          </cell>
          <cell r="CB215">
            <v>0</v>
          </cell>
          <cell r="CC215">
            <v>0</v>
          </cell>
        </row>
        <row r="245">
          <cell r="W245" t="str">
            <v>PE</v>
          </cell>
          <cell r="Y245" t="e">
            <v>#DIV/0!</v>
          </cell>
          <cell r="AH245" t="e">
            <v>#DIV/0!</v>
          </cell>
          <cell r="AQ245" t="e">
            <v>#VALUE!</v>
          </cell>
          <cell r="AZ245" t="e">
            <v>#VALUE!</v>
          </cell>
        </row>
        <row r="246">
          <cell r="W246" t="str">
            <v>DE</v>
          </cell>
          <cell r="Y246" t="e">
            <v>#DIV/0!</v>
          </cell>
          <cell r="AH246" t="e">
            <v>#DIV/0!</v>
          </cell>
          <cell r="AQ246" t="e">
            <v>#VALUE!</v>
          </cell>
          <cell r="AZ246" t="e">
            <v>#VALUE!</v>
          </cell>
        </row>
        <row r="247">
          <cell r="W247" t="str">
            <v>ME</v>
          </cell>
          <cell r="Y247" t="e">
            <v>#DIV/0!</v>
          </cell>
          <cell r="AH247" t="e">
            <v>#DIV/0!</v>
          </cell>
          <cell r="AQ247" t="e">
            <v>#VALUE!</v>
          </cell>
          <cell r="AZ247" t="e">
            <v>#VALUE!</v>
          </cell>
        </row>
        <row r="248">
          <cell r="W248" t="str">
            <v>RE</v>
          </cell>
          <cell r="Y248" t="e">
            <v>#DIV/0!</v>
          </cell>
          <cell r="AH248" t="e">
            <v>#DIV/0!</v>
          </cell>
          <cell r="AQ248" t="e">
            <v>#VALUE!</v>
          </cell>
          <cell r="AZ248" t="e">
            <v>#VALUE!</v>
          </cell>
        </row>
        <row r="273">
          <cell r="AP273" t="str">
            <v>Cycle 1</v>
          </cell>
          <cell r="AQ273">
            <v>0</v>
          </cell>
          <cell r="AY273" t="str">
            <v>Cycle 1</v>
          </cell>
          <cell r="AZ273">
            <v>0</v>
          </cell>
          <cell r="BA273">
            <v>0</v>
          </cell>
        </row>
        <row r="274">
          <cell r="AP274" t="str">
            <v>Cycle 2</v>
          </cell>
          <cell r="AQ274">
            <v>0</v>
          </cell>
          <cell r="AY274" t="str">
            <v>Cycle 2</v>
          </cell>
          <cell r="AZ274">
            <v>0</v>
          </cell>
          <cell r="BA274">
            <v>0</v>
          </cell>
        </row>
        <row r="275">
          <cell r="AP275" t="str">
            <v>Cyce 3</v>
          </cell>
          <cell r="AQ275" t="e">
            <v>#VALUE!</v>
          </cell>
          <cell r="AY275" t="str">
            <v>Cyce 3</v>
          </cell>
          <cell r="AZ275">
            <v>0</v>
          </cell>
          <cell r="BA275" t="e">
            <v>#VALUE!</v>
          </cell>
        </row>
        <row r="276">
          <cell r="AP276" t="str">
            <v>Cycle 4</v>
          </cell>
          <cell r="AQ276" t="e">
            <v>#VALUE!</v>
          </cell>
          <cell r="AY276" t="str">
            <v>Cycle 4</v>
          </cell>
          <cell r="AZ276">
            <v>0</v>
          </cell>
          <cell r="BA276" t="e">
            <v>#VALUE!</v>
          </cell>
        </row>
      </sheetData>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E85E15-D250-6346-94CE-8DBE97C20F7D}">
  <sheetPr>
    <tabColor theme="9"/>
  </sheetPr>
  <dimension ref="A1:QO350"/>
  <sheetViews>
    <sheetView zoomScale="63" zoomScaleNormal="90" workbookViewId="0">
      <pane xSplit="2" ySplit="5" topLeftCell="DF6" activePane="bottomRight" state="frozen"/>
      <selection pane="topRight" activeCell="C1" sqref="C1"/>
      <selection pane="bottomLeft" activeCell="A6" sqref="A6"/>
      <selection pane="bottomRight" activeCell="EN159" sqref="EN159:EQ159"/>
    </sheetView>
  </sheetViews>
  <sheetFormatPr baseColWidth="10" defaultColWidth="0" defaultRowHeight="15" customHeight="1" zeroHeight="1" outlineLevelRow="1"/>
  <cols>
    <col min="1" max="1" width="37.5" style="473" customWidth="1"/>
    <col min="2" max="457" width="9.6640625" style="473" customWidth="1"/>
    <col min="458" max="16384" width="3.83203125" style="473" hidden="1"/>
  </cols>
  <sheetData>
    <row r="1" spans="1:429" ht="16" thickBot="1"/>
    <row r="2" spans="1:429" ht="47" customHeight="1">
      <c r="A2" s="457" t="s">
        <v>70</v>
      </c>
      <c r="B2" s="458"/>
      <c r="C2" s="459"/>
      <c r="D2" s="458"/>
      <c r="E2" s="458"/>
      <c r="F2" s="460"/>
      <c r="G2" s="460"/>
      <c r="H2" s="460"/>
      <c r="I2" s="460"/>
      <c r="J2" s="460"/>
      <c r="K2" s="460"/>
      <c r="L2" s="460"/>
      <c r="M2" s="460"/>
      <c r="N2" s="460"/>
      <c r="O2" s="460"/>
      <c r="P2" s="460"/>
      <c r="Q2" s="460"/>
      <c r="R2" s="460"/>
      <c r="S2" s="460"/>
      <c r="T2" s="460"/>
      <c r="U2" s="460"/>
      <c r="V2" s="460"/>
      <c r="W2" s="460"/>
      <c r="X2" s="460"/>
      <c r="Y2" s="460"/>
      <c r="Z2" s="460"/>
      <c r="AA2" s="460"/>
      <c r="AB2" s="460"/>
      <c r="AC2" s="460"/>
      <c r="AD2" s="460"/>
      <c r="AE2" s="460"/>
      <c r="AF2" s="460"/>
      <c r="AG2" s="460"/>
      <c r="AH2" s="460"/>
      <c r="AI2" s="460"/>
      <c r="AJ2" s="460"/>
      <c r="AK2" s="460"/>
      <c r="AL2" s="460"/>
      <c r="AM2" s="460"/>
      <c r="AN2" s="460"/>
      <c r="AO2" s="460"/>
      <c r="AP2" s="460"/>
      <c r="AQ2" s="460"/>
      <c r="AR2" s="460"/>
      <c r="AS2" s="460"/>
      <c r="AT2" s="460"/>
      <c r="AU2" s="460"/>
      <c r="AV2" s="460"/>
      <c r="AW2" s="460"/>
      <c r="AX2" s="460"/>
      <c r="AY2" s="460"/>
      <c r="AZ2" s="460"/>
      <c r="BA2" s="460"/>
      <c r="BB2" s="460"/>
      <c r="BC2" s="460"/>
      <c r="BD2" s="460"/>
      <c r="BE2" s="460"/>
      <c r="BF2" s="460"/>
      <c r="BG2" s="460"/>
      <c r="BH2" s="460"/>
      <c r="BI2" s="460"/>
      <c r="BJ2" s="460"/>
      <c r="BK2" s="460"/>
      <c r="BL2" s="460"/>
      <c r="BM2" s="460"/>
      <c r="BN2" s="460"/>
      <c r="BO2" s="460"/>
      <c r="BP2" s="460"/>
      <c r="BQ2" s="460"/>
      <c r="BR2" s="460"/>
      <c r="BS2" s="460"/>
      <c r="BT2" s="460"/>
      <c r="BU2" s="460"/>
      <c r="BV2" s="460"/>
      <c r="BW2" s="460"/>
      <c r="BX2" s="460"/>
      <c r="BY2" s="460"/>
      <c r="BZ2" s="460"/>
      <c r="CA2" s="460"/>
      <c r="CB2" s="460"/>
      <c r="CC2" s="460"/>
      <c r="CD2" s="460"/>
      <c r="CE2" s="460"/>
      <c r="CF2" s="460"/>
      <c r="CG2" s="460"/>
      <c r="CH2" s="460"/>
      <c r="CI2" s="460"/>
      <c r="CJ2" s="460"/>
      <c r="CK2" s="460"/>
      <c r="CL2" s="460"/>
      <c r="CM2" s="460"/>
      <c r="CN2" s="460"/>
      <c r="CO2" s="460"/>
      <c r="CP2" s="460"/>
      <c r="CQ2" s="460"/>
      <c r="CR2" s="460"/>
      <c r="CS2" s="460"/>
      <c r="CT2" s="460"/>
      <c r="CU2" s="460"/>
      <c r="CV2" s="460"/>
      <c r="CW2" s="460"/>
      <c r="CX2" s="460"/>
      <c r="CY2" s="460"/>
      <c r="CZ2" s="460"/>
      <c r="DA2" s="460"/>
      <c r="DB2" s="460"/>
      <c r="DC2" s="460"/>
      <c r="DD2" s="460"/>
      <c r="DE2" s="460"/>
      <c r="DF2" s="460"/>
      <c r="DG2" s="460"/>
      <c r="DH2" s="460"/>
      <c r="DI2" s="460"/>
      <c r="DJ2" s="460"/>
      <c r="DK2" s="458"/>
      <c r="DL2" s="458"/>
      <c r="DM2" s="458"/>
      <c r="DN2" s="460"/>
      <c r="DO2" s="460"/>
      <c r="DP2" s="460"/>
      <c r="DQ2" s="460"/>
      <c r="DR2" s="460"/>
      <c r="DS2" s="460"/>
      <c r="DT2" s="460"/>
      <c r="DU2" s="460"/>
      <c r="DV2" s="460"/>
      <c r="DW2" s="460"/>
      <c r="DX2" s="460"/>
      <c r="DY2" s="460"/>
      <c r="DZ2" s="460"/>
      <c r="EA2" s="460"/>
      <c r="EB2" s="460"/>
      <c r="EC2" s="460"/>
      <c r="ED2" s="460"/>
      <c r="EE2" s="460"/>
      <c r="EF2" s="460"/>
      <c r="EG2" s="460"/>
      <c r="EH2" s="460"/>
      <c r="EI2" s="460"/>
      <c r="EJ2" s="460"/>
      <c r="EK2" s="460"/>
      <c r="EL2" s="460"/>
      <c r="EM2" s="460"/>
      <c r="EN2" s="460"/>
      <c r="EO2" s="460"/>
      <c r="EP2" s="460"/>
      <c r="EQ2" s="460"/>
      <c r="ER2" s="460"/>
      <c r="ES2" s="460"/>
      <c r="ET2" s="460"/>
      <c r="EU2" s="460"/>
      <c r="EV2" s="460"/>
      <c r="EW2" s="460"/>
      <c r="EX2" s="460"/>
      <c r="EY2" s="460"/>
      <c r="EZ2" s="460"/>
      <c r="FA2" s="460"/>
      <c r="FB2" s="460"/>
      <c r="FC2" s="460"/>
      <c r="FD2" s="460"/>
      <c r="FE2" s="460"/>
      <c r="FF2" s="460"/>
      <c r="FG2" s="460"/>
      <c r="FH2" s="460"/>
      <c r="FI2" s="460"/>
      <c r="FJ2" s="460"/>
      <c r="FK2" s="460"/>
      <c r="FL2" s="460"/>
      <c r="FM2" s="460"/>
      <c r="FN2" s="460"/>
      <c r="FO2" s="460"/>
      <c r="FP2" s="460"/>
      <c r="FQ2" s="460"/>
      <c r="FR2" s="460"/>
      <c r="FS2" s="460"/>
      <c r="FT2" s="460"/>
      <c r="FU2" s="460"/>
      <c r="FV2" s="460"/>
      <c r="FW2" s="460"/>
      <c r="FX2" s="460"/>
      <c r="FY2" s="460"/>
      <c r="FZ2" s="460"/>
      <c r="GA2" s="460"/>
      <c r="GB2" s="460"/>
      <c r="GC2" s="460"/>
      <c r="GD2" s="460"/>
      <c r="GE2" s="460"/>
      <c r="GF2" s="460"/>
      <c r="GG2" s="460"/>
      <c r="GH2" s="460"/>
      <c r="GI2" s="460"/>
      <c r="GJ2" s="460"/>
      <c r="GK2" s="460"/>
      <c r="GL2" s="460"/>
      <c r="GM2" s="460"/>
      <c r="GN2" s="460"/>
      <c r="GO2" s="460"/>
      <c r="GP2" s="460"/>
      <c r="GQ2" s="460"/>
      <c r="GR2" s="460"/>
      <c r="GS2" s="460"/>
      <c r="GT2" s="460"/>
      <c r="GU2" s="460"/>
      <c r="GV2" s="460"/>
      <c r="GW2" s="460"/>
      <c r="GX2" s="460"/>
      <c r="GY2" s="460"/>
      <c r="GZ2" s="460"/>
      <c r="HA2" s="460"/>
      <c r="HB2" s="460"/>
      <c r="HC2" s="460"/>
      <c r="HD2" s="460"/>
      <c r="HE2" s="460"/>
      <c r="HF2" s="460"/>
      <c r="HG2" s="460"/>
      <c r="HH2" s="460"/>
      <c r="HI2" s="460"/>
      <c r="HJ2" s="460"/>
      <c r="HK2" s="460"/>
      <c r="HL2" s="460"/>
      <c r="HM2" s="460"/>
      <c r="HN2" s="460"/>
      <c r="HO2" s="460"/>
      <c r="HP2" s="460"/>
      <c r="HQ2" s="460"/>
      <c r="HR2" s="460"/>
      <c r="HS2" s="458"/>
      <c r="HT2" s="458"/>
      <c r="HU2" s="458"/>
      <c r="HV2" s="460"/>
      <c r="HW2" s="460"/>
      <c r="HX2" s="460"/>
      <c r="HY2" s="460"/>
      <c r="HZ2" s="460"/>
      <c r="IA2" s="460"/>
      <c r="IB2" s="460"/>
      <c r="IC2" s="460"/>
      <c r="ID2" s="460"/>
      <c r="IE2" s="460"/>
      <c r="IF2" s="460"/>
      <c r="IG2" s="460"/>
      <c r="IH2" s="460"/>
      <c r="II2" s="460"/>
      <c r="IJ2" s="460"/>
      <c r="IK2" s="460"/>
      <c r="IL2" s="460"/>
      <c r="IM2" s="460"/>
      <c r="IN2" s="460"/>
      <c r="IO2" s="460"/>
      <c r="IP2" s="460"/>
      <c r="IQ2" s="460"/>
      <c r="IR2" s="460"/>
      <c r="IS2" s="460"/>
      <c r="IT2" s="460"/>
      <c r="IU2" s="460"/>
      <c r="IV2" s="460"/>
      <c r="IW2" s="460"/>
      <c r="IX2" s="460"/>
      <c r="IY2" s="460"/>
      <c r="IZ2" s="460"/>
      <c r="JA2" s="460"/>
      <c r="JB2" s="460"/>
      <c r="JC2" s="460"/>
      <c r="JD2" s="460"/>
      <c r="JE2" s="460"/>
      <c r="JF2" s="460"/>
      <c r="JG2" s="460"/>
      <c r="JH2" s="460"/>
      <c r="JI2" s="460"/>
      <c r="JJ2" s="460"/>
      <c r="JK2" s="460"/>
      <c r="JL2" s="460"/>
      <c r="JM2" s="460"/>
      <c r="JN2" s="460"/>
      <c r="JO2" s="460"/>
      <c r="JP2" s="460"/>
      <c r="JQ2" s="460"/>
      <c r="JR2" s="460"/>
      <c r="JS2" s="460"/>
      <c r="JT2" s="460"/>
      <c r="JU2" s="460"/>
      <c r="JV2" s="460"/>
      <c r="JW2" s="460"/>
      <c r="JX2" s="460"/>
      <c r="JY2" s="460"/>
      <c r="JZ2" s="460"/>
      <c r="KA2" s="460"/>
      <c r="KB2" s="460"/>
      <c r="KC2" s="460"/>
      <c r="KD2" s="460"/>
      <c r="KE2" s="460"/>
      <c r="KF2" s="460"/>
      <c r="KG2" s="460"/>
      <c r="KH2" s="460"/>
      <c r="KI2" s="460"/>
      <c r="KJ2" s="460"/>
      <c r="KK2" s="460"/>
      <c r="KL2" s="460"/>
      <c r="KM2" s="460"/>
      <c r="KN2" s="460"/>
      <c r="KO2" s="460"/>
      <c r="KP2" s="460"/>
      <c r="KQ2" s="460"/>
      <c r="KR2" s="460"/>
      <c r="KS2" s="460"/>
      <c r="KT2" s="460"/>
      <c r="KU2" s="460"/>
      <c r="KV2" s="460"/>
      <c r="KW2" s="460"/>
      <c r="KX2" s="460"/>
      <c r="KY2" s="460"/>
      <c r="KZ2" s="460"/>
      <c r="LA2" s="460"/>
      <c r="LB2" s="460"/>
      <c r="LC2" s="460"/>
      <c r="LD2" s="460"/>
      <c r="LE2" s="460"/>
      <c r="LF2" s="460"/>
      <c r="LG2" s="460"/>
      <c r="LH2" s="460"/>
      <c r="LI2" s="460"/>
      <c r="LJ2" s="460"/>
      <c r="LK2" s="460"/>
      <c r="LL2" s="460"/>
      <c r="LM2" s="460"/>
      <c r="LN2" s="460"/>
      <c r="LO2" s="460"/>
      <c r="LP2" s="460"/>
      <c r="LQ2" s="460"/>
      <c r="LR2" s="460"/>
      <c r="LS2" s="460"/>
      <c r="LT2" s="460"/>
      <c r="LU2" s="460"/>
      <c r="LV2" s="460"/>
      <c r="LW2" s="460"/>
      <c r="LX2" s="460"/>
      <c r="LY2" s="460"/>
      <c r="LZ2" s="460"/>
      <c r="MA2" s="458"/>
      <c r="MB2" s="458"/>
      <c r="MC2" s="458"/>
      <c r="MD2" s="460"/>
      <c r="ME2" s="460"/>
      <c r="MF2" s="460"/>
      <c r="MG2" s="460"/>
      <c r="MH2" s="460"/>
      <c r="MI2" s="460"/>
      <c r="MJ2" s="460"/>
      <c r="MK2" s="460"/>
      <c r="ML2" s="460"/>
      <c r="MM2" s="460"/>
      <c r="MN2" s="460"/>
      <c r="MO2" s="460"/>
      <c r="MP2" s="460"/>
      <c r="MQ2" s="460"/>
      <c r="MR2" s="460"/>
      <c r="MS2" s="460"/>
      <c r="MT2" s="460"/>
      <c r="MU2" s="460"/>
      <c r="MV2" s="460"/>
      <c r="MW2" s="460"/>
      <c r="MX2" s="460"/>
      <c r="MY2" s="460"/>
      <c r="MZ2" s="460"/>
      <c r="NA2" s="460"/>
      <c r="NB2" s="460"/>
      <c r="NC2" s="460"/>
      <c r="ND2" s="460"/>
      <c r="NE2" s="460"/>
      <c r="NF2" s="460"/>
      <c r="NG2" s="460"/>
      <c r="NH2" s="460"/>
      <c r="NI2" s="460"/>
      <c r="NJ2" s="460"/>
      <c r="NK2" s="460"/>
      <c r="NL2" s="460"/>
      <c r="NM2" s="460"/>
      <c r="NN2" s="460"/>
      <c r="NO2" s="460"/>
      <c r="NP2" s="460"/>
      <c r="NQ2" s="460"/>
      <c r="NR2" s="460"/>
      <c r="NS2" s="460"/>
      <c r="NT2" s="460"/>
      <c r="NU2" s="460"/>
      <c r="NV2" s="460"/>
      <c r="NW2" s="460"/>
      <c r="NX2" s="460"/>
      <c r="NY2" s="460"/>
      <c r="NZ2" s="460"/>
      <c r="OA2" s="460"/>
      <c r="OB2" s="460"/>
      <c r="OC2" s="460"/>
      <c r="OD2" s="460"/>
      <c r="OE2" s="460"/>
      <c r="OF2" s="460"/>
      <c r="OG2" s="460"/>
      <c r="OH2" s="460"/>
      <c r="OI2" s="460"/>
      <c r="OJ2" s="460"/>
      <c r="OK2" s="460"/>
      <c r="OL2" s="460"/>
      <c r="OM2" s="460"/>
      <c r="ON2" s="460"/>
      <c r="OO2" s="460"/>
      <c r="OP2" s="460"/>
      <c r="OQ2" s="460"/>
      <c r="OR2" s="460"/>
      <c r="OS2" s="460"/>
      <c r="OT2" s="460"/>
      <c r="OU2" s="460"/>
      <c r="OV2" s="460"/>
      <c r="OW2" s="460"/>
      <c r="OX2" s="460"/>
      <c r="OY2" s="460"/>
      <c r="OZ2" s="460"/>
      <c r="PA2" s="460"/>
      <c r="PB2" s="460"/>
      <c r="PC2" s="460"/>
      <c r="PD2" s="460"/>
      <c r="PE2" s="460"/>
      <c r="PF2" s="460"/>
      <c r="PG2" s="460"/>
      <c r="PH2" s="460"/>
      <c r="PI2" s="460"/>
      <c r="PJ2" s="460"/>
      <c r="PK2" s="460"/>
      <c r="PL2" s="460"/>
      <c r="PM2" s="460"/>
    </row>
    <row r="3" spans="1:429" ht="47">
      <c r="A3" s="461" t="s">
        <v>85</v>
      </c>
      <c r="B3" s="462"/>
      <c r="C3" s="22" t="s">
        <v>61</v>
      </c>
      <c r="D3" s="23"/>
      <c r="E3" s="23"/>
      <c r="F3" s="23"/>
      <c r="G3" s="23"/>
      <c r="H3" s="23"/>
      <c r="I3" s="24"/>
      <c r="J3" s="22" t="s">
        <v>62</v>
      </c>
      <c r="K3" s="23"/>
      <c r="L3" s="23"/>
      <c r="M3" s="23"/>
      <c r="N3" s="23"/>
      <c r="O3" s="23"/>
      <c r="P3" s="24"/>
      <c r="Q3" s="22" t="s">
        <v>63</v>
      </c>
      <c r="R3" s="23"/>
      <c r="S3" s="23"/>
      <c r="T3" s="23"/>
      <c r="U3" s="23"/>
      <c r="V3" s="23"/>
      <c r="W3" s="24"/>
      <c r="X3" s="22" t="s">
        <v>64</v>
      </c>
      <c r="Y3" s="23"/>
      <c r="Z3" s="23"/>
      <c r="AA3" s="23"/>
      <c r="AB3" s="23"/>
      <c r="AC3" s="23"/>
      <c r="AD3" s="24"/>
      <c r="AE3" s="22" t="s">
        <v>65</v>
      </c>
      <c r="AF3" s="23"/>
      <c r="AG3" s="23"/>
      <c r="AH3" s="23"/>
      <c r="AI3" s="23"/>
      <c r="AJ3" s="23"/>
      <c r="AK3" s="24"/>
      <c r="AL3" s="22" t="s">
        <v>66</v>
      </c>
      <c r="AM3" s="23"/>
      <c r="AN3" s="23"/>
      <c r="AO3" s="23"/>
      <c r="AP3" s="23"/>
      <c r="AQ3" s="23"/>
      <c r="AR3" s="24"/>
      <c r="AS3" s="22" t="s">
        <v>60</v>
      </c>
      <c r="AT3" s="23"/>
      <c r="AU3" s="23"/>
      <c r="AV3" s="23"/>
      <c r="AW3" s="23"/>
      <c r="AX3" s="23"/>
      <c r="AY3" s="24"/>
      <c r="AZ3" s="22" t="s">
        <v>59</v>
      </c>
      <c r="BA3" s="23"/>
      <c r="BB3" s="23"/>
      <c r="BC3" s="23"/>
      <c r="BD3" s="23"/>
      <c r="BE3" s="23"/>
      <c r="BF3" s="24"/>
      <c r="BG3" s="22" t="s">
        <v>58</v>
      </c>
      <c r="BH3" s="23"/>
      <c r="BI3" s="23"/>
      <c r="BJ3" s="23"/>
      <c r="BK3" s="23"/>
      <c r="BL3" s="23"/>
      <c r="BM3" s="24"/>
      <c r="BN3" s="22" t="s">
        <v>0</v>
      </c>
      <c r="BO3" s="23"/>
      <c r="BP3" s="23"/>
      <c r="BQ3" s="23"/>
      <c r="BR3" s="23"/>
      <c r="BS3" s="23"/>
      <c r="BT3" s="24"/>
      <c r="BU3" s="22" t="s">
        <v>1</v>
      </c>
      <c r="BV3" s="23"/>
      <c r="BW3" s="23"/>
      <c r="BX3" s="23"/>
      <c r="BY3" s="23"/>
      <c r="BZ3" s="23"/>
      <c r="CA3" s="24"/>
      <c r="CB3" s="22" t="s">
        <v>2</v>
      </c>
      <c r="CC3" s="23"/>
      <c r="CD3" s="23"/>
      <c r="CE3" s="23"/>
      <c r="CF3" s="23"/>
      <c r="CG3" s="23"/>
      <c r="CH3" s="24"/>
      <c r="CI3" s="22" t="s">
        <v>3</v>
      </c>
      <c r="CJ3" s="23"/>
      <c r="CK3" s="23"/>
      <c r="CL3" s="23"/>
      <c r="CM3" s="23"/>
      <c r="CN3" s="23"/>
      <c r="CO3" s="24"/>
      <c r="CP3" s="22" t="s">
        <v>4</v>
      </c>
      <c r="CQ3" s="23"/>
      <c r="CR3" s="23"/>
      <c r="CS3" s="23"/>
      <c r="CT3" s="23"/>
      <c r="CU3" s="23"/>
      <c r="CV3" s="24"/>
      <c r="CW3" s="22" t="s">
        <v>5</v>
      </c>
      <c r="CX3" s="23"/>
      <c r="CY3" s="23"/>
      <c r="CZ3" s="23"/>
      <c r="DA3" s="23"/>
      <c r="DB3" s="23"/>
      <c r="DC3" s="24"/>
      <c r="DD3" s="22" t="s">
        <v>6</v>
      </c>
      <c r="DE3" s="23"/>
      <c r="DF3" s="23"/>
      <c r="DG3" s="23"/>
      <c r="DH3" s="23"/>
      <c r="DI3" s="23"/>
      <c r="DJ3" s="24"/>
      <c r="DK3" s="22" t="s">
        <v>7</v>
      </c>
      <c r="DL3" s="23"/>
      <c r="DM3" s="23"/>
      <c r="DN3" s="23"/>
      <c r="DO3" s="23"/>
      <c r="DP3" s="23"/>
      <c r="DQ3" s="24"/>
      <c r="DR3" s="22" t="s">
        <v>8</v>
      </c>
      <c r="DS3" s="23"/>
      <c r="DT3" s="23"/>
      <c r="DU3" s="23"/>
      <c r="DV3" s="23"/>
      <c r="DW3" s="23"/>
      <c r="DX3" s="24"/>
      <c r="DY3" s="22" t="s">
        <v>9</v>
      </c>
      <c r="DZ3" s="23"/>
      <c r="EA3" s="23"/>
      <c r="EB3" s="23"/>
      <c r="EC3" s="23"/>
      <c r="ED3" s="23"/>
      <c r="EE3" s="24"/>
      <c r="EF3" s="22" t="s">
        <v>10</v>
      </c>
      <c r="EG3" s="23"/>
      <c r="EH3" s="23"/>
      <c r="EI3" s="23"/>
      <c r="EJ3" s="23"/>
      <c r="EK3" s="23"/>
      <c r="EL3" s="24"/>
      <c r="EM3" s="22" t="s">
        <v>11</v>
      </c>
      <c r="EN3" s="23"/>
      <c r="EO3" s="23"/>
      <c r="EP3" s="23"/>
      <c r="EQ3" s="23"/>
      <c r="ER3" s="23"/>
      <c r="ES3" s="24"/>
      <c r="ET3" s="22" t="s">
        <v>12</v>
      </c>
      <c r="EU3" s="23"/>
      <c r="EV3" s="23"/>
      <c r="EW3" s="23"/>
      <c r="EX3" s="23"/>
      <c r="EY3" s="23"/>
      <c r="EZ3" s="24"/>
      <c r="FA3" s="22" t="s">
        <v>13</v>
      </c>
      <c r="FB3" s="23"/>
      <c r="FC3" s="23"/>
      <c r="FD3" s="23"/>
      <c r="FE3" s="23"/>
      <c r="FF3" s="23"/>
      <c r="FG3" s="24"/>
      <c r="FH3" s="22" t="s">
        <v>14</v>
      </c>
      <c r="FI3" s="23"/>
      <c r="FJ3" s="23"/>
      <c r="FK3" s="23"/>
      <c r="FL3" s="23"/>
      <c r="FM3" s="23"/>
      <c r="FN3" s="24"/>
      <c r="FO3" s="22" t="s">
        <v>15</v>
      </c>
      <c r="FP3" s="23"/>
      <c r="FQ3" s="23"/>
      <c r="FR3" s="23"/>
      <c r="FS3" s="23"/>
      <c r="FT3" s="23"/>
      <c r="FU3" s="24"/>
      <c r="FV3" s="22" t="s">
        <v>16</v>
      </c>
      <c r="FW3" s="23"/>
      <c r="FX3" s="23"/>
      <c r="FY3" s="23"/>
      <c r="FZ3" s="23"/>
      <c r="GA3" s="23"/>
      <c r="GB3" s="24"/>
      <c r="GC3" s="22" t="s">
        <v>17</v>
      </c>
      <c r="GD3" s="23"/>
      <c r="GE3" s="23"/>
      <c r="GF3" s="23"/>
      <c r="GG3" s="23"/>
      <c r="GH3" s="23"/>
      <c r="GI3" s="24"/>
      <c r="GJ3" s="22" t="s">
        <v>18</v>
      </c>
      <c r="GK3" s="23"/>
      <c r="GL3" s="23"/>
      <c r="GM3" s="23"/>
      <c r="GN3" s="23"/>
      <c r="GO3" s="23"/>
      <c r="GP3" s="24"/>
      <c r="GQ3" s="22" t="s">
        <v>19</v>
      </c>
      <c r="GR3" s="23"/>
      <c r="GS3" s="23"/>
      <c r="GT3" s="23"/>
      <c r="GU3" s="23"/>
      <c r="GV3" s="23"/>
      <c r="GW3" s="24"/>
      <c r="GX3" s="22" t="s">
        <v>20</v>
      </c>
      <c r="GY3" s="23"/>
      <c r="GZ3" s="23"/>
      <c r="HA3" s="23"/>
      <c r="HB3" s="23"/>
      <c r="HC3" s="23"/>
      <c r="HD3" s="24"/>
      <c r="HE3" s="22" t="s">
        <v>21</v>
      </c>
      <c r="HF3" s="23"/>
      <c r="HG3" s="23"/>
      <c r="HH3" s="23"/>
      <c r="HI3" s="23"/>
      <c r="HJ3" s="23"/>
      <c r="HK3" s="24"/>
      <c r="HL3" s="22" t="s">
        <v>22</v>
      </c>
      <c r="HM3" s="23"/>
      <c r="HN3" s="23"/>
      <c r="HO3" s="23"/>
      <c r="HP3" s="23"/>
      <c r="HQ3" s="23"/>
      <c r="HR3" s="24"/>
      <c r="HS3" s="22" t="s">
        <v>23</v>
      </c>
      <c r="HT3" s="23"/>
      <c r="HU3" s="23"/>
      <c r="HV3" s="23"/>
      <c r="HW3" s="23"/>
      <c r="HX3" s="23"/>
      <c r="HY3" s="24"/>
      <c r="HZ3" s="22" t="s">
        <v>24</v>
      </c>
      <c r="IA3" s="23"/>
      <c r="IB3" s="23"/>
      <c r="IC3" s="23"/>
      <c r="ID3" s="23"/>
      <c r="IE3" s="23"/>
      <c r="IF3" s="24"/>
      <c r="IG3" s="22" t="s">
        <v>25</v>
      </c>
      <c r="IH3" s="23"/>
      <c r="II3" s="23"/>
      <c r="IJ3" s="23"/>
      <c r="IK3" s="23"/>
      <c r="IL3" s="23"/>
      <c r="IM3" s="24"/>
      <c r="IN3" s="22" t="s">
        <v>26</v>
      </c>
      <c r="IO3" s="23"/>
      <c r="IP3" s="23"/>
      <c r="IQ3" s="23"/>
      <c r="IR3" s="23"/>
      <c r="IS3" s="23"/>
      <c r="IT3" s="24"/>
      <c r="IU3" s="22" t="s">
        <v>27</v>
      </c>
      <c r="IV3" s="23"/>
      <c r="IW3" s="23"/>
      <c r="IX3" s="23"/>
      <c r="IY3" s="23"/>
      <c r="IZ3" s="23"/>
      <c r="JA3" s="24"/>
      <c r="JB3" s="22" t="s">
        <v>28</v>
      </c>
      <c r="JC3" s="23"/>
      <c r="JD3" s="23"/>
      <c r="JE3" s="23"/>
      <c r="JF3" s="23"/>
      <c r="JG3" s="23"/>
      <c r="JH3" s="24"/>
      <c r="JI3" s="22" t="s">
        <v>29</v>
      </c>
      <c r="JJ3" s="23"/>
      <c r="JK3" s="23"/>
      <c r="JL3" s="23"/>
      <c r="JM3" s="23"/>
      <c r="JN3" s="23"/>
      <c r="JO3" s="24"/>
      <c r="JP3" s="22" t="s">
        <v>30</v>
      </c>
      <c r="JQ3" s="23"/>
      <c r="JR3" s="23"/>
      <c r="JS3" s="23"/>
      <c r="JT3" s="23"/>
      <c r="JU3" s="23"/>
      <c r="JV3" s="24"/>
      <c r="JW3" s="22" t="s">
        <v>31</v>
      </c>
      <c r="JX3" s="23"/>
      <c r="JY3" s="23"/>
      <c r="JZ3" s="23"/>
      <c r="KA3" s="23"/>
      <c r="KB3" s="23"/>
      <c r="KC3" s="24"/>
      <c r="KD3" s="22" t="s">
        <v>32</v>
      </c>
      <c r="KE3" s="23"/>
      <c r="KF3" s="23"/>
      <c r="KG3" s="23"/>
      <c r="KH3" s="23"/>
      <c r="KI3" s="23"/>
      <c r="KJ3" s="24"/>
      <c r="KK3" s="22" t="s">
        <v>33</v>
      </c>
      <c r="KL3" s="23"/>
      <c r="KM3" s="23"/>
      <c r="KN3" s="23"/>
      <c r="KO3" s="23"/>
      <c r="KP3" s="23"/>
      <c r="KQ3" s="24"/>
      <c r="KR3" s="22" t="s">
        <v>34</v>
      </c>
      <c r="KS3" s="23"/>
      <c r="KT3" s="23"/>
      <c r="KU3" s="23"/>
      <c r="KV3" s="23"/>
      <c r="KW3" s="23"/>
      <c r="KX3" s="24"/>
      <c r="KY3" s="22" t="s">
        <v>35</v>
      </c>
      <c r="KZ3" s="23"/>
      <c r="LA3" s="23"/>
      <c r="LB3" s="23"/>
      <c r="LC3" s="23"/>
      <c r="LD3" s="23"/>
      <c r="LE3" s="24"/>
      <c r="LF3" s="22" t="s">
        <v>36</v>
      </c>
      <c r="LG3" s="23"/>
      <c r="LH3" s="23"/>
      <c r="LI3" s="23"/>
      <c r="LJ3" s="23"/>
      <c r="LK3" s="23"/>
      <c r="LL3" s="24"/>
      <c r="LM3" s="22" t="s">
        <v>37</v>
      </c>
      <c r="LN3" s="23"/>
      <c r="LO3" s="23"/>
      <c r="LP3" s="23"/>
      <c r="LQ3" s="23"/>
      <c r="LR3" s="23"/>
      <c r="LS3" s="24"/>
      <c r="LT3" s="22" t="s">
        <v>38</v>
      </c>
      <c r="LU3" s="23"/>
      <c r="LV3" s="23"/>
      <c r="LW3" s="23"/>
      <c r="LX3" s="23"/>
      <c r="LY3" s="23"/>
      <c r="LZ3" s="24"/>
      <c r="MA3" s="22" t="s">
        <v>39</v>
      </c>
      <c r="MB3" s="23"/>
      <c r="MC3" s="23"/>
      <c r="MD3" s="23"/>
      <c r="ME3" s="23"/>
      <c r="MF3" s="23"/>
      <c r="MG3" s="24"/>
      <c r="MH3" s="22" t="s">
        <v>40</v>
      </c>
      <c r="MI3" s="23"/>
      <c r="MJ3" s="23"/>
      <c r="MK3" s="23"/>
      <c r="ML3" s="23"/>
      <c r="MM3" s="23"/>
      <c r="MN3" s="24"/>
      <c r="MO3" s="22" t="s">
        <v>41</v>
      </c>
      <c r="MP3" s="23"/>
      <c r="MQ3" s="23"/>
      <c r="MR3" s="23"/>
      <c r="MS3" s="23"/>
      <c r="MT3" s="23"/>
      <c r="MU3" s="24"/>
      <c r="MV3" s="22" t="s">
        <v>42</v>
      </c>
      <c r="MW3" s="23"/>
      <c r="MX3" s="23"/>
      <c r="MY3" s="23"/>
      <c r="MZ3" s="23"/>
      <c r="NA3" s="23"/>
      <c r="NB3" s="24"/>
      <c r="NC3" s="22" t="s">
        <v>43</v>
      </c>
      <c r="ND3" s="23"/>
      <c r="NE3" s="23"/>
      <c r="NF3" s="23"/>
      <c r="NG3" s="23"/>
      <c r="NH3" s="23"/>
      <c r="NI3" s="24"/>
      <c r="NJ3" s="22" t="s">
        <v>44</v>
      </c>
      <c r="NK3" s="23"/>
      <c r="NL3" s="23"/>
      <c r="NM3" s="23"/>
      <c r="NN3" s="23"/>
      <c r="NO3" s="23"/>
      <c r="NP3" s="24"/>
      <c r="NQ3" s="22" t="s">
        <v>45</v>
      </c>
      <c r="NR3" s="23"/>
      <c r="NS3" s="23"/>
      <c r="NT3" s="23"/>
      <c r="NU3" s="23"/>
      <c r="NV3" s="23"/>
      <c r="NW3" s="24"/>
      <c r="NX3" s="22" t="s">
        <v>46</v>
      </c>
      <c r="NY3" s="23"/>
      <c r="NZ3" s="23"/>
      <c r="OA3" s="23"/>
      <c r="OB3" s="23"/>
      <c r="OC3" s="23"/>
      <c r="OD3" s="24"/>
      <c r="OE3" s="22" t="s">
        <v>47</v>
      </c>
      <c r="OF3" s="23"/>
      <c r="OG3" s="23"/>
      <c r="OH3" s="23"/>
      <c r="OI3" s="23"/>
      <c r="OJ3" s="23"/>
      <c r="OK3" s="24"/>
      <c r="OL3" s="22" t="s">
        <v>48</v>
      </c>
      <c r="OM3" s="23"/>
      <c r="ON3" s="23"/>
      <c r="OO3" s="23"/>
      <c r="OP3" s="23"/>
      <c r="OQ3" s="23"/>
      <c r="OR3" s="24"/>
      <c r="OS3" s="22" t="s">
        <v>49</v>
      </c>
      <c r="OT3" s="23"/>
      <c r="OU3" s="23"/>
      <c r="OV3" s="23"/>
      <c r="OW3" s="23"/>
      <c r="OX3" s="23"/>
      <c r="OY3" s="24"/>
      <c r="OZ3" s="22" t="s">
        <v>50</v>
      </c>
      <c r="PA3" s="23"/>
      <c r="PB3" s="23"/>
      <c r="PC3" s="23"/>
      <c r="PD3" s="23"/>
      <c r="PE3" s="23"/>
      <c r="PF3" s="24"/>
      <c r="PG3" s="22" t="s">
        <v>51</v>
      </c>
      <c r="PH3" s="23"/>
      <c r="PI3" s="23"/>
      <c r="PJ3" s="23"/>
      <c r="PK3" s="23"/>
      <c r="PL3" s="23"/>
      <c r="PM3" s="25"/>
    </row>
    <row r="4" spans="1:429" ht="37">
      <c r="A4" s="461"/>
      <c r="B4" s="463"/>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c r="BN4" s="2"/>
      <c r="BO4" s="2"/>
      <c r="BP4" s="2"/>
      <c r="BQ4" s="2"/>
      <c r="BR4" s="2"/>
      <c r="BS4" s="2"/>
      <c r="BT4" s="2"/>
      <c r="BU4" s="2"/>
      <c r="BV4" s="2"/>
      <c r="BW4" s="2"/>
      <c r="BX4" s="2"/>
      <c r="BY4" s="2"/>
      <c r="BZ4" s="2"/>
      <c r="CA4" s="2"/>
      <c r="CB4" s="2"/>
      <c r="CC4" s="2"/>
      <c r="CD4" s="2"/>
      <c r="CE4" s="2"/>
      <c r="CF4" s="2"/>
      <c r="CG4" s="2"/>
      <c r="CH4" s="2"/>
      <c r="CI4" s="2"/>
      <c r="CJ4" s="2"/>
      <c r="CK4" s="2"/>
      <c r="CL4" s="2"/>
      <c r="CM4" s="2"/>
      <c r="CN4" s="2"/>
      <c r="CO4" s="2"/>
      <c r="CP4" s="2"/>
      <c r="CQ4" s="2"/>
      <c r="CR4" s="2"/>
      <c r="CS4" s="2"/>
      <c r="CT4" s="2"/>
      <c r="CU4" s="2"/>
      <c r="CV4" s="2"/>
      <c r="CW4" s="2"/>
      <c r="CX4" s="2"/>
      <c r="CY4" s="2"/>
      <c r="CZ4" s="2"/>
      <c r="DA4" s="2"/>
      <c r="DB4" s="2"/>
      <c r="DC4" s="2"/>
      <c r="DD4" s="2"/>
      <c r="DE4" s="2"/>
      <c r="DF4" s="2"/>
      <c r="DG4" s="2"/>
      <c r="DH4" s="2"/>
      <c r="DI4" s="2"/>
      <c r="DJ4" s="2"/>
      <c r="DK4" s="2"/>
      <c r="DL4" s="2"/>
      <c r="DM4" s="2"/>
      <c r="DN4" s="2"/>
      <c r="DO4" s="2"/>
      <c r="DP4" s="2"/>
      <c r="DQ4" s="2"/>
      <c r="DR4" s="2"/>
      <c r="DS4" s="2"/>
      <c r="DT4" s="2"/>
      <c r="DU4" s="2"/>
      <c r="DV4" s="2"/>
      <c r="DW4" s="2"/>
      <c r="DX4" s="2"/>
      <c r="DY4" s="2"/>
      <c r="DZ4" s="2"/>
      <c r="EA4" s="2"/>
      <c r="EB4" s="2"/>
      <c r="EC4" s="2"/>
      <c r="ED4" s="2"/>
      <c r="EE4" s="2"/>
      <c r="EF4" s="2"/>
      <c r="EG4" s="2"/>
      <c r="EH4" s="2"/>
      <c r="EI4" s="2"/>
      <c r="EJ4" s="2"/>
      <c r="EK4" s="2"/>
      <c r="EL4" s="2"/>
      <c r="EM4" s="2"/>
      <c r="EN4" s="2"/>
      <c r="EO4" s="2"/>
      <c r="EP4" s="2"/>
      <c r="EQ4" s="2"/>
      <c r="ER4" s="2"/>
      <c r="ES4" s="2"/>
      <c r="ET4" s="2"/>
      <c r="EU4" s="2"/>
      <c r="EV4" s="2"/>
      <c r="EW4" s="2"/>
      <c r="EX4" s="2"/>
      <c r="EY4" s="2"/>
      <c r="EZ4" s="2"/>
      <c r="FA4" s="2"/>
      <c r="FB4" s="2"/>
      <c r="FC4" s="2"/>
      <c r="FD4" s="2"/>
      <c r="FE4" s="2"/>
      <c r="FF4" s="2"/>
      <c r="FG4" s="2"/>
      <c r="FH4" s="2"/>
      <c r="FI4" s="2"/>
      <c r="FJ4" s="2"/>
      <c r="FK4" s="2"/>
      <c r="FL4" s="2"/>
      <c r="FM4" s="2"/>
      <c r="FN4" s="2"/>
      <c r="FO4" s="2"/>
      <c r="FP4" s="2"/>
      <c r="FQ4" s="2"/>
      <c r="FR4" s="2"/>
      <c r="FS4" s="2"/>
      <c r="FT4" s="2"/>
      <c r="FU4" s="2"/>
      <c r="FV4" s="2"/>
      <c r="FW4" s="2"/>
      <c r="FX4" s="2"/>
      <c r="FY4" s="2"/>
      <c r="FZ4" s="2"/>
      <c r="GA4" s="2"/>
      <c r="GB4" s="2"/>
      <c r="GC4" s="2"/>
      <c r="GD4" s="2"/>
      <c r="GE4" s="2"/>
      <c r="GF4" s="2"/>
      <c r="GG4" s="2"/>
      <c r="GH4" s="2"/>
      <c r="GI4" s="2"/>
      <c r="GJ4" s="2"/>
      <c r="GK4" s="2"/>
      <c r="GL4" s="2"/>
      <c r="GM4" s="2"/>
      <c r="GN4" s="2"/>
      <c r="GO4" s="2"/>
      <c r="GP4" s="2"/>
      <c r="GQ4" s="2"/>
      <c r="GR4" s="2"/>
      <c r="GS4" s="2"/>
      <c r="GT4" s="2"/>
      <c r="GU4" s="2"/>
      <c r="GV4" s="2"/>
      <c r="GW4" s="2"/>
      <c r="GX4" s="2"/>
      <c r="GY4" s="2"/>
      <c r="GZ4" s="2"/>
      <c r="HA4" s="2"/>
      <c r="HB4" s="2"/>
      <c r="HC4" s="2"/>
      <c r="HD4" s="2"/>
      <c r="HE4" s="2"/>
      <c r="HF4" s="2"/>
      <c r="HG4" s="2"/>
      <c r="HH4" s="2"/>
      <c r="HI4" s="2"/>
      <c r="HJ4" s="2"/>
      <c r="HK4" s="2"/>
      <c r="HL4" s="2"/>
      <c r="HM4" s="2"/>
      <c r="HN4" s="2"/>
      <c r="HO4" s="2"/>
      <c r="HP4" s="2"/>
      <c r="HQ4" s="2"/>
      <c r="HR4" s="2"/>
      <c r="HS4" s="2"/>
      <c r="HT4" s="2"/>
      <c r="HU4" s="2"/>
      <c r="HV4" s="2"/>
      <c r="HW4" s="2"/>
      <c r="HX4" s="2"/>
      <c r="HY4" s="2"/>
      <c r="HZ4" s="2"/>
      <c r="IA4" s="2"/>
      <c r="IB4" s="2"/>
      <c r="IC4" s="2"/>
      <c r="ID4" s="2"/>
      <c r="IE4" s="2"/>
      <c r="IF4" s="2"/>
      <c r="IG4" s="2"/>
      <c r="IH4" s="2"/>
      <c r="II4" s="2"/>
      <c r="IJ4" s="2"/>
      <c r="IK4" s="2"/>
      <c r="IL4" s="2"/>
      <c r="IM4" s="2"/>
      <c r="IN4" s="2"/>
      <c r="IO4" s="2"/>
      <c r="IP4" s="2"/>
      <c r="IQ4" s="2"/>
      <c r="IR4" s="2"/>
      <c r="IS4" s="2"/>
      <c r="IT4" s="2"/>
      <c r="IU4" s="2"/>
      <c r="IV4" s="2"/>
      <c r="IW4" s="2"/>
      <c r="IX4" s="2"/>
      <c r="IY4" s="2"/>
      <c r="IZ4" s="2"/>
      <c r="JA4" s="2"/>
      <c r="JB4" s="2"/>
      <c r="JC4" s="2"/>
      <c r="JD4" s="2"/>
      <c r="JE4" s="2"/>
      <c r="JF4" s="2"/>
      <c r="JG4" s="2"/>
      <c r="JH4" s="2"/>
      <c r="JI4" s="2"/>
      <c r="JJ4" s="2"/>
      <c r="JK4" s="2"/>
      <c r="JL4" s="2"/>
      <c r="JM4" s="2"/>
      <c r="JN4" s="2"/>
      <c r="JO4" s="2"/>
      <c r="JP4" s="2"/>
      <c r="JQ4" s="2"/>
      <c r="JR4" s="2"/>
      <c r="JS4" s="2"/>
      <c r="JT4" s="2"/>
      <c r="JU4" s="2"/>
      <c r="JV4" s="2"/>
      <c r="JW4" s="2"/>
      <c r="JX4" s="2"/>
      <c r="JY4" s="2"/>
      <c r="JZ4" s="2"/>
      <c r="KA4" s="2"/>
      <c r="KB4" s="2"/>
      <c r="KC4" s="2"/>
      <c r="KD4" s="2"/>
      <c r="KE4" s="2"/>
      <c r="KF4" s="2"/>
      <c r="KG4" s="2"/>
      <c r="KH4" s="2"/>
      <c r="KI4" s="2"/>
      <c r="KJ4" s="2"/>
      <c r="KK4" s="2"/>
      <c r="KL4" s="2"/>
      <c r="KM4" s="2"/>
      <c r="KN4" s="2"/>
      <c r="KO4" s="2"/>
      <c r="KP4" s="2"/>
      <c r="KQ4" s="2"/>
      <c r="KR4" s="2"/>
      <c r="KS4" s="2"/>
      <c r="KT4" s="2"/>
      <c r="KU4" s="2"/>
      <c r="KV4" s="2"/>
      <c r="KW4" s="2"/>
      <c r="KX4" s="2"/>
      <c r="KY4" s="2"/>
      <c r="KZ4" s="2"/>
      <c r="LA4" s="2"/>
      <c r="LB4" s="2"/>
      <c r="LC4" s="2"/>
      <c r="LD4" s="2"/>
      <c r="LE4" s="2"/>
      <c r="LF4" s="2"/>
      <c r="LG4" s="2"/>
      <c r="LH4" s="2"/>
      <c r="LI4" s="2"/>
      <c r="LJ4" s="2"/>
      <c r="LK4" s="2"/>
      <c r="LL4" s="2"/>
      <c r="LM4" s="2"/>
      <c r="LN4" s="2"/>
      <c r="LO4" s="2"/>
      <c r="LP4" s="2"/>
      <c r="LQ4" s="2"/>
      <c r="LR4" s="2"/>
      <c r="LS4" s="2"/>
      <c r="LT4" s="2"/>
      <c r="LU4" s="2"/>
      <c r="LV4" s="2"/>
      <c r="LW4" s="2"/>
      <c r="LX4" s="2"/>
      <c r="LY4" s="2"/>
      <c r="LZ4" s="2"/>
      <c r="MA4" s="2"/>
      <c r="MB4" s="2"/>
      <c r="MC4" s="2"/>
      <c r="MD4" s="2"/>
      <c r="ME4" s="2"/>
      <c r="MF4" s="2"/>
      <c r="MG4" s="2"/>
      <c r="MH4" s="2"/>
      <c r="MI4" s="2"/>
      <c r="MJ4" s="2"/>
      <c r="MK4" s="2"/>
      <c r="ML4" s="2"/>
      <c r="MM4" s="2"/>
      <c r="MN4" s="2"/>
      <c r="MO4" s="2"/>
      <c r="MP4" s="2"/>
      <c r="MQ4" s="2"/>
      <c r="MR4" s="2"/>
      <c r="MS4" s="2"/>
      <c r="MT4" s="2"/>
      <c r="MU4" s="2"/>
      <c r="MV4" s="2"/>
      <c r="MW4" s="2"/>
      <c r="MX4" s="2"/>
      <c r="MY4" s="2"/>
      <c r="MZ4" s="2"/>
      <c r="NA4" s="2"/>
      <c r="NB4" s="2"/>
      <c r="NC4" s="2"/>
      <c r="ND4" s="2"/>
      <c r="NE4" s="2"/>
      <c r="NF4" s="2"/>
      <c r="NG4" s="2"/>
      <c r="NH4" s="2"/>
      <c r="NI4" s="2"/>
      <c r="NJ4" s="2"/>
      <c r="NK4" s="2"/>
      <c r="NL4" s="2"/>
      <c r="NM4" s="2"/>
      <c r="NN4" s="2"/>
      <c r="NO4" s="2"/>
      <c r="NP4" s="2"/>
      <c r="NQ4" s="2"/>
      <c r="NR4" s="2"/>
      <c r="NS4" s="2"/>
      <c r="NT4" s="2"/>
      <c r="NU4" s="2"/>
      <c r="NV4" s="2"/>
      <c r="NW4" s="2"/>
      <c r="NX4" s="2"/>
      <c r="NY4" s="2"/>
      <c r="NZ4" s="2"/>
      <c r="OA4" s="2"/>
      <c r="OB4" s="2"/>
      <c r="OC4" s="2"/>
      <c r="OD4" s="2"/>
      <c r="OE4" s="2"/>
      <c r="OF4" s="2"/>
      <c r="OG4" s="2"/>
      <c r="OH4" s="2"/>
      <c r="OI4" s="2"/>
      <c r="OJ4" s="2"/>
      <c r="OK4" s="2"/>
      <c r="OL4" s="2"/>
      <c r="OM4" s="2"/>
      <c r="ON4" s="2"/>
      <c r="OO4" s="2"/>
      <c r="OP4" s="2"/>
      <c r="OQ4" s="2"/>
      <c r="OR4" s="2"/>
      <c r="OS4" s="2"/>
      <c r="OT4" s="2"/>
      <c r="OU4" s="2"/>
      <c r="OV4" s="2"/>
      <c r="OW4" s="2"/>
      <c r="OX4" s="2"/>
      <c r="OY4" s="2"/>
      <c r="OZ4" s="2"/>
      <c r="PA4" s="2"/>
      <c r="PB4" s="2"/>
      <c r="PC4" s="2"/>
      <c r="PD4" s="2"/>
      <c r="PE4" s="2"/>
      <c r="PF4" s="2"/>
      <c r="PG4" s="2"/>
      <c r="PH4" s="2"/>
      <c r="PI4" s="2"/>
      <c r="PJ4" s="2"/>
      <c r="PK4" s="2"/>
      <c r="PL4" s="2"/>
      <c r="PM4" s="3"/>
    </row>
    <row r="5" spans="1:429" ht="26" customHeight="1">
      <c r="A5" s="464"/>
      <c r="B5" s="465"/>
      <c r="C5" s="466"/>
      <c r="D5" s="466"/>
      <c r="E5" s="466"/>
      <c r="F5" s="466"/>
      <c r="G5" s="466"/>
      <c r="H5" s="466"/>
      <c r="I5" s="466"/>
      <c r="J5" s="466"/>
      <c r="K5" s="466"/>
      <c r="L5" s="466"/>
      <c r="M5" s="466"/>
      <c r="N5" s="466"/>
      <c r="O5" s="466"/>
      <c r="P5" s="466"/>
      <c r="Q5" s="466"/>
      <c r="R5" s="466"/>
      <c r="S5" s="466"/>
      <c r="T5" s="466"/>
      <c r="U5" s="466"/>
      <c r="V5" s="466"/>
      <c r="W5" s="466"/>
      <c r="X5" s="466"/>
      <c r="Y5" s="466"/>
      <c r="Z5" s="466"/>
      <c r="AA5" s="467"/>
      <c r="AB5" s="467"/>
      <c r="AC5" s="467"/>
      <c r="AD5" s="467"/>
      <c r="AE5" s="467"/>
      <c r="AF5" s="467"/>
      <c r="AG5" s="467"/>
      <c r="AH5" s="467"/>
      <c r="AI5" s="467"/>
      <c r="AJ5" s="467"/>
      <c r="AK5" s="467"/>
      <c r="AL5" s="467"/>
      <c r="AM5" s="467"/>
      <c r="AN5" s="467"/>
      <c r="AO5" s="467"/>
      <c r="AP5" s="467"/>
      <c r="AQ5" s="467"/>
      <c r="AR5" s="467"/>
      <c r="AS5" s="467"/>
      <c r="AT5" s="467"/>
      <c r="AU5" s="467"/>
      <c r="AV5" s="467"/>
      <c r="AW5" s="467"/>
      <c r="AX5" s="467"/>
      <c r="AY5" s="467"/>
      <c r="AZ5" s="467"/>
      <c r="BA5" s="467"/>
      <c r="BB5" s="467"/>
      <c r="BC5" s="467"/>
      <c r="BD5" s="467"/>
      <c r="BE5" s="467"/>
      <c r="BF5" s="467"/>
      <c r="BG5" s="467"/>
      <c r="BH5" s="467"/>
      <c r="BI5" s="467"/>
      <c r="BJ5" s="467"/>
      <c r="BK5" s="467"/>
      <c r="BL5" s="467"/>
      <c r="BM5" s="467"/>
      <c r="BN5" s="467"/>
      <c r="BO5" s="467"/>
      <c r="BP5" s="467"/>
      <c r="BQ5" s="467"/>
      <c r="BR5" s="467"/>
      <c r="BS5" s="467"/>
      <c r="BT5" s="467"/>
      <c r="BU5" s="467"/>
      <c r="BV5" s="467"/>
      <c r="BW5" s="467"/>
      <c r="BX5" s="467"/>
      <c r="BY5" s="467"/>
      <c r="BZ5" s="467"/>
      <c r="CA5" s="467"/>
      <c r="CB5" s="467"/>
      <c r="CC5" s="467"/>
      <c r="CD5" s="467"/>
      <c r="CE5" s="467"/>
      <c r="CF5" s="467"/>
      <c r="CG5" s="467"/>
      <c r="CH5" s="467"/>
      <c r="CI5" s="467"/>
      <c r="CJ5" s="467"/>
      <c r="CK5" s="467"/>
      <c r="CL5" s="467"/>
      <c r="CM5" s="467"/>
      <c r="CN5" s="467"/>
      <c r="CO5" s="467"/>
      <c r="CP5" s="467"/>
      <c r="CQ5" s="467"/>
      <c r="CR5" s="467"/>
      <c r="CS5" s="467"/>
      <c r="CT5" s="467"/>
      <c r="CU5" s="467"/>
      <c r="CV5" s="467"/>
      <c r="CW5" s="467"/>
      <c r="CX5" s="467"/>
      <c r="CY5" s="467"/>
      <c r="CZ5" s="467"/>
      <c r="DA5" s="467"/>
      <c r="DB5" s="467"/>
      <c r="DC5" s="467"/>
      <c r="DD5" s="467"/>
      <c r="DE5" s="467"/>
      <c r="DF5" s="467"/>
      <c r="DG5" s="467"/>
      <c r="DH5" s="467"/>
      <c r="DI5" s="467"/>
      <c r="DJ5" s="467"/>
      <c r="DK5" s="467"/>
      <c r="DL5" s="467"/>
      <c r="DM5" s="467"/>
      <c r="DN5" s="467"/>
      <c r="DO5" s="467"/>
      <c r="DP5" s="467"/>
      <c r="DQ5" s="467"/>
      <c r="DR5" s="467"/>
      <c r="DS5" s="467"/>
      <c r="DT5" s="467"/>
      <c r="DU5" s="467"/>
      <c r="DV5" s="467"/>
      <c r="DW5" s="467"/>
      <c r="DX5" s="467"/>
      <c r="DY5" s="467"/>
      <c r="DZ5" s="467"/>
      <c r="EA5" s="467"/>
      <c r="EB5" s="467"/>
      <c r="EC5" s="467"/>
      <c r="ED5" s="467"/>
      <c r="EE5" s="467"/>
      <c r="EF5" s="467"/>
      <c r="EG5" s="467"/>
      <c r="EH5" s="467"/>
      <c r="EI5" s="467"/>
      <c r="EJ5" s="467"/>
      <c r="EK5" s="467"/>
      <c r="EL5" s="467"/>
      <c r="EM5" s="467"/>
      <c r="EN5" s="467"/>
      <c r="EO5" s="467"/>
      <c r="EP5" s="467"/>
      <c r="EQ5" s="467"/>
      <c r="ER5" s="467"/>
      <c r="ES5" s="467"/>
      <c r="ET5" s="467"/>
      <c r="EU5" s="467"/>
      <c r="EV5" s="467"/>
      <c r="EW5" s="467"/>
      <c r="EX5" s="467"/>
      <c r="EY5" s="467"/>
      <c r="EZ5" s="467"/>
      <c r="FA5" s="467"/>
      <c r="FB5" s="467"/>
      <c r="FC5" s="467"/>
      <c r="FD5" s="467"/>
      <c r="FE5" s="467"/>
      <c r="FF5" s="467"/>
      <c r="FG5" s="467"/>
      <c r="FH5" s="467"/>
      <c r="FI5" s="467"/>
      <c r="FJ5" s="467"/>
      <c r="FK5" s="467"/>
      <c r="FL5" s="467"/>
      <c r="FM5" s="467"/>
      <c r="FN5" s="467"/>
      <c r="FO5" s="467"/>
      <c r="FP5" s="467"/>
      <c r="FQ5" s="467"/>
      <c r="FR5" s="467"/>
      <c r="FS5" s="467"/>
      <c r="FT5" s="467"/>
      <c r="FU5" s="467"/>
      <c r="FV5" s="467"/>
      <c r="FW5" s="467"/>
      <c r="FX5" s="467"/>
      <c r="FY5" s="467"/>
      <c r="FZ5" s="467"/>
      <c r="GA5" s="467"/>
      <c r="GB5" s="467"/>
      <c r="GC5" s="467"/>
      <c r="GD5" s="467"/>
      <c r="GE5" s="467"/>
      <c r="GF5" s="467"/>
      <c r="GG5" s="467"/>
      <c r="GH5" s="467"/>
      <c r="GI5" s="467"/>
      <c r="GJ5" s="467"/>
      <c r="GK5" s="467"/>
      <c r="GL5" s="467"/>
      <c r="GM5" s="467"/>
      <c r="GN5" s="467"/>
      <c r="GO5" s="467"/>
      <c r="GP5" s="467"/>
      <c r="GQ5" s="467"/>
      <c r="GR5" s="467"/>
      <c r="GS5" s="467"/>
      <c r="GT5" s="467"/>
      <c r="GU5" s="467"/>
      <c r="GV5" s="467"/>
      <c r="GW5" s="467"/>
      <c r="GX5" s="467"/>
      <c r="GY5" s="467"/>
      <c r="GZ5" s="467"/>
      <c r="HA5" s="467"/>
      <c r="HB5" s="467"/>
      <c r="HC5" s="467"/>
      <c r="HD5" s="467"/>
      <c r="HE5" s="467"/>
      <c r="HF5" s="467"/>
      <c r="HG5" s="467"/>
      <c r="HH5" s="467"/>
      <c r="HI5" s="467"/>
      <c r="HJ5" s="467"/>
      <c r="HK5" s="467"/>
      <c r="HL5" s="467"/>
      <c r="HM5" s="467"/>
      <c r="HN5" s="467"/>
      <c r="HO5" s="467"/>
      <c r="HP5" s="467"/>
      <c r="HQ5" s="467"/>
      <c r="HR5" s="467"/>
      <c r="HS5" s="467"/>
      <c r="HT5" s="467"/>
      <c r="HU5" s="467"/>
      <c r="HV5" s="467"/>
      <c r="HW5" s="467"/>
      <c r="HX5" s="467"/>
      <c r="HY5" s="467"/>
      <c r="HZ5" s="467"/>
      <c r="IA5" s="467"/>
      <c r="IB5" s="467"/>
      <c r="IC5" s="467"/>
      <c r="ID5" s="467"/>
      <c r="IE5" s="467"/>
      <c r="IF5" s="467"/>
      <c r="IG5" s="4"/>
      <c r="IH5" s="5"/>
      <c r="II5" s="5"/>
      <c r="IJ5" s="5"/>
      <c r="IK5" s="5"/>
      <c r="IL5" s="5"/>
      <c r="IM5" s="5"/>
      <c r="IN5" s="4"/>
      <c r="IO5" s="5"/>
      <c r="IP5" s="5"/>
      <c r="IQ5" s="5"/>
      <c r="IR5" s="5"/>
      <c r="IS5" s="5"/>
      <c r="IT5" s="5"/>
      <c r="IU5" s="4"/>
      <c r="IV5" s="5"/>
      <c r="IW5" s="5"/>
      <c r="IX5" s="5"/>
      <c r="IY5" s="5"/>
      <c r="IZ5" s="5"/>
      <c r="JA5" s="5"/>
      <c r="JB5" s="4"/>
      <c r="JC5" s="5"/>
      <c r="JD5" s="5"/>
      <c r="JE5" s="5"/>
      <c r="JF5" s="5"/>
      <c r="JG5" s="5"/>
      <c r="JH5" s="5"/>
      <c r="JI5" s="4"/>
      <c r="JJ5" s="5"/>
      <c r="JK5" s="5"/>
      <c r="JL5" s="5"/>
      <c r="JM5" s="5"/>
      <c r="JN5" s="5"/>
      <c r="JO5" s="5"/>
      <c r="JP5" s="4"/>
      <c r="JQ5" s="5"/>
      <c r="JR5" s="5"/>
      <c r="JS5" s="5"/>
      <c r="JT5" s="5"/>
      <c r="JU5" s="5"/>
      <c r="JV5" s="5"/>
      <c r="JW5" s="4"/>
      <c r="JX5" s="5"/>
      <c r="JY5" s="5"/>
      <c r="JZ5" s="5"/>
      <c r="KA5" s="5"/>
      <c r="KB5" s="5"/>
      <c r="KC5" s="5"/>
      <c r="KD5" s="4"/>
      <c r="KE5" s="5"/>
      <c r="KF5" s="5"/>
      <c r="KG5" s="5"/>
      <c r="KH5" s="5"/>
      <c r="KI5" s="5"/>
      <c r="KJ5" s="5"/>
      <c r="KK5" s="4"/>
      <c r="KL5" s="5"/>
      <c r="KM5" s="5"/>
      <c r="KN5" s="5"/>
      <c r="KO5" s="5"/>
      <c r="KP5" s="5"/>
      <c r="KQ5" s="5"/>
      <c r="KR5" s="4"/>
      <c r="KS5" s="5"/>
      <c r="KT5" s="5"/>
      <c r="KU5" s="5"/>
      <c r="KV5" s="5"/>
      <c r="KW5" s="5"/>
      <c r="KX5" s="5"/>
      <c r="KY5" s="4"/>
      <c r="KZ5" s="5"/>
      <c r="LA5" s="5"/>
      <c r="LB5" s="5"/>
      <c r="LC5" s="5"/>
      <c r="LD5" s="5"/>
      <c r="LE5" s="5"/>
      <c r="LF5" s="4"/>
      <c r="LG5" s="5"/>
      <c r="LH5" s="5"/>
      <c r="LI5" s="5"/>
      <c r="LJ5" s="5"/>
      <c r="LK5" s="5"/>
      <c r="LL5" s="5"/>
      <c r="LM5" s="4"/>
      <c r="LN5" s="5"/>
      <c r="LO5" s="5"/>
      <c r="LP5" s="5"/>
      <c r="LQ5" s="5"/>
      <c r="LR5" s="5"/>
      <c r="LS5" s="5"/>
      <c r="LT5" s="4"/>
      <c r="LU5" s="5"/>
      <c r="LV5" s="5"/>
      <c r="LW5" s="5"/>
      <c r="LX5" s="5"/>
      <c r="LY5" s="5"/>
      <c r="LZ5" s="5"/>
      <c r="MA5" s="4"/>
      <c r="MB5" s="5"/>
      <c r="MC5" s="5"/>
      <c r="MD5" s="5"/>
      <c r="ME5" s="5"/>
      <c r="MF5" s="5"/>
      <c r="MG5" s="5"/>
      <c r="MH5" s="4"/>
      <c r="MI5" s="5"/>
      <c r="MJ5" s="5"/>
      <c r="MK5" s="5"/>
      <c r="ML5" s="5"/>
      <c r="MM5" s="5"/>
      <c r="MN5" s="5"/>
      <c r="MO5" s="5"/>
      <c r="MP5" s="5"/>
      <c r="MQ5" s="5"/>
      <c r="MR5" s="5"/>
      <c r="MS5" s="5"/>
      <c r="MT5" s="5"/>
      <c r="MU5" s="5"/>
      <c r="MV5" s="5"/>
      <c r="MW5" s="5"/>
      <c r="MX5" s="5"/>
      <c r="MY5" s="5"/>
      <c r="MZ5" s="5"/>
      <c r="NA5" s="5"/>
      <c r="NB5" s="5"/>
      <c r="NC5" s="5"/>
      <c r="ND5" s="5"/>
      <c r="NE5" s="5"/>
      <c r="NF5" s="5"/>
      <c r="NG5" s="5"/>
      <c r="NH5" s="5"/>
      <c r="NI5" s="5"/>
      <c r="NJ5" s="5"/>
      <c r="NK5" s="5"/>
      <c r="NL5" s="5"/>
      <c r="NM5" s="5"/>
      <c r="NN5" s="5"/>
      <c r="NO5" s="5"/>
      <c r="NP5" s="5"/>
      <c r="NQ5" s="5"/>
      <c r="NR5" s="5"/>
      <c r="NS5" s="5"/>
      <c r="NT5" s="5"/>
      <c r="NU5" s="5"/>
      <c r="NV5" s="5"/>
      <c r="NW5" s="5"/>
      <c r="NX5" s="5"/>
      <c r="NY5" s="5"/>
      <c r="NZ5" s="5"/>
      <c r="OA5" s="5"/>
      <c r="OB5" s="5"/>
      <c r="OC5" s="5"/>
      <c r="OD5" s="5"/>
      <c r="OE5" s="5"/>
      <c r="OF5" s="5"/>
      <c r="OG5" s="5"/>
      <c r="OH5" s="5"/>
      <c r="OI5" s="5"/>
      <c r="OJ5" s="5"/>
      <c r="OK5" s="5"/>
      <c r="OL5" s="5"/>
      <c r="OM5" s="5"/>
      <c r="ON5" s="5"/>
      <c r="OO5" s="5"/>
      <c r="OP5" s="5"/>
      <c r="OQ5" s="5"/>
      <c r="OR5" s="5"/>
      <c r="OS5" s="5"/>
      <c r="OT5" s="5"/>
      <c r="OU5" s="5"/>
      <c r="OV5" s="5"/>
      <c r="OW5" s="5"/>
      <c r="OX5" s="5"/>
      <c r="OY5" s="5"/>
      <c r="OZ5" s="4"/>
      <c r="PA5" s="5"/>
      <c r="PB5" s="5"/>
      <c r="PC5" s="5"/>
      <c r="PD5" s="5"/>
      <c r="PE5" s="5"/>
      <c r="PF5" s="5"/>
      <c r="PG5" s="4"/>
      <c r="PH5" s="5"/>
      <c r="PI5" s="5"/>
      <c r="PJ5" s="5"/>
      <c r="PK5" s="5"/>
      <c r="PL5" s="5"/>
      <c r="PM5" s="5"/>
    </row>
    <row r="6" spans="1:429" ht="26" customHeight="1">
      <c r="A6" s="468"/>
      <c r="B6" s="469"/>
      <c r="C6" s="21"/>
      <c r="D6" s="21"/>
      <c r="E6" s="21"/>
      <c r="F6" s="21"/>
      <c r="G6" s="21"/>
      <c r="H6" s="21"/>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c r="AM6" s="21"/>
      <c r="AN6" s="21"/>
      <c r="AO6" s="21"/>
      <c r="AP6" s="21"/>
      <c r="AQ6" s="21"/>
      <c r="AR6" s="21"/>
      <c r="AS6" s="21"/>
      <c r="AT6" s="21"/>
      <c r="AU6" s="21"/>
      <c r="AV6" s="21"/>
      <c r="AW6" s="21"/>
      <c r="AX6" s="21"/>
      <c r="AY6" s="21"/>
      <c r="AZ6" s="21"/>
      <c r="BA6" s="21"/>
      <c r="BB6" s="21"/>
      <c r="BC6" s="21"/>
      <c r="BD6" s="21"/>
      <c r="BE6" s="21"/>
      <c r="BF6" s="21"/>
      <c r="BG6" s="21"/>
      <c r="BH6" s="21"/>
      <c r="BI6" s="21"/>
      <c r="BJ6" s="21"/>
      <c r="BK6" s="21"/>
      <c r="BL6" s="21"/>
      <c r="BM6" s="21"/>
      <c r="BN6" s="21"/>
      <c r="BO6" s="21"/>
      <c r="BP6" s="21"/>
      <c r="BQ6" s="21"/>
      <c r="BR6" s="21"/>
      <c r="BS6" s="21"/>
      <c r="BT6" s="21"/>
      <c r="BU6" s="21"/>
      <c r="BV6" s="21"/>
      <c r="BW6" s="21"/>
      <c r="BX6" s="21"/>
      <c r="BY6" s="21"/>
      <c r="BZ6" s="21"/>
      <c r="CA6" s="21"/>
      <c r="CB6" s="21"/>
      <c r="CC6" s="21"/>
      <c r="CD6" s="21"/>
      <c r="CE6" s="21"/>
      <c r="CF6" s="21"/>
      <c r="CG6" s="21"/>
      <c r="CH6" s="21"/>
      <c r="CI6" s="21"/>
      <c r="CJ6" s="21"/>
      <c r="CK6" s="21"/>
      <c r="CL6" s="21"/>
      <c r="CM6" s="21"/>
      <c r="CN6" s="21"/>
      <c r="CO6" s="21"/>
      <c r="CP6" s="21"/>
      <c r="CQ6" s="21"/>
      <c r="CR6" s="21"/>
      <c r="CS6" s="21"/>
      <c r="CT6" s="21"/>
      <c r="CU6" s="21"/>
      <c r="CV6" s="21"/>
      <c r="CW6" s="21"/>
      <c r="CX6" s="21"/>
      <c r="CY6" s="21"/>
      <c r="CZ6" s="21"/>
      <c r="DA6" s="21"/>
      <c r="DB6" s="21"/>
      <c r="DC6" s="21"/>
      <c r="DD6" s="21"/>
      <c r="DE6" s="21"/>
      <c r="DF6" s="21"/>
      <c r="DG6" s="21"/>
      <c r="DH6" s="21"/>
      <c r="DI6" s="21"/>
      <c r="DJ6" s="21"/>
      <c r="DK6" s="21"/>
      <c r="DL6" s="21"/>
      <c r="DM6" s="21"/>
      <c r="DN6" s="21"/>
      <c r="DO6" s="21"/>
      <c r="DP6" s="21"/>
      <c r="DQ6" s="21"/>
      <c r="DR6" s="21"/>
      <c r="DS6" s="21"/>
      <c r="DT6" s="21"/>
      <c r="DU6" s="21"/>
      <c r="DV6" s="21"/>
      <c r="DW6" s="21"/>
      <c r="DX6" s="21"/>
      <c r="DY6" s="21"/>
      <c r="DZ6" s="21"/>
      <c r="EA6" s="21"/>
      <c r="EB6" s="21"/>
      <c r="EC6" s="21"/>
      <c r="ED6" s="21"/>
      <c r="EE6" s="21"/>
      <c r="EF6" s="21"/>
      <c r="EG6" s="21"/>
      <c r="EH6" s="21"/>
      <c r="EI6" s="21"/>
      <c r="EJ6" s="21"/>
      <c r="EK6" s="21"/>
      <c r="EL6" s="21"/>
      <c r="EM6" s="21"/>
      <c r="EN6" s="21"/>
      <c r="EO6" s="21"/>
      <c r="EP6" s="21"/>
      <c r="EQ6" s="21"/>
      <c r="ER6" s="21"/>
      <c r="ES6" s="21"/>
      <c r="ET6" s="21"/>
      <c r="EU6" s="21"/>
      <c r="EV6" s="21"/>
      <c r="EW6" s="21"/>
      <c r="EX6" s="21"/>
      <c r="EY6" s="21"/>
      <c r="EZ6" s="21"/>
      <c r="FA6" s="21"/>
      <c r="FB6" s="21"/>
      <c r="FC6" s="21"/>
      <c r="FD6" s="21"/>
      <c r="FE6" s="21"/>
      <c r="FF6" s="21"/>
      <c r="FG6" s="21"/>
      <c r="FH6" s="21"/>
      <c r="FI6" s="21"/>
      <c r="FJ6" s="21"/>
      <c r="FK6" s="21"/>
      <c r="FL6" s="21"/>
      <c r="FM6" s="21"/>
      <c r="FN6" s="21"/>
      <c r="FO6" s="21"/>
      <c r="FP6" s="21"/>
      <c r="FQ6" s="21"/>
      <c r="FR6" s="21"/>
      <c r="FS6" s="21"/>
      <c r="FT6" s="21"/>
      <c r="FU6" s="21"/>
      <c r="FV6" s="21"/>
      <c r="FW6" s="21"/>
      <c r="FX6" s="21"/>
      <c r="FY6" s="21"/>
      <c r="FZ6" s="21"/>
      <c r="GA6" s="21"/>
      <c r="GB6" s="21"/>
      <c r="GC6" s="21"/>
      <c r="GD6" s="21"/>
      <c r="GE6" s="21"/>
      <c r="GF6" s="21"/>
      <c r="GG6" s="21"/>
      <c r="GH6" s="21"/>
      <c r="GI6" s="21"/>
      <c r="GJ6" s="21"/>
      <c r="GK6" s="21"/>
      <c r="GL6" s="21"/>
      <c r="GM6" s="21"/>
      <c r="GN6" s="21"/>
      <c r="GO6" s="21"/>
      <c r="GP6" s="21"/>
      <c r="GQ6" s="21"/>
      <c r="GR6" s="21"/>
      <c r="GS6" s="21"/>
      <c r="GT6" s="21"/>
      <c r="GU6" s="21"/>
      <c r="GV6" s="21"/>
      <c r="GW6" s="21"/>
      <c r="GX6" s="21"/>
      <c r="GY6" s="21"/>
      <c r="GZ6" s="21"/>
      <c r="HA6" s="21"/>
      <c r="HB6" s="21"/>
      <c r="HC6" s="21"/>
      <c r="HD6" s="21"/>
      <c r="HE6" s="21"/>
      <c r="HF6" s="21"/>
      <c r="HG6" s="21"/>
      <c r="HH6" s="21"/>
      <c r="HI6" s="21"/>
      <c r="HJ6" s="21"/>
      <c r="HK6" s="21"/>
      <c r="HL6" s="21"/>
      <c r="HM6" s="21"/>
      <c r="HN6" s="21"/>
      <c r="HO6" s="21"/>
      <c r="HP6" s="21"/>
      <c r="HQ6" s="21"/>
      <c r="HR6" s="21"/>
      <c r="HS6" s="21"/>
      <c r="HT6" s="21"/>
      <c r="HU6" s="21"/>
      <c r="HV6" s="21"/>
      <c r="HW6" s="21"/>
      <c r="HX6" s="21"/>
      <c r="HY6" s="21"/>
      <c r="HZ6" s="21"/>
      <c r="IA6" s="21"/>
      <c r="IB6" s="21"/>
      <c r="IC6" s="21"/>
      <c r="ID6" s="21"/>
      <c r="IE6" s="21"/>
      <c r="IF6" s="21"/>
      <c r="IG6" s="21"/>
      <c r="IH6" s="21"/>
      <c r="II6" s="21"/>
      <c r="IJ6" s="21"/>
      <c r="IK6" s="21"/>
      <c r="IL6" s="21"/>
      <c r="IM6" s="21"/>
      <c r="IN6" s="21"/>
      <c r="IO6" s="21"/>
      <c r="IP6" s="21"/>
      <c r="IQ6" s="21"/>
      <c r="IR6" s="21"/>
      <c r="IS6" s="21"/>
      <c r="IT6" s="21"/>
      <c r="IU6" s="21"/>
      <c r="IV6" s="21"/>
      <c r="IW6" s="21"/>
      <c r="IX6" s="21"/>
      <c r="IY6" s="21"/>
      <c r="IZ6" s="21"/>
      <c r="JA6" s="21"/>
      <c r="JB6" s="21"/>
      <c r="JC6" s="21"/>
      <c r="JD6" s="21"/>
      <c r="JE6" s="21"/>
      <c r="JF6" s="21"/>
      <c r="JG6" s="21"/>
      <c r="JH6" s="21"/>
      <c r="JI6" s="21"/>
      <c r="JJ6" s="21"/>
      <c r="JK6" s="21"/>
      <c r="JL6" s="21"/>
      <c r="JM6" s="21"/>
      <c r="JN6" s="21"/>
      <c r="JO6" s="21"/>
      <c r="JP6" s="21"/>
      <c r="JQ6" s="21"/>
      <c r="JR6" s="21"/>
      <c r="JS6" s="21"/>
      <c r="JT6" s="21"/>
      <c r="JU6" s="21"/>
      <c r="JV6" s="21"/>
      <c r="JW6" s="21"/>
      <c r="JX6" s="21"/>
      <c r="JY6" s="21"/>
      <c r="JZ6" s="21"/>
      <c r="KA6" s="21"/>
      <c r="KB6" s="21"/>
      <c r="KC6" s="21"/>
      <c r="KD6" s="21"/>
      <c r="KE6" s="21"/>
      <c r="KF6" s="21"/>
      <c r="KG6" s="21"/>
      <c r="KH6" s="21"/>
      <c r="KI6" s="21"/>
      <c r="KJ6" s="21"/>
      <c r="KK6" s="21"/>
      <c r="KL6" s="21"/>
      <c r="KM6" s="21"/>
      <c r="KN6" s="21"/>
      <c r="KO6" s="21"/>
      <c r="KP6" s="21"/>
      <c r="KQ6" s="21"/>
      <c r="KR6" s="21"/>
      <c r="KS6" s="21"/>
      <c r="KT6" s="21"/>
      <c r="KU6" s="21"/>
      <c r="KV6" s="21"/>
      <c r="KW6" s="21"/>
      <c r="KX6" s="21"/>
      <c r="KY6" s="21"/>
      <c r="KZ6" s="21"/>
      <c r="LA6" s="21"/>
      <c r="LB6" s="21"/>
      <c r="LC6" s="21"/>
      <c r="LD6" s="21"/>
      <c r="LE6" s="21"/>
      <c r="LF6" s="21"/>
      <c r="LG6" s="21"/>
      <c r="LH6" s="21"/>
      <c r="LI6" s="21"/>
      <c r="LJ6" s="21"/>
      <c r="LK6" s="21"/>
      <c r="LL6" s="21"/>
      <c r="LM6" s="21"/>
      <c r="LN6" s="21"/>
      <c r="LO6" s="21"/>
      <c r="LP6" s="21"/>
      <c r="LQ6" s="21"/>
      <c r="LR6" s="21"/>
      <c r="LS6" s="21"/>
      <c r="LT6" s="21"/>
      <c r="LU6" s="21"/>
      <c r="LV6" s="21"/>
      <c r="LW6" s="21"/>
      <c r="LX6" s="21"/>
      <c r="LY6" s="21"/>
      <c r="LZ6" s="21"/>
      <c r="MA6" s="21"/>
      <c r="MB6" s="21"/>
      <c r="MC6" s="21"/>
      <c r="MD6" s="21"/>
      <c r="ME6" s="21"/>
      <c r="MF6" s="21"/>
      <c r="MG6" s="21"/>
      <c r="MH6" s="21"/>
      <c r="MI6" s="21"/>
      <c r="MJ6" s="21"/>
      <c r="MK6" s="21"/>
      <c r="ML6" s="21"/>
      <c r="MM6" s="21"/>
      <c r="MN6" s="21"/>
      <c r="MO6" s="21"/>
      <c r="MP6" s="21"/>
      <c r="MQ6" s="21"/>
      <c r="MR6" s="21"/>
      <c r="MS6" s="21"/>
      <c r="MT6" s="21"/>
      <c r="MU6" s="21"/>
      <c r="MV6" s="21"/>
      <c r="MW6" s="21"/>
      <c r="MX6" s="21"/>
      <c r="MY6" s="21"/>
      <c r="MZ6" s="21"/>
      <c r="NA6" s="21"/>
      <c r="NB6" s="21"/>
      <c r="NC6" s="21"/>
      <c r="ND6" s="21"/>
      <c r="NE6" s="21"/>
      <c r="NF6" s="21"/>
      <c r="NG6" s="21"/>
      <c r="NH6" s="21"/>
      <c r="NI6" s="21"/>
      <c r="NJ6" s="21"/>
      <c r="NK6" s="21"/>
      <c r="NL6" s="21"/>
      <c r="NM6" s="21"/>
      <c r="NN6" s="21"/>
      <c r="NO6" s="21"/>
      <c r="NP6" s="21"/>
      <c r="NQ6" s="21"/>
      <c r="NR6" s="21"/>
      <c r="NS6" s="21"/>
      <c r="NT6" s="21"/>
      <c r="NU6" s="21"/>
      <c r="NV6" s="21"/>
      <c r="NW6" s="21"/>
      <c r="NX6" s="21"/>
      <c r="NY6" s="21"/>
      <c r="NZ6" s="21"/>
      <c r="OA6" s="21"/>
      <c r="OB6" s="21"/>
      <c r="OC6" s="21"/>
      <c r="OD6" s="21"/>
      <c r="OE6" s="21"/>
      <c r="OF6" s="21"/>
      <c r="OG6" s="21"/>
      <c r="OH6" s="21"/>
      <c r="OI6" s="21"/>
      <c r="OJ6" s="21"/>
      <c r="OK6" s="21"/>
      <c r="OL6" s="21"/>
      <c r="OM6" s="21"/>
      <c r="ON6" s="21"/>
      <c r="OO6" s="21"/>
      <c r="OP6" s="21"/>
      <c r="OQ6" s="21"/>
      <c r="OR6" s="21"/>
      <c r="OS6" s="21"/>
      <c r="OT6" s="21"/>
      <c r="OU6" s="21"/>
      <c r="OV6" s="21"/>
      <c r="OW6" s="21"/>
      <c r="OX6" s="21"/>
      <c r="OY6" s="21"/>
      <c r="OZ6" s="21"/>
      <c r="PA6" s="21"/>
      <c r="PB6" s="21"/>
      <c r="PC6" s="21"/>
      <c r="PD6" s="21"/>
      <c r="PE6" s="21"/>
      <c r="PF6" s="21"/>
      <c r="PG6" s="21"/>
      <c r="PH6" s="21"/>
      <c r="PI6" s="21"/>
      <c r="PJ6" s="21"/>
      <c r="PK6" s="21"/>
      <c r="PL6" s="21"/>
      <c r="PM6" s="21"/>
    </row>
    <row r="7" spans="1:429" ht="26" customHeight="1">
      <c r="A7" s="468"/>
      <c r="B7" s="469"/>
      <c r="C7" s="21"/>
      <c r="D7" s="21"/>
      <c r="E7" s="21"/>
      <c r="F7" s="21"/>
      <c r="G7" s="21"/>
      <c r="H7" s="21"/>
      <c r="I7" s="21"/>
      <c r="J7" s="21"/>
      <c r="K7" s="21"/>
      <c r="L7" s="21"/>
      <c r="M7" s="21"/>
      <c r="N7" s="21"/>
      <c r="O7" s="21"/>
      <c r="P7" s="21"/>
      <c r="Q7" s="21"/>
      <c r="R7" s="21"/>
      <c r="S7" s="21"/>
      <c r="T7" s="21"/>
      <c r="U7" s="21"/>
      <c r="V7" s="21"/>
      <c r="W7" s="21"/>
      <c r="X7" s="21"/>
      <c r="Y7" s="21"/>
      <c r="Z7" s="21"/>
      <c r="AA7" s="21"/>
      <c r="AB7" s="21"/>
      <c r="AC7" s="21"/>
      <c r="AD7" s="21"/>
      <c r="AE7" s="21"/>
      <c r="AF7" s="21"/>
      <c r="AG7" s="21"/>
      <c r="AH7" s="21"/>
      <c r="AI7" s="21"/>
      <c r="AJ7" s="21"/>
      <c r="AK7" s="21"/>
      <c r="AL7" s="21"/>
      <c r="AM7" s="21"/>
      <c r="AN7" s="21"/>
      <c r="AO7" s="21"/>
      <c r="AP7" s="21"/>
      <c r="AQ7" s="21"/>
      <c r="AR7" s="21"/>
      <c r="AS7" s="21"/>
      <c r="AT7" s="21"/>
      <c r="AU7" s="21"/>
      <c r="AV7" s="21"/>
      <c r="AW7" s="21"/>
      <c r="AX7" s="21"/>
      <c r="AY7" s="21"/>
      <c r="AZ7" s="21"/>
      <c r="BA7" s="21"/>
      <c r="BB7" s="21"/>
      <c r="BC7" s="21"/>
      <c r="BD7" s="21"/>
      <c r="BE7" s="21"/>
      <c r="BF7" s="21"/>
      <c r="BG7" s="21"/>
      <c r="BH7" s="21"/>
      <c r="BI7" s="21"/>
      <c r="BJ7" s="21"/>
      <c r="BK7" s="21"/>
      <c r="BL7" s="21"/>
      <c r="BM7" s="21"/>
      <c r="BN7" s="21"/>
      <c r="BO7" s="21"/>
      <c r="BP7" s="21"/>
      <c r="BQ7" s="21"/>
      <c r="BR7" s="21"/>
      <c r="BS7" s="21"/>
      <c r="BT7" s="21"/>
      <c r="BU7" s="21"/>
      <c r="BV7" s="21"/>
      <c r="BW7" s="21"/>
      <c r="BX7" s="21"/>
      <c r="BY7" s="21"/>
      <c r="BZ7" s="21"/>
      <c r="CA7" s="21"/>
      <c r="CB7" s="21"/>
      <c r="CC7" s="21"/>
      <c r="CD7" s="21"/>
      <c r="CE7" s="21"/>
      <c r="CF7" s="21"/>
      <c r="CG7" s="21"/>
      <c r="CH7" s="21"/>
      <c r="CI7" s="21"/>
      <c r="CJ7" s="21"/>
      <c r="CK7" s="21"/>
      <c r="CL7" s="21"/>
      <c r="CM7" s="21"/>
      <c r="CN7" s="21"/>
      <c r="CO7" s="21"/>
      <c r="CP7" s="21"/>
      <c r="CQ7" s="21"/>
      <c r="CR7" s="21"/>
      <c r="CS7" s="21"/>
      <c r="CT7" s="21"/>
      <c r="CU7" s="21"/>
      <c r="CV7" s="21"/>
      <c r="CW7" s="21"/>
      <c r="CX7" s="21"/>
      <c r="CY7" s="21"/>
      <c r="CZ7" s="21"/>
      <c r="DA7" s="21"/>
      <c r="DB7" s="21"/>
      <c r="DC7" s="21"/>
      <c r="DD7" s="21"/>
      <c r="DE7" s="21"/>
      <c r="DF7" s="21"/>
      <c r="DG7" s="21"/>
      <c r="DH7" s="21"/>
      <c r="DI7" s="21"/>
      <c r="DJ7" s="21"/>
      <c r="DK7" s="21"/>
      <c r="DL7" s="21"/>
      <c r="DM7" s="21"/>
      <c r="DN7" s="21"/>
      <c r="DO7" s="21"/>
      <c r="DP7" s="21"/>
      <c r="DQ7" s="21"/>
      <c r="DR7" s="21"/>
      <c r="DS7" s="21"/>
      <c r="DT7" s="21"/>
      <c r="DU7" s="21"/>
      <c r="DV7" s="21"/>
      <c r="DW7" s="21"/>
      <c r="DX7" s="21"/>
      <c r="DY7" s="21"/>
      <c r="DZ7" s="21"/>
      <c r="EA7" s="21"/>
      <c r="EB7" s="21"/>
      <c r="EC7" s="21"/>
      <c r="ED7" s="21"/>
      <c r="EE7" s="21"/>
      <c r="EF7" s="21"/>
      <c r="EG7" s="21"/>
      <c r="EH7" s="21"/>
      <c r="EI7" s="21"/>
      <c r="EJ7" s="21"/>
      <c r="EK7" s="21"/>
      <c r="EL7" s="21"/>
      <c r="EM7" s="21"/>
      <c r="EN7" s="21"/>
      <c r="EO7" s="21"/>
      <c r="EP7" s="21"/>
      <c r="EQ7" s="21"/>
      <c r="ER7" s="21"/>
      <c r="ES7" s="21"/>
      <c r="ET7" s="21"/>
      <c r="EU7" s="21"/>
      <c r="EV7" s="21"/>
      <c r="EW7" s="21"/>
      <c r="EX7" s="21"/>
      <c r="EY7" s="21"/>
      <c r="EZ7" s="21"/>
      <c r="FA7" s="21"/>
      <c r="FB7" s="21"/>
      <c r="FC7" s="21"/>
      <c r="FD7" s="21"/>
      <c r="FE7" s="21"/>
      <c r="FF7" s="21"/>
      <c r="FG7" s="21"/>
      <c r="FH7" s="21"/>
      <c r="FI7" s="21"/>
      <c r="FJ7" s="21"/>
      <c r="FK7" s="21"/>
      <c r="FL7" s="21"/>
      <c r="FM7" s="21"/>
      <c r="FN7" s="21"/>
      <c r="FO7" s="21"/>
      <c r="FP7" s="21"/>
      <c r="FQ7" s="21"/>
      <c r="FR7" s="21"/>
      <c r="FS7" s="21"/>
      <c r="FT7" s="21"/>
      <c r="FU7" s="21"/>
      <c r="FV7" s="21"/>
      <c r="FW7" s="21"/>
      <c r="FX7" s="21"/>
      <c r="FY7" s="21"/>
      <c r="FZ7" s="21"/>
      <c r="GA7" s="21"/>
      <c r="GB7" s="21"/>
      <c r="GC7" s="21"/>
      <c r="GD7" s="21"/>
      <c r="GE7" s="21"/>
      <c r="GF7" s="21"/>
      <c r="GG7" s="21"/>
      <c r="GH7" s="21"/>
      <c r="GI7" s="21"/>
      <c r="GJ7" s="21"/>
      <c r="GK7" s="21"/>
      <c r="GL7" s="21"/>
      <c r="GM7" s="21"/>
      <c r="GN7" s="21"/>
      <c r="GO7" s="21"/>
      <c r="GP7" s="21"/>
      <c r="GQ7" s="21"/>
      <c r="GR7" s="21"/>
      <c r="GS7" s="21"/>
      <c r="GT7" s="21"/>
      <c r="GU7" s="21"/>
      <c r="GV7" s="21"/>
      <c r="GW7" s="21"/>
      <c r="GX7" s="21"/>
      <c r="GY7" s="21"/>
      <c r="GZ7" s="21"/>
      <c r="HA7" s="21"/>
      <c r="HB7" s="21"/>
      <c r="HC7" s="21"/>
      <c r="HD7" s="21"/>
      <c r="HE7" s="21"/>
      <c r="HF7" s="21"/>
      <c r="HG7" s="21"/>
      <c r="HH7" s="21"/>
      <c r="HI7" s="21"/>
      <c r="HJ7" s="21"/>
      <c r="HK7" s="21"/>
      <c r="HL7" s="21"/>
      <c r="HM7" s="21"/>
      <c r="HN7" s="21"/>
      <c r="HO7" s="21"/>
      <c r="HP7" s="21"/>
      <c r="HQ7" s="21"/>
      <c r="HR7" s="21"/>
      <c r="HS7" s="21"/>
      <c r="HT7" s="21"/>
      <c r="HU7" s="21"/>
      <c r="HV7" s="21"/>
      <c r="HW7" s="21"/>
      <c r="HX7" s="21"/>
      <c r="HY7" s="21"/>
      <c r="HZ7" s="21"/>
      <c r="IA7" s="21"/>
      <c r="IB7" s="21"/>
      <c r="IC7" s="21"/>
      <c r="ID7" s="21"/>
      <c r="IE7" s="21"/>
      <c r="IF7" s="21"/>
      <c r="IG7" s="21"/>
      <c r="IH7" s="21"/>
      <c r="II7" s="21"/>
      <c r="IJ7" s="21"/>
      <c r="IK7" s="21"/>
      <c r="IL7" s="21"/>
      <c r="IM7" s="21"/>
      <c r="IN7" s="21"/>
      <c r="IO7" s="21"/>
      <c r="IP7" s="21"/>
      <c r="IQ7" s="21"/>
      <c r="IR7" s="21"/>
      <c r="IS7" s="21"/>
      <c r="IT7" s="21"/>
      <c r="IU7" s="21"/>
      <c r="IV7" s="21"/>
      <c r="IW7" s="21"/>
      <c r="IX7" s="21"/>
      <c r="IY7" s="21"/>
      <c r="IZ7" s="21"/>
      <c r="JA7" s="21"/>
      <c r="JB7" s="21"/>
      <c r="JC7" s="21"/>
      <c r="JD7" s="21"/>
      <c r="JE7" s="21"/>
      <c r="JF7" s="21"/>
      <c r="JG7" s="21"/>
      <c r="JH7" s="21"/>
      <c r="JI7" s="21"/>
      <c r="JJ7" s="21"/>
      <c r="JK7" s="21"/>
      <c r="JL7" s="21"/>
      <c r="JM7" s="21"/>
      <c r="JN7" s="21"/>
      <c r="JO7" s="21"/>
      <c r="JP7" s="21"/>
      <c r="JQ7" s="21"/>
      <c r="JR7" s="21"/>
      <c r="JS7" s="21"/>
      <c r="JT7" s="21"/>
      <c r="JU7" s="21"/>
      <c r="JV7" s="21"/>
      <c r="JW7" s="21"/>
      <c r="JX7" s="21"/>
      <c r="JY7" s="21"/>
      <c r="JZ7" s="21"/>
      <c r="KA7" s="21"/>
      <c r="KB7" s="21"/>
      <c r="KC7" s="21"/>
      <c r="KD7" s="21"/>
      <c r="KE7" s="21"/>
      <c r="KF7" s="21"/>
      <c r="KG7" s="21"/>
      <c r="KH7" s="21"/>
      <c r="KI7" s="21"/>
      <c r="KJ7" s="21"/>
      <c r="KK7" s="21"/>
      <c r="KL7" s="21"/>
      <c r="KM7" s="21"/>
      <c r="KN7" s="21"/>
      <c r="KO7" s="21"/>
      <c r="KP7" s="21"/>
      <c r="KQ7" s="21"/>
      <c r="KR7" s="21"/>
      <c r="KS7" s="21"/>
      <c r="KT7" s="21"/>
      <c r="KU7" s="21"/>
      <c r="KV7" s="21"/>
      <c r="KW7" s="21"/>
      <c r="KX7" s="21"/>
      <c r="KY7" s="21"/>
      <c r="KZ7" s="21"/>
      <c r="LA7" s="21"/>
      <c r="LB7" s="21"/>
      <c r="LC7" s="21"/>
      <c r="LD7" s="21"/>
      <c r="LE7" s="21"/>
      <c r="LF7" s="21"/>
      <c r="LG7" s="21"/>
      <c r="LH7" s="21"/>
      <c r="LI7" s="21"/>
      <c r="LJ7" s="21"/>
      <c r="LK7" s="21"/>
      <c r="LL7" s="21"/>
      <c r="LM7" s="21"/>
      <c r="LN7" s="21"/>
      <c r="LO7" s="21"/>
      <c r="LP7" s="21"/>
      <c r="LQ7" s="21"/>
      <c r="LR7" s="21"/>
      <c r="LS7" s="21"/>
      <c r="LT7" s="21"/>
      <c r="LU7" s="21"/>
      <c r="LV7" s="21"/>
      <c r="LW7" s="21"/>
      <c r="LX7" s="21"/>
      <c r="LY7" s="21"/>
      <c r="LZ7" s="21"/>
      <c r="MA7" s="21"/>
      <c r="MB7" s="21"/>
      <c r="MC7" s="21"/>
      <c r="MD7" s="21"/>
      <c r="ME7" s="21"/>
      <c r="MF7" s="21"/>
      <c r="MG7" s="21"/>
      <c r="MH7" s="21"/>
      <c r="MI7" s="21"/>
      <c r="MJ7" s="21"/>
      <c r="MK7" s="21"/>
      <c r="ML7" s="21"/>
      <c r="MM7" s="21"/>
      <c r="MN7" s="21"/>
      <c r="MO7" s="21"/>
      <c r="MP7" s="21"/>
      <c r="MQ7" s="21"/>
      <c r="MR7" s="21"/>
      <c r="MS7" s="21"/>
      <c r="MT7" s="21"/>
      <c r="MU7" s="21"/>
      <c r="MV7" s="21"/>
      <c r="MW7" s="21"/>
      <c r="MX7" s="21"/>
      <c r="MY7" s="21"/>
      <c r="MZ7" s="21"/>
      <c r="NA7" s="21"/>
      <c r="NB7" s="21"/>
      <c r="NC7" s="21"/>
      <c r="ND7" s="21"/>
      <c r="NE7" s="21"/>
      <c r="NF7" s="21"/>
      <c r="NG7" s="21"/>
      <c r="NH7" s="21"/>
      <c r="NI7" s="21"/>
      <c r="NJ7" s="21"/>
      <c r="NK7" s="21"/>
      <c r="NL7" s="21"/>
      <c r="NM7" s="21"/>
      <c r="NN7" s="21"/>
      <c r="NO7" s="21"/>
      <c r="NP7" s="21"/>
      <c r="NQ7" s="21"/>
      <c r="NR7" s="21"/>
      <c r="NS7" s="21"/>
      <c r="NT7" s="21"/>
      <c r="NU7" s="21"/>
      <c r="NV7" s="21"/>
      <c r="NW7" s="21"/>
      <c r="NX7" s="21"/>
      <c r="NY7" s="21"/>
      <c r="NZ7" s="21"/>
      <c r="OA7" s="21"/>
      <c r="OB7" s="21"/>
      <c r="OC7" s="21"/>
      <c r="OD7" s="21"/>
      <c r="OE7" s="21"/>
      <c r="OF7" s="21"/>
      <c r="OG7" s="21"/>
      <c r="OH7" s="21"/>
      <c r="OI7" s="21"/>
      <c r="OJ7" s="21"/>
      <c r="OK7" s="21"/>
      <c r="OL7" s="21"/>
      <c r="OM7" s="21"/>
      <c r="ON7" s="21"/>
      <c r="OO7" s="21"/>
      <c r="OP7" s="21"/>
      <c r="OQ7" s="21"/>
      <c r="OR7" s="21"/>
      <c r="OS7" s="21"/>
      <c r="OT7" s="21"/>
      <c r="OU7" s="21"/>
      <c r="OV7" s="21"/>
      <c r="OW7" s="21"/>
      <c r="OX7" s="21"/>
      <c r="OY7" s="21"/>
      <c r="OZ7" s="21"/>
      <c r="PA7" s="21"/>
      <c r="PB7" s="21"/>
      <c r="PC7" s="21"/>
      <c r="PD7" s="21"/>
      <c r="PE7" s="21"/>
      <c r="PF7" s="21"/>
      <c r="PG7" s="21"/>
      <c r="PH7" s="21"/>
      <c r="PI7" s="21"/>
      <c r="PJ7" s="21"/>
      <c r="PK7" s="21"/>
      <c r="PL7" s="21"/>
      <c r="PM7" s="21"/>
    </row>
    <row r="8" spans="1:429" ht="26" customHeight="1">
      <c r="A8" s="468"/>
      <c r="B8" s="469"/>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c r="AR8" s="21"/>
      <c r="AS8" s="21"/>
      <c r="AT8" s="21"/>
      <c r="AU8" s="21"/>
      <c r="AV8" s="21"/>
      <c r="AW8" s="21"/>
      <c r="AX8" s="21"/>
      <c r="AY8" s="21"/>
      <c r="AZ8" s="21"/>
      <c r="BA8" s="21"/>
      <c r="BB8" s="21"/>
      <c r="BC8" s="21"/>
      <c r="BD8" s="21"/>
      <c r="BE8" s="21"/>
      <c r="BF8" s="21"/>
      <c r="BG8" s="21"/>
      <c r="BH8" s="21"/>
      <c r="BI8" s="21"/>
      <c r="BJ8" s="21"/>
      <c r="BK8" s="21"/>
      <c r="BL8" s="21"/>
      <c r="BM8" s="21"/>
      <c r="BN8" s="21"/>
      <c r="BO8" s="21"/>
      <c r="BP8" s="21"/>
      <c r="BQ8" s="21"/>
      <c r="BR8" s="21"/>
      <c r="BS8" s="21"/>
      <c r="BT8" s="21"/>
      <c r="BU8" s="21"/>
      <c r="BV8" s="21"/>
      <c r="BW8" s="21"/>
      <c r="BX8" s="21"/>
      <c r="BY8" s="21"/>
      <c r="BZ8" s="21"/>
      <c r="CA8" s="21"/>
      <c r="CB8" s="21"/>
      <c r="CC8" s="21"/>
      <c r="CD8" s="21"/>
      <c r="CE8" s="21"/>
      <c r="CF8" s="21"/>
      <c r="CG8" s="21"/>
      <c r="CH8" s="21"/>
      <c r="CI8" s="21"/>
      <c r="CJ8" s="21"/>
      <c r="CK8" s="21"/>
      <c r="CL8" s="21"/>
      <c r="CM8" s="21"/>
      <c r="CN8" s="21"/>
      <c r="CO8" s="21"/>
      <c r="CP8" s="21"/>
      <c r="CQ8" s="21"/>
      <c r="CR8" s="21"/>
      <c r="CS8" s="21"/>
      <c r="CT8" s="21"/>
      <c r="CU8" s="21"/>
      <c r="CV8" s="21"/>
      <c r="CW8" s="21"/>
      <c r="CX8" s="21"/>
      <c r="CY8" s="21"/>
      <c r="CZ8" s="21"/>
      <c r="DA8" s="21"/>
      <c r="DB8" s="21"/>
      <c r="DC8" s="21"/>
      <c r="DD8" s="21"/>
      <c r="DE8" s="21"/>
      <c r="DF8" s="21"/>
      <c r="DG8" s="21"/>
      <c r="DH8" s="21"/>
      <c r="DI8" s="21"/>
      <c r="DJ8" s="21"/>
      <c r="DK8" s="21"/>
      <c r="DL8" s="21"/>
      <c r="DM8" s="21"/>
      <c r="DN8" s="21"/>
      <c r="DO8" s="21"/>
      <c r="DP8" s="21"/>
      <c r="DQ8" s="21"/>
      <c r="DR8" s="21"/>
      <c r="DS8" s="21"/>
      <c r="DT8" s="21"/>
      <c r="DU8" s="21"/>
      <c r="DV8" s="21"/>
      <c r="DW8" s="21"/>
      <c r="DX8" s="21"/>
      <c r="DY8" s="21"/>
      <c r="DZ8" s="21"/>
      <c r="EA8" s="21"/>
      <c r="EB8" s="21"/>
      <c r="EC8" s="21"/>
      <c r="ED8" s="21"/>
      <c r="EE8" s="21"/>
      <c r="EF8" s="21"/>
      <c r="EG8" s="21"/>
      <c r="EH8" s="21"/>
      <c r="EI8" s="21"/>
      <c r="EJ8" s="21"/>
      <c r="EK8" s="21"/>
      <c r="EL8" s="21"/>
      <c r="EM8" s="21"/>
      <c r="EN8" s="21"/>
      <c r="EO8" s="21"/>
      <c r="EP8" s="21"/>
      <c r="EQ8" s="21"/>
      <c r="ER8" s="21"/>
      <c r="ES8" s="21"/>
      <c r="ET8" s="21"/>
      <c r="EU8" s="21"/>
      <c r="EV8" s="21"/>
      <c r="EW8" s="21"/>
      <c r="EX8" s="21"/>
      <c r="EY8" s="21"/>
      <c r="EZ8" s="21"/>
      <c r="FA8" s="21"/>
      <c r="FB8" s="21"/>
      <c r="FC8" s="21"/>
      <c r="FD8" s="21"/>
      <c r="FE8" s="21"/>
      <c r="FF8" s="21"/>
      <c r="FG8" s="21"/>
      <c r="FH8" s="21"/>
      <c r="FI8" s="21"/>
      <c r="FJ8" s="21"/>
      <c r="FK8" s="21"/>
      <c r="FL8" s="21"/>
      <c r="FM8" s="21"/>
      <c r="FN8" s="21"/>
      <c r="FO8" s="21"/>
      <c r="FP8" s="21"/>
      <c r="FQ8" s="21"/>
      <c r="FR8" s="21"/>
      <c r="FS8" s="21"/>
      <c r="FT8" s="21"/>
      <c r="FU8" s="21"/>
      <c r="FV8" s="21"/>
      <c r="FW8" s="21"/>
      <c r="FX8" s="21"/>
      <c r="FY8" s="21"/>
      <c r="FZ8" s="21"/>
      <c r="GA8" s="21"/>
      <c r="GB8" s="21"/>
      <c r="GC8" s="21"/>
      <c r="GD8" s="21"/>
      <c r="GE8" s="21"/>
      <c r="GF8" s="21"/>
      <c r="GG8" s="21"/>
      <c r="GH8" s="21"/>
      <c r="GI8" s="21"/>
      <c r="GJ8" s="21"/>
      <c r="GK8" s="21"/>
      <c r="GL8" s="21"/>
      <c r="GM8" s="21"/>
      <c r="GN8" s="21"/>
      <c r="GO8" s="21"/>
      <c r="GP8" s="21"/>
      <c r="GQ8" s="21"/>
      <c r="GR8" s="21"/>
      <c r="GS8" s="21"/>
      <c r="GT8" s="21"/>
      <c r="GU8" s="21"/>
      <c r="GV8" s="21"/>
      <c r="GW8" s="21"/>
      <c r="GX8" s="21"/>
      <c r="GY8" s="21"/>
      <c r="GZ8" s="21"/>
      <c r="HA8" s="21"/>
      <c r="HB8" s="21"/>
      <c r="HC8" s="21"/>
      <c r="HD8" s="21"/>
      <c r="HE8" s="21"/>
      <c r="HF8" s="21"/>
      <c r="HG8" s="21"/>
      <c r="HH8" s="21"/>
      <c r="HI8" s="21"/>
      <c r="HJ8" s="21"/>
      <c r="HK8" s="21"/>
      <c r="HL8" s="21"/>
      <c r="HM8" s="21"/>
      <c r="HN8" s="21"/>
      <c r="HO8" s="21"/>
      <c r="HP8" s="21"/>
      <c r="HQ8" s="21"/>
      <c r="HR8" s="21"/>
      <c r="HS8" s="21"/>
      <c r="HT8" s="21"/>
      <c r="HU8" s="21"/>
      <c r="HV8" s="21"/>
      <c r="HW8" s="21"/>
      <c r="HX8" s="21"/>
      <c r="HY8" s="21"/>
      <c r="HZ8" s="21"/>
      <c r="IA8" s="21"/>
      <c r="IB8" s="21"/>
      <c r="IC8" s="21"/>
      <c r="ID8" s="21"/>
      <c r="IE8" s="21"/>
      <c r="IF8" s="21"/>
      <c r="IG8" s="21"/>
      <c r="IH8" s="21"/>
      <c r="II8" s="21"/>
      <c r="IJ8" s="21"/>
      <c r="IK8" s="21"/>
      <c r="IL8" s="21"/>
      <c r="IM8" s="21"/>
      <c r="IN8" s="21"/>
      <c r="IO8" s="21"/>
      <c r="IP8" s="21"/>
      <c r="IQ8" s="21"/>
      <c r="IR8" s="21"/>
      <c r="IS8" s="21"/>
      <c r="IT8" s="21"/>
      <c r="IU8" s="21"/>
      <c r="IV8" s="21"/>
      <c r="IW8" s="21"/>
      <c r="IX8" s="21"/>
      <c r="IY8" s="21"/>
      <c r="IZ8" s="21"/>
      <c r="JA8" s="21"/>
      <c r="JB8" s="21"/>
      <c r="JC8" s="21"/>
      <c r="JD8" s="21"/>
      <c r="JE8" s="21"/>
      <c r="JF8" s="21"/>
      <c r="JG8" s="21"/>
      <c r="JH8" s="21"/>
      <c r="JI8" s="21"/>
      <c r="JJ8" s="21"/>
      <c r="JK8" s="21"/>
      <c r="JL8" s="21"/>
      <c r="JM8" s="21"/>
      <c r="JN8" s="21"/>
      <c r="JO8" s="21"/>
      <c r="JP8" s="21"/>
      <c r="JQ8" s="21"/>
      <c r="JR8" s="21"/>
      <c r="JS8" s="21"/>
      <c r="JT8" s="21"/>
      <c r="JU8" s="21"/>
      <c r="JV8" s="21"/>
      <c r="JW8" s="21"/>
      <c r="JX8" s="21"/>
      <c r="JY8" s="21"/>
      <c r="JZ8" s="21"/>
      <c r="KA8" s="21"/>
      <c r="KB8" s="21"/>
      <c r="KC8" s="21"/>
      <c r="KD8" s="21"/>
      <c r="KE8" s="21"/>
      <c r="KF8" s="21"/>
      <c r="KG8" s="21"/>
      <c r="KH8" s="21"/>
      <c r="KI8" s="21"/>
      <c r="KJ8" s="21"/>
      <c r="KK8" s="21"/>
      <c r="KL8" s="21"/>
      <c r="KM8" s="21"/>
      <c r="KN8" s="21"/>
      <c r="KO8" s="21"/>
      <c r="KP8" s="21"/>
      <c r="KQ8" s="21"/>
      <c r="KR8" s="21"/>
      <c r="KS8" s="21"/>
      <c r="KT8" s="21"/>
      <c r="KU8" s="21"/>
      <c r="KV8" s="21"/>
      <c r="KW8" s="21"/>
      <c r="KX8" s="21"/>
      <c r="KY8" s="21"/>
      <c r="KZ8" s="21"/>
      <c r="LA8" s="21"/>
      <c r="LB8" s="21"/>
      <c r="LC8" s="21"/>
      <c r="LD8" s="21"/>
      <c r="LE8" s="21"/>
      <c r="LF8" s="21"/>
      <c r="LG8" s="21"/>
      <c r="LH8" s="21"/>
      <c r="LI8" s="21"/>
      <c r="LJ8" s="21"/>
      <c r="LK8" s="21"/>
      <c r="LL8" s="21"/>
      <c r="LM8" s="21"/>
      <c r="LN8" s="21"/>
      <c r="LO8" s="21"/>
      <c r="LP8" s="21"/>
      <c r="LQ8" s="21"/>
      <c r="LR8" s="21"/>
      <c r="LS8" s="21"/>
      <c r="LT8" s="21"/>
      <c r="LU8" s="21"/>
      <c r="LV8" s="21"/>
      <c r="LW8" s="21"/>
      <c r="LX8" s="21"/>
      <c r="LY8" s="21"/>
      <c r="LZ8" s="21"/>
      <c r="MA8" s="21"/>
      <c r="MB8" s="21"/>
      <c r="MC8" s="21"/>
      <c r="MD8" s="21"/>
      <c r="ME8" s="21"/>
      <c r="MF8" s="21"/>
      <c r="MG8" s="21"/>
      <c r="MH8" s="21"/>
      <c r="MI8" s="21"/>
      <c r="MJ8" s="21"/>
      <c r="MK8" s="21"/>
      <c r="ML8" s="21"/>
      <c r="MM8" s="21"/>
      <c r="MN8" s="21"/>
      <c r="MO8" s="21"/>
      <c r="MP8" s="21"/>
      <c r="MQ8" s="21"/>
      <c r="MR8" s="21"/>
      <c r="MS8" s="21"/>
      <c r="MT8" s="21"/>
      <c r="MU8" s="21"/>
      <c r="MV8" s="21"/>
      <c r="MW8" s="21"/>
      <c r="MX8" s="21"/>
      <c r="MY8" s="21"/>
      <c r="MZ8" s="21"/>
      <c r="NA8" s="21"/>
      <c r="NB8" s="21"/>
      <c r="NC8" s="21"/>
      <c r="ND8" s="21"/>
      <c r="NE8" s="21"/>
      <c r="NF8" s="21"/>
      <c r="NG8" s="21"/>
      <c r="NH8" s="21"/>
      <c r="NI8" s="21"/>
      <c r="NJ8" s="21"/>
      <c r="NK8" s="21"/>
      <c r="NL8" s="21"/>
      <c r="NM8" s="21"/>
      <c r="NN8" s="21"/>
      <c r="NO8" s="21"/>
      <c r="NP8" s="21"/>
      <c r="NQ8" s="21"/>
      <c r="NR8" s="21"/>
      <c r="NS8" s="21"/>
      <c r="NT8" s="21"/>
      <c r="NU8" s="21"/>
      <c r="NV8" s="21"/>
      <c r="NW8" s="21"/>
      <c r="NX8" s="21"/>
      <c r="NY8" s="21"/>
      <c r="NZ8" s="21"/>
      <c r="OA8" s="21"/>
      <c r="OB8" s="21"/>
      <c r="OC8" s="21"/>
      <c r="OD8" s="21"/>
      <c r="OE8" s="21"/>
      <c r="OF8" s="21"/>
      <c r="OG8" s="21"/>
      <c r="OH8" s="21"/>
      <c r="OI8" s="21"/>
      <c r="OJ8" s="21"/>
      <c r="OK8" s="21"/>
      <c r="OL8" s="21"/>
      <c r="OM8" s="21"/>
      <c r="ON8" s="21"/>
      <c r="OO8" s="21"/>
      <c r="OP8" s="21"/>
      <c r="OQ8" s="21"/>
      <c r="OR8" s="21"/>
      <c r="OS8" s="21"/>
      <c r="OT8" s="21"/>
      <c r="OU8" s="21"/>
      <c r="OV8" s="21"/>
      <c r="OW8" s="21"/>
      <c r="OX8" s="21"/>
      <c r="OY8" s="21"/>
      <c r="OZ8" s="21"/>
      <c r="PA8" s="21"/>
      <c r="PB8" s="21"/>
      <c r="PC8" s="21"/>
      <c r="PD8" s="21"/>
      <c r="PE8" s="21"/>
      <c r="PF8" s="21"/>
      <c r="PG8" s="21"/>
      <c r="PH8" s="21"/>
      <c r="PI8" s="21"/>
      <c r="PJ8" s="21"/>
      <c r="PK8" s="21"/>
      <c r="PL8" s="21"/>
      <c r="PM8" s="21"/>
    </row>
    <row r="9" spans="1:429" ht="27">
      <c r="A9" s="468"/>
      <c r="B9" s="469"/>
      <c r="C9" s="21"/>
      <c r="D9" s="21"/>
      <c r="E9" s="21"/>
      <c r="F9" s="21"/>
      <c r="G9" s="21"/>
      <c r="H9" s="21"/>
      <c r="I9" s="21"/>
      <c r="J9" s="21"/>
      <c r="K9" s="21"/>
      <c r="L9" s="21"/>
      <c r="M9" s="21"/>
      <c r="N9" s="21"/>
      <c r="O9" s="21"/>
      <c r="P9" s="21"/>
      <c r="Q9" s="21"/>
      <c r="R9" s="21"/>
      <c r="S9" s="21"/>
      <c r="T9" s="21"/>
      <c r="U9" s="21"/>
      <c r="V9" s="21"/>
      <c r="W9" s="21"/>
      <c r="X9" s="21"/>
      <c r="Y9" s="21"/>
      <c r="Z9" s="21"/>
      <c r="AA9" s="21"/>
      <c r="AB9" s="21"/>
      <c r="AC9" s="21"/>
      <c r="AD9" s="21"/>
      <c r="AE9" s="21"/>
      <c r="AF9" s="21"/>
      <c r="AG9" s="21"/>
      <c r="AH9" s="21"/>
      <c r="AI9" s="21"/>
      <c r="AJ9" s="21"/>
      <c r="AK9" s="21"/>
      <c r="AL9" s="21"/>
      <c r="AM9" s="21"/>
      <c r="AN9" s="21"/>
      <c r="AO9" s="21"/>
      <c r="AP9" s="21"/>
      <c r="AQ9" s="21"/>
      <c r="AR9" s="21"/>
      <c r="AS9" s="21"/>
      <c r="AT9" s="21"/>
      <c r="AU9" s="21"/>
      <c r="AV9" s="21"/>
      <c r="AW9" s="21"/>
      <c r="AX9" s="21"/>
      <c r="AY9" s="21"/>
      <c r="AZ9" s="21"/>
      <c r="BA9" s="21"/>
      <c r="BB9" s="21"/>
      <c r="BC9" s="21"/>
      <c r="BD9" s="21"/>
      <c r="BE9" s="21"/>
      <c r="BF9" s="21"/>
      <c r="BG9" s="21"/>
      <c r="BH9" s="21"/>
      <c r="BI9" s="21"/>
      <c r="BJ9" s="21"/>
      <c r="BK9" s="21"/>
      <c r="BL9" s="21"/>
      <c r="BM9" s="21"/>
      <c r="BN9" s="21"/>
      <c r="BO9" s="21"/>
      <c r="BP9" s="21"/>
      <c r="BQ9" s="21"/>
      <c r="BR9" s="21"/>
      <c r="BS9" s="21"/>
      <c r="BT9" s="21"/>
      <c r="BU9" s="21"/>
      <c r="BV9" s="21"/>
      <c r="BW9" s="21"/>
      <c r="BX9" s="21"/>
      <c r="BY9" s="21"/>
      <c r="BZ9" s="21"/>
      <c r="CA9" s="21"/>
      <c r="CB9" s="21"/>
      <c r="CC9" s="21"/>
      <c r="CD9" s="21"/>
      <c r="CE9" s="21"/>
      <c r="CF9" s="21"/>
      <c r="CG9" s="21"/>
      <c r="CH9" s="21"/>
      <c r="CI9" s="21"/>
      <c r="CJ9" s="21"/>
      <c r="CK9" s="21"/>
      <c r="CL9" s="21"/>
      <c r="CM9" s="21"/>
      <c r="CN9" s="21"/>
      <c r="CO9" s="21"/>
      <c r="CP9" s="21"/>
      <c r="CQ9" s="21"/>
      <c r="CR9" s="21"/>
      <c r="CS9" s="21"/>
      <c r="CT9" s="21"/>
      <c r="CU9" s="21"/>
      <c r="CV9" s="21"/>
      <c r="CW9" s="21"/>
      <c r="CX9" s="21"/>
      <c r="CY9" s="21"/>
      <c r="CZ9" s="21"/>
      <c r="DA9" s="21"/>
      <c r="DB9" s="21"/>
      <c r="DC9" s="21"/>
      <c r="DD9" s="21"/>
      <c r="DE9" s="21"/>
      <c r="DF9" s="21"/>
      <c r="DG9" s="21"/>
      <c r="DH9" s="21"/>
      <c r="DI9" s="21"/>
      <c r="DJ9" s="21"/>
      <c r="DK9" s="21"/>
      <c r="DL9" s="21"/>
      <c r="DM9" s="21"/>
      <c r="DN9" s="21"/>
      <c r="DO9" s="21"/>
      <c r="DP9" s="21"/>
      <c r="DQ9" s="21"/>
      <c r="DR9" s="21"/>
      <c r="DS9" s="21"/>
      <c r="DT9" s="21"/>
      <c r="DU9" s="21"/>
      <c r="DV9" s="21"/>
      <c r="DW9" s="21"/>
      <c r="DX9" s="21"/>
      <c r="DY9" s="21"/>
      <c r="DZ9" s="21"/>
      <c r="EA9" s="21"/>
      <c r="EB9" s="21"/>
      <c r="EC9" s="21"/>
      <c r="ED9" s="21"/>
      <c r="EE9" s="21"/>
      <c r="EF9" s="21"/>
      <c r="EG9" s="21"/>
      <c r="EH9" s="21"/>
      <c r="EI9" s="21"/>
      <c r="EJ9" s="21"/>
      <c r="EK9" s="21"/>
      <c r="EL9" s="21"/>
      <c r="EM9" s="21"/>
      <c r="EN9" s="21"/>
      <c r="EO9" s="21"/>
      <c r="EP9" s="21"/>
      <c r="EQ9" s="21"/>
      <c r="ER9" s="21"/>
      <c r="ES9" s="21"/>
      <c r="ET9" s="21"/>
      <c r="EU9" s="21"/>
      <c r="EV9" s="21"/>
      <c r="EW9" s="21"/>
      <c r="EX9" s="21"/>
      <c r="EY9" s="21"/>
      <c r="EZ9" s="21"/>
      <c r="FA9" s="21"/>
      <c r="FB9" s="21"/>
      <c r="FC9" s="21"/>
      <c r="FD9" s="21"/>
      <c r="FE9" s="21"/>
      <c r="FF9" s="21"/>
      <c r="FG9" s="21"/>
      <c r="FH9" s="21"/>
      <c r="FI9" s="21"/>
      <c r="FJ9" s="21"/>
      <c r="FK9" s="21"/>
      <c r="FL9" s="21"/>
      <c r="FM9" s="21"/>
      <c r="FN9" s="21"/>
      <c r="FO9" s="21"/>
      <c r="FP9" s="21"/>
      <c r="FQ9" s="21"/>
      <c r="FR9" s="21"/>
      <c r="FS9" s="21"/>
      <c r="FT9" s="21"/>
      <c r="FU9" s="21"/>
      <c r="FV9" s="21"/>
      <c r="FW9" s="21"/>
      <c r="FX9" s="21"/>
      <c r="FY9" s="21"/>
      <c r="FZ9" s="21"/>
      <c r="GA9" s="21"/>
      <c r="GB9" s="21"/>
      <c r="GC9" s="21"/>
      <c r="GD9" s="21"/>
      <c r="GE9" s="21"/>
      <c r="GF9" s="21"/>
      <c r="GG9" s="21"/>
      <c r="GH9" s="21"/>
      <c r="GI9" s="21"/>
      <c r="GJ9" s="21"/>
      <c r="GK9" s="21"/>
      <c r="GL9" s="21"/>
      <c r="GM9" s="21"/>
      <c r="GN9" s="21"/>
      <c r="GO9" s="21"/>
      <c r="GP9" s="21"/>
      <c r="GQ9" s="21"/>
      <c r="GR9" s="21"/>
      <c r="GS9" s="21"/>
      <c r="GT9" s="21"/>
      <c r="GU9" s="21"/>
      <c r="GV9" s="21"/>
      <c r="GW9" s="21"/>
      <c r="GX9" s="21"/>
      <c r="GY9" s="21"/>
      <c r="GZ9" s="21"/>
      <c r="HA9" s="21"/>
      <c r="HB9" s="21"/>
      <c r="HC9" s="21"/>
      <c r="HD9" s="21"/>
      <c r="HE9" s="21"/>
      <c r="HF9" s="21"/>
      <c r="HG9" s="21"/>
      <c r="HH9" s="21"/>
      <c r="HI9" s="21"/>
      <c r="HJ9" s="21"/>
      <c r="HK9" s="21"/>
      <c r="HL9" s="21"/>
      <c r="HM9" s="21"/>
      <c r="HN9" s="21"/>
      <c r="HO9" s="21"/>
      <c r="HP9" s="21"/>
      <c r="HQ9" s="21"/>
      <c r="HR9" s="21"/>
      <c r="HS9" s="21"/>
      <c r="HT9" s="21"/>
      <c r="HU9" s="21"/>
      <c r="HV9" s="21"/>
      <c r="HW9" s="21"/>
      <c r="HX9" s="21"/>
      <c r="HY9" s="21"/>
      <c r="HZ9" s="21"/>
      <c r="IA9" s="21"/>
      <c r="IB9" s="21"/>
      <c r="IC9" s="21"/>
      <c r="ID9" s="21"/>
      <c r="IE9" s="21"/>
      <c r="IF9" s="21"/>
      <c r="IG9" s="21"/>
      <c r="IH9" s="21"/>
      <c r="II9" s="21"/>
      <c r="IJ9" s="21"/>
      <c r="IK9" s="21"/>
      <c r="IL9" s="21"/>
      <c r="IM9" s="21"/>
      <c r="IN9" s="21"/>
      <c r="IO9" s="21"/>
      <c r="IP9" s="21"/>
      <c r="IQ9" s="21"/>
      <c r="IR9" s="21"/>
      <c r="IS9" s="21"/>
      <c r="IT9" s="21"/>
      <c r="IU9" s="21"/>
      <c r="IV9" s="21"/>
      <c r="IW9" s="21"/>
      <c r="IX9" s="21"/>
      <c r="IY9" s="21"/>
      <c r="IZ9" s="21"/>
      <c r="JA9" s="21"/>
      <c r="JB9" s="21"/>
      <c r="JC9" s="21"/>
      <c r="JD9" s="21"/>
      <c r="JE9" s="21"/>
      <c r="JF9" s="21"/>
      <c r="JG9" s="21"/>
      <c r="JH9" s="21"/>
      <c r="JI9" s="21"/>
      <c r="JJ9" s="21"/>
      <c r="JK9" s="21"/>
      <c r="JL9" s="21"/>
      <c r="JM9" s="21"/>
      <c r="JN9" s="21"/>
      <c r="JO9" s="21"/>
      <c r="JP9" s="21"/>
      <c r="JQ9" s="21"/>
      <c r="JR9" s="21"/>
      <c r="JS9" s="21"/>
      <c r="JT9" s="21"/>
      <c r="JU9" s="21"/>
      <c r="JV9" s="21"/>
      <c r="JW9" s="21"/>
      <c r="JX9" s="21"/>
      <c r="JY9" s="21"/>
      <c r="JZ9" s="21"/>
      <c r="KA9" s="21"/>
      <c r="KB9" s="21"/>
      <c r="KC9" s="21"/>
      <c r="KD9" s="21"/>
      <c r="KE9" s="21"/>
      <c r="KF9" s="21"/>
      <c r="KG9" s="21"/>
      <c r="KH9" s="21"/>
      <c r="KI9" s="21"/>
      <c r="KJ9" s="21"/>
      <c r="KK9" s="21"/>
      <c r="KL9" s="21"/>
      <c r="KM9" s="21"/>
      <c r="KN9" s="21"/>
      <c r="KO9" s="21"/>
      <c r="KP9" s="21"/>
      <c r="KQ9" s="21"/>
      <c r="KR9" s="21"/>
      <c r="KS9" s="21"/>
      <c r="KT9" s="21"/>
      <c r="KU9" s="21"/>
      <c r="KV9" s="21"/>
      <c r="KW9" s="21"/>
      <c r="KX9" s="21"/>
      <c r="KY9" s="21"/>
      <c r="KZ9" s="21"/>
      <c r="LA9" s="21"/>
      <c r="LB9" s="21"/>
      <c r="LC9" s="21"/>
      <c r="LD9" s="21"/>
      <c r="LE9" s="21"/>
      <c r="LF9" s="21"/>
      <c r="LG9" s="21"/>
      <c r="LH9" s="21"/>
      <c r="LI9" s="21"/>
      <c r="LJ9" s="21"/>
      <c r="LK9" s="21"/>
      <c r="LL9" s="21"/>
      <c r="LM9" s="21"/>
      <c r="LN9" s="21"/>
      <c r="LO9" s="21"/>
      <c r="LP9" s="21"/>
      <c r="LQ9" s="21"/>
      <c r="LR9" s="21"/>
      <c r="LS9" s="21"/>
      <c r="LT9" s="21"/>
      <c r="LU9" s="21"/>
      <c r="LV9" s="21"/>
      <c r="LW9" s="21"/>
      <c r="LX9" s="21"/>
      <c r="LY9" s="21"/>
      <c r="LZ9" s="21"/>
      <c r="MA9" s="21"/>
      <c r="MB9" s="21"/>
      <c r="MC9" s="21"/>
      <c r="MD9" s="21"/>
      <c r="ME9" s="21"/>
      <c r="MF9" s="21"/>
      <c r="MG9" s="21"/>
      <c r="MH9" s="21"/>
      <c r="MI9" s="21"/>
      <c r="MJ9" s="21"/>
      <c r="MK9" s="21"/>
      <c r="ML9" s="21"/>
      <c r="MM9" s="21"/>
      <c r="MN9" s="21"/>
      <c r="MO9" s="21"/>
      <c r="MP9" s="21"/>
      <c r="MQ9" s="21"/>
      <c r="MR9" s="21"/>
      <c r="MS9" s="21"/>
      <c r="MT9" s="21"/>
      <c r="MU9" s="21"/>
      <c r="MV9" s="21"/>
      <c r="MW9" s="21"/>
      <c r="MX9" s="21"/>
      <c r="MY9" s="21"/>
      <c r="MZ9" s="21"/>
      <c r="NA9" s="21"/>
      <c r="NB9" s="21"/>
      <c r="NC9" s="21"/>
      <c r="ND9" s="21"/>
      <c r="NE9" s="21"/>
      <c r="NF9" s="21"/>
      <c r="NG9" s="21"/>
      <c r="NH9" s="21"/>
      <c r="NI9" s="21"/>
      <c r="NJ9" s="21"/>
      <c r="NK9" s="21"/>
      <c r="NL9" s="21"/>
      <c r="NM9" s="21"/>
      <c r="NN9" s="21"/>
      <c r="NO9" s="21"/>
      <c r="NP9" s="21"/>
      <c r="NQ9" s="21"/>
      <c r="NR9" s="21"/>
      <c r="NS9" s="21"/>
      <c r="NT9" s="21"/>
      <c r="NU9" s="21"/>
      <c r="NV9" s="21"/>
      <c r="NW9" s="21"/>
      <c r="NX9" s="21"/>
      <c r="NY9" s="21"/>
      <c r="NZ9" s="21"/>
      <c r="OA9" s="21"/>
      <c r="OB9" s="21"/>
      <c r="OC9" s="21"/>
      <c r="OD9" s="21"/>
      <c r="OE9" s="21"/>
      <c r="OF9" s="21"/>
      <c r="OG9" s="21"/>
      <c r="OH9" s="21"/>
      <c r="OI9" s="21"/>
      <c r="OJ9" s="21"/>
      <c r="OK9" s="21"/>
      <c r="OL9" s="21"/>
      <c r="OM9" s="21"/>
      <c r="ON9" s="21"/>
      <c r="OO9" s="21"/>
      <c r="OP9" s="21"/>
      <c r="OQ9" s="21"/>
      <c r="OR9" s="21"/>
      <c r="OS9" s="21"/>
      <c r="OT9" s="21"/>
      <c r="OU9" s="21"/>
      <c r="OV9" s="21"/>
      <c r="OW9" s="21"/>
      <c r="OX9" s="21"/>
      <c r="OY9" s="21"/>
      <c r="OZ9" s="21"/>
      <c r="PA9" s="21"/>
      <c r="PB9" s="21"/>
      <c r="PC9" s="21"/>
      <c r="PD9" s="21"/>
      <c r="PE9" s="21"/>
      <c r="PF9" s="21"/>
      <c r="PG9" s="21"/>
      <c r="PH9" s="21"/>
      <c r="PI9" s="21"/>
      <c r="PJ9" s="21"/>
      <c r="PK9" s="21"/>
      <c r="PL9" s="21"/>
      <c r="PM9" s="21"/>
    </row>
    <row r="10" spans="1:429" s="474" customFormat="1" ht="19" customHeight="1">
      <c r="A10" s="6" t="s">
        <v>67</v>
      </c>
      <c r="B10" s="470"/>
      <c r="C10" s="11"/>
      <c r="D10" s="27"/>
      <c r="E10" s="27"/>
      <c r="F10" s="27"/>
      <c r="G10" s="27"/>
      <c r="H10" s="11"/>
      <c r="I10" s="11"/>
      <c r="J10" s="11"/>
      <c r="K10" s="27"/>
      <c r="L10" s="27"/>
      <c r="M10" s="27"/>
      <c r="N10" s="27"/>
      <c r="O10" s="11"/>
      <c r="P10" s="11"/>
      <c r="Q10" s="11"/>
      <c r="R10" s="27"/>
      <c r="S10" s="27"/>
      <c r="T10" s="27"/>
      <c r="U10" s="27"/>
      <c r="V10" s="11"/>
      <c r="W10" s="11"/>
      <c r="X10" s="11"/>
      <c r="Y10" s="27"/>
      <c r="Z10" s="27"/>
      <c r="AA10" s="27"/>
      <c r="AB10" s="27"/>
      <c r="AC10" s="11"/>
      <c r="AD10" s="11"/>
      <c r="AE10" s="11"/>
      <c r="AF10" s="27"/>
      <c r="AG10" s="27"/>
      <c r="AH10" s="27"/>
      <c r="AI10" s="27"/>
      <c r="AJ10" s="11"/>
      <c r="AK10" s="11"/>
      <c r="AL10" s="11"/>
      <c r="AM10" s="27"/>
      <c r="AN10" s="27"/>
      <c r="AO10" s="27"/>
      <c r="AP10" s="27"/>
      <c r="AQ10" s="11"/>
      <c r="AR10" s="11"/>
      <c r="AS10" s="11"/>
      <c r="AT10" s="27"/>
      <c r="AU10" s="27"/>
      <c r="AV10" s="27"/>
      <c r="AW10" s="27"/>
      <c r="AX10" s="11"/>
      <c r="AY10" s="11"/>
      <c r="AZ10" s="11"/>
      <c r="BA10" s="27"/>
      <c r="BB10" s="27"/>
      <c r="BC10" s="27"/>
      <c r="BD10" s="27"/>
      <c r="BE10" s="11"/>
      <c r="BF10" s="11"/>
      <c r="BG10" s="11"/>
      <c r="BH10" s="27"/>
      <c r="BI10" s="27"/>
      <c r="BJ10" s="27"/>
      <c r="BK10" s="27"/>
      <c r="BL10" s="11"/>
      <c r="BM10" s="11"/>
      <c r="BN10" s="11"/>
      <c r="BO10" s="27"/>
      <c r="BP10" s="27"/>
      <c r="BQ10" s="27"/>
      <c r="BR10" s="27"/>
      <c r="BS10" s="11"/>
      <c r="BT10" s="11"/>
      <c r="BU10" s="11"/>
      <c r="BV10" s="27"/>
      <c r="BW10" s="27"/>
      <c r="BX10" s="27"/>
      <c r="BY10" s="27"/>
      <c r="BZ10" s="11"/>
      <c r="CA10" s="11"/>
      <c r="CB10" s="11"/>
      <c r="CC10" s="27"/>
      <c r="CD10" s="27"/>
      <c r="CE10" s="27"/>
      <c r="CF10" s="27"/>
      <c r="CG10" s="11"/>
      <c r="CH10" s="11"/>
      <c r="CI10" s="11"/>
      <c r="CJ10" s="27"/>
      <c r="CK10" s="27"/>
      <c r="CL10" s="27"/>
      <c r="CM10" s="27"/>
      <c r="CN10" s="11"/>
      <c r="CO10" s="11"/>
      <c r="CP10" s="11"/>
      <c r="CQ10" s="27"/>
      <c r="CR10" s="27"/>
      <c r="CS10" s="27"/>
      <c r="CT10" s="27"/>
      <c r="CU10" s="11"/>
      <c r="CV10" s="11"/>
      <c r="CW10" s="11"/>
      <c r="CX10" s="27"/>
      <c r="CY10" s="27"/>
      <c r="CZ10" s="27"/>
      <c r="DA10" s="27"/>
      <c r="DB10" s="11"/>
      <c r="DC10" s="11"/>
      <c r="DD10" s="11"/>
      <c r="DE10" s="27"/>
      <c r="DF10" s="27"/>
      <c r="DG10" s="27"/>
      <c r="DH10" s="27"/>
      <c r="DI10" s="11"/>
      <c r="DJ10" s="11"/>
      <c r="DK10" s="11"/>
      <c r="DL10" s="28" t="s">
        <v>163</v>
      </c>
      <c r="DM10" s="28"/>
      <c r="DN10" s="28"/>
      <c r="DO10" s="28"/>
      <c r="DP10" s="11"/>
      <c r="DQ10" s="11"/>
      <c r="DR10" s="11"/>
      <c r="DS10" s="27"/>
      <c r="DT10" s="27"/>
      <c r="DU10" s="27"/>
      <c r="DV10" s="27"/>
      <c r="DW10" s="11"/>
      <c r="DX10" s="11"/>
      <c r="DY10" s="11"/>
      <c r="DZ10" s="27"/>
      <c r="EA10" s="27"/>
      <c r="EB10" s="27"/>
      <c r="EC10" s="27"/>
      <c r="ED10" s="11"/>
      <c r="EE10" s="11"/>
      <c r="EF10" s="11"/>
      <c r="EG10" s="27"/>
      <c r="EH10" s="27"/>
      <c r="EI10" s="27"/>
      <c r="EJ10" s="27"/>
      <c r="EK10" s="11"/>
      <c r="EL10" s="11"/>
      <c r="EM10" s="11"/>
      <c r="EN10" s="27"/>
      <c r="EO10" s="27"/>
      <c r="EP10" s="27"/>
      <c r="EQ10" s="27"/>
      <c r="ER10" s="11"/>
      <c r="ES10" s="11"/>
      <c r="ET10" s="11"/>
      <c r="EU10" s="27"/>
      <c r="EV10" s="27"/>
      <c r="EW10" s="27"/>
      <c r="EX10" s="27"/>
      <c r="EY10" s="11"/>
      <c r="EZ10" s="11"/>
      <c r="FA10" s="11"/>
      <c r="FB10" s="27"/>
      <c r="FC10" s="27"/>
      <c r="FD10" s="27"/>
      <c r="FE10" s="27"/>
      <c r="FF10" s="11"/>
      <c r="FG10" s="11"/>
      <c r="FH10" s="11"/>
      <c r="FI10" s="27"/>
      <c r="FJ10" s="27"/>
      <c r="FK10" s="27"/>
      <c r="FL10" s="27"/>
      <c r="FM10" s="11"/>
      <c r="FN10" s="11"/>
      <c r="FO10" s="11"/>
      <c r="FP10" s="27"/>
      <c r="FQ10" s="27"/>
      <c r="FR10" s="27"/>
      <c r="FS10" s="27"/>
      <c r="FT10" s="11"/>
      <c r="FU10" s="11"/>
      <c r="FV10" s="11"/>
      <c r="FW10" s="27"/>
      <c r="FX10" s="27"/>
      <c r="FY10" s="27"/>
      <c r="FZ10" s="27"/>
      <c r="GA10" s="11"/>
      <c r="GB10" s="11"/>
      <c r="GC10" s="11"/>
      <c r="GD10" s="27"/>
      <c r="GE10" s="27"/>
      <c r="GF10" s="27"/>
      <c r="GG10" s="27"/>
      <c r="GH10" s="11"/>
      <c r="GI10" s="11"/>
      <c r="GJ10" s="11"/>
      <c r="GK10" s="27"/>
      <c r="GL10" s="27"/>
      <c r="GM10" s="27"/>
      <c r="GN10" s="27"/>
      <c r="GO10" s="11"/>
      <c r="GP10" s="11"/>
      <c r="GQ10" s="11"/>
      <c r="GR10" s="27"/>
      <c r="GS10" s="27"/>
      <c r="GT10" s="27"/>
      <c r="GU10" s="27"/>
      <c r="GV10" s="11"/>
      <c r="GW10" s="11"/>
      <c r="GX10" s="11"/>
      <c r="GY10" s="27"/>
      <c r="GZ10" s="27"/>
      <c r="HA10" s="27"/>
      <c r="HB10" s="27"/>
      <c r="HC10" s="11"/>
      <c r="HD10" s="11"/>
      <c r="HE10" s="11"/>
      <c r="HF10" s="27"/>
      <c r="HG10" s="27"/>
      <c r="HH10" s="27"/>
      <c r="HI10" s="27"/>
      <c r="HJ10" s="11"/>
      <c r="HK10" s="11"/>
      <c r="HL10" s="11"/>
      <c r="HM10" s="27"/>
      <c r="HN10" s="27"/>
      <c r="HO10" s="27"/>
      <c r="HP10" s="27"/>
      <c r="HQ10" s="11"/>
      <c r="HR10" s="11"/>
      <c r="HS10" s="11"/>
      <c r="HT10" s="27"/>
      <c r="HU10" s="27"/>
      <c r="HV10" s="27"/>
      <c r="HW10" s="27"/>
      <c r="HX10" s="11"/>
      <c r="HY10" s="11"/>
      <c r="HZ10" s="11"/>
      <c r="IA10" s="27"/>
      <c r="IB10" s="27"/>
      <c r="IC10" s="27"/>
      <c r="ID10" s="27"/>
      <c r="IE10" s="11"/>
      <c r="IF10" s="11"/>
      <c r="IG10" s="11"/>
      <c r="IH10" s="27"/>
      <c r="II10" s="27"/>
      <c r="IJ10" s="27"/>
      <c r="IK10" s="27"/>
      <c r="IL10" s="11"/>
      <c r="IM10" s="11"/>
      <c r="IN10" s="11"/>
      <c r="IO10" s="27"/>
      <c r="IP10" s="27"/>
      <c r="IQ10" s="27"/>
      <c r="IR10" s="27"/>
      <c r="IS10" s="11"/>
      <c r="IT10" s="11"/>
      <c r="IU10" s="11"/>
      <c r="IV10" s="27"/>
      <c r="IW10" s="27"/>
      <c r="IX10" s="27"/>
      <c r="IY10" s="27"/>
      <c r="IZ10" s="11"/>
      <c r="JA10" s="11"/>
      <c r="JB10" s="11"/>
      <c r="JC10" s="27"/>
      <c r="JD10" s="27"/>
      <c r="JE10" s="27"/>
      <c r="JF10" s="27"/>
      <c r="JG10" s="11"/>
      <c r="JH10" s="11"/>
      <c r="JI10" s="11"/>
      <c r="JJ10" s="27"/>
      <c r="JK10" s="27"/>
      <c r="JL10" s="27"/>
      <c r="JM10" s="27"/>
      <c r="JN10" s="11"/>
      <c r="JO10" s="11"/>
      <c r="JP10" s="11"/>
      <c r="JQ10" s="27"/>
      <c r="JR10" s="27"/>
      <c r="JS10" s="27"/>
      <c r="JT10" s="27"/>
      <c r="JU10" s="11"/>
      <c r="JV10" s="11"/>
      <c r="JW10" s="11"/>
      <c r="JX10" s="27"/>
      <c r="JY10" s="27"/>
      <c r="JZ10" s="27"/>
      <c r="KA10" s="27"/>
      <c r="KB10" s="11"/>
      <c r="KC10" s="11"/>
      <c r="KD10" s="11"/>
      <c r="KE10" s="27"/>
      <c r="KF10" s="27"/>
      <c r="KG10" s="27"/>
      <c r="KH10" s="27"/>
      <c r="KI10" s="11"/>
      <c r="KJ10" s="11"/>
      <c r="KK10" s="11"/>
      <c r="KL10" s="27"/>
      <c r="KM10" s="27"/>
      <c r="KN10" s="27"/>
      <c r="KO10" s="27"/>
      <c r="KP10" s="11"/>
      <c r="KQ10" s="11"/>
      <c r="KR10" s="11"/>
      <c r="KS10" s="27"/>
      <c r="KT10" s="27"/>
      <c r="KU10" s="27"/>
      <c r="KV10" s="27"/>
      <c r="KW10" s="11"/>
      <c r="KX10" s="11"/>
      <c r="KY10" s="11"/>
      <c r="KZ10" s="27"/>
      <c r="LA10" s="27"/>
      <c r="LB10" s="27"/>
      <c r="LC10" s="27"/>
      <c r="LD10" s="11"/>
      <c r="LE10" s="11"/>
      <c r="LF10" s="11"/>
      <c r="LG10" s="27"/>
      <c r="LH10" s="27"/>
      <c r="LI10" s="27"/>
      <c r="LJ10" s="27"/>
      <c r="LK10" s="11"/>
      <c r="LL10" s="11"/>
      <c r="LM10" s="11"/>
      <c r="LN10" s="27"/>
      <c r="LO10" s="27"/>
      <c r="LP10" s="27"/>
      <c r="LQ10" s="27"/>
      <c r="LR10" s="11"/>
      <c r="LS10" s="11"/>
      <c r="LT10" s="11"/>
      <c r="LU10" s="27"/>
      <c r="LV10" s="27"/>
      <c r="LW10" s="27"/>
      <c r="LX10" s="27"/>
      <c r="LY10" s="11"/>
      <c r="LZ10" s="11"/>
      <c r="MA10" s="11"/>
      <c r="MB10" s="27"/>
      <c r="MC10" s="27"/>
      <c r="MD10" s="27"/>
      <c r="ME10" s="27"/>
      <c r="MF10" s="11"/>
      <c r="MG10" s="11"/>
      <c r="MH10" s="11"/>
      <c r="MI10" s="27"/>
      <c r="MJ10" s="27"/>
      <c r="MK10" s="27"/>
      <c r="ML10" s="27"/>
      <c r="MM10" s="11"/>
      <c r="MN10" s="11"/>
      <c r="MO10" s="11"/>
      <c r="MP10" s="27"/>
      <c r="MQ10" s="27"/>
      <c r="MR10" s="27"/>
      <c r="MS10" s="27"/>
      <c r="MT10" s="11"/>
      <c r="MU10" s="11"/>
      <c r="MV10" s="11"/>
      <c r="MW10" s="27"/>
      <c r="MX10" s="27"/>
      <c r="MY10" s="27"/>
      <c r="MZ10" s="27"/>
      <c r="NA10" s="11"/>
      <c r="NB10" s="11"/>
      <c r="NC10" s="11"/>
      <c r="ND10" s="27"/>
      <c r="NE10" s="27"/>
      <c r="NF10" s="27"/>
      <c r="NG10" s="27"/>
      <c r="NH10" s="11"/>
      <c r="NI10" s="11"/>
      <c r="NJ10" s="11"/>
      <c r="NK10" s="27"/>
      <c r="NL10" s="27"/>
      <c r="NM10" s="27"/>
      <c r="NN10" s="27"/>
      <c r="NO10" s="11"/>
      <c r="NP10" s="11"/>
      <c r="NQ10" s="11"/>
      <c r="NR10" s="27"/>
      <c r="NS10" s="27"/>
      <c r="NT10" s="27"/>
      <c r="NU10" s="27"/>
      <c r="NV10" s="11"/>
      <c r="NW10" s="11"/>
      <c r="NX10" s="11"/>
      <c r="NY10" s="27"/>
      <c r="NZ10" s="27"/>
      <c r="OA10" s="27"/>
      <c r="OB10" s="27"/>
      <c r="OC10" s="11"/>
      <c r="OD10" s="11"/>
      <c r="OE10" s="11"/>
      <c r="OF10" s="27"/>
      <c r="OG10" s="27"/>
      <c r="OH10" s="27"/>
      <c r="OI10" s="27"/>
      <c r="OJ10" s="11"/>
      <c r="OK10" s="11"/>
      <c r="OL10" s="11"/>
      <c r="OM10" s="27"/>
      <c r="ON10" s="27"/>
      <c r="OO10" s="27"/>
      <c r="OP10" s="27"/>
      <c r="OQ10" s="11"/>
      <c r="OR10" s="11"/>
      <c r="OS10" s="11"/>
      <c r="OT10" s="27"/>
      <c r="OU10" s="27"/>
      <c r="OV10" s="27"/>
      <c r="OW10" s="27"/>
      <c r="OX10" s="11"/>
      <c r="OY10" s="11"/>
      <c r="OZ10" s="11"/>
      <c r="PA10" s="27"/>
      <c r="PB10" s="27"/>
      <c r="PC10" s="27"/>
      <c r="PD10" s="27"/>
      <c r="PE10" s="11"/>
      <c r="PF10" s="11"/>
      <c r="PG10" s="11"/>
      <c r="PH10" s="27"/>
      <c r="PI10" s="27"/>
      <c r="PJ10" s="27"/>
      <c r="PK10" s="27"/>
      <c r="PL10" s="11"/>
      <c r="PM10" s="11"/>
    </row>
    <row r="11" spans="1:429" s="1" customFormat="1" ht="26" customHeight="1" outlineLevel="1">
      <c r="B11" s="471"/>
      <c r="C11" s="7"/>
      <c r="D11" s="19"/>
      <c r="E11" s="19"/>
      <c r="F11" s="19"/>
      <c r="G11" s="19"/>
      <c r="I11" s="8"/>
      <c r="J11" s="7"/>
      <c r="K11" s="19"/>
      <c r="L11" s="19"/>
      <c r="M11" s="19"/>
      <c r="N11" s="19"/>
      <c r="P11" s="8"/>
      <c r="Q11" s="7"/>
      <c r="R11" s="19"/>
      <c r="S11" s="19"/>
      <c r="T11" s="19"/>
      <c r="U11" s="19"/>
      <c r="W11" s="8"/>
      <c r="X11" s="7"/>
      <c r="Y11" s="19"/>
      <c r="Z11" s="19"/>
      <c r="AA11" s="19"/>
      <c r="AB11" s="19"/>
      <c r="AD11" s="8"/>
      <c r="AE11" s="7"/>
      <c r="AF11" s="19"/>
      <c r="AG11" s="19"/>
      <c r="AH11" s="19"/>
      <c r="AI11" s="19"/>
      <c r="AK11" s="8"/>
      <c r="AL11" s="7"/>
      <c r="AM11" s="19"/>
      <c r="AN11" s="19"/>
      <c r="AO11" s="19"/>
      <c r="AP11" s="19"/>
      <c r="AR11" s="8"/>
      <c r="AS11" s="7"/>
      <c r="AT11" s="19"/>
      <c r="AU11" s="19"/>
      <c r="AV11" s="19"/>
      <c r="AW11" s="19"/>
      <c r="AY11" s="8"/>
      <c r="AZ11" s="7"/>
      <c r="BA11" s="19"/>
      <c r="BB11" s="19"/>
      <c r="BC11" s="19"/>
      <c r="BD11" s="19"/>
      <c r="BF11" s="8"/>
      <c r="BG11" s="7"/>
      <c r="BH11" s="19"/>
      <c r="BI11" s="19"/>
      <c r="BJ11" s="19"/>
      <c r="BK11" s="19"/>
      <c r="BM11" s="8"/>
      <c r="BN11" s="7"/>
      <c r="BO11" s="19"/>
      <c r="BP11" s="19"/>
      <c r="BQ11" s="19"/>
      <c r="BR11" s="19"/>
      <c r="BT11" s="8"/>
      <c r="BU11" s="7" t="s">
        <v>52</v>
      </c>
      <c r="BV11" s="19" t="s">
        <v>135</v>
      </c>
      <c r="BW11" s="19"/>
      <c r="BX11" s="19"/>
      <c r="BY11" s="19"/>
      <c r="CA11" s="8">
        <v>10</v>
      </c>
      <c r="CB11" s="7"/>
      <c r="CC11" s="19"/>
      <c r="CD11" s="19"/>
      <c r="CE11" s="19"/>
      <c r="CF11" s="19"/>
      <c r="CH11" s="8"/>
      <c r="CI11" s="7"/>
      <c r="CJ11" s="19"/>
      <c r="CK11" s="19"/>
      <c r="CL11" s="19"/>
      <c r="CM11" s="19"/>
      <c r="CO11" s="8"/>
      <c r="CP11" s="7"/>
      <c r="CQ11" s="19"/>
      <c r="CR11" s="19"/>
      <c r="CS11" s="19"/>
      <c r="CT11" s="19"/>
      <c r="CV11" s="8"/>
      <c r="CW11" s="7"/>
      <c r="CX11" s="19"/>
      <c r="CY11" s="19"/>
      <c r="CZ11" s="19"/>
      <c r="DA11" s="19"/>
      <c r="DC11" s="8"/>
      <c r="DD11" s="7"/>
      <c r="DE11" s="19"/>
      <c r="DF11" s="19"/>
      <c r="DG11" s="19"/>
      <c r="DH11" s="19"/>
      <c r="DJ11" s="8"/>
      <c r="DK11" s="7" t="s">
        <v>52</v>
      </c>
      <c r="DL11" s="19" t="s">
        <v>94</v>
      </c>
      <c r="DM11" s="19"/>
      <c r="DN11" s="19"/>
      <c r="DO11" s="19"/>
      <c r="DQ11" s="8">
        <v>6</v>
      </c>
      <c r="DR11" s="7" t="s">
        <v>52</v>
      </c>
      <c r="DS11" s="19" t="s">
        <v>94</v>
      </c>
      <c r="DT11" s="19"/>
      <c r="DU11" s="19"/>
      <c r="DV11" s="19"/>
      <c r="DX11" s="8">
        <v>6</v>
      </c>
      <c r="DY11" s="7" t="s">
        <v>52</v>
      </c>
      <c r="DZ11" s="19" t="s">
        <v>94</v>
      </c>
      <c r="EA11" s="19"/>
      <c r="EB11" s="19"/>
      <c r="EC11" s="19"/>
      <c r="EE11" s="8">
        <v>6</v>
      </c>
      <c r="EF11" s="7" t="s">
        <v>52</v>
      </c>
      <c r="EG11" s="19" t="s">
        <v>94</v>
      </c>
      <c r="EH11" s="19"/>
      <c r="EI11" s="19"/>
      <c r="EJ11" s="19"/>
      <c r="EL11" s="8">
        <v>6</v>
      </c>
      <c r="EM11" s="7" t="s">
        <v>52</v>
      </c>
      <c r="EN11" s="19" t="s">
        <v>94</v>
      </c>
      <c r="EO11" s="19"/>
      <c r="EP11" s="19"/>
      <c r="EQ11" s="19"/>
      <c r="ES11" s="8">
        <v>6</v>
      </c>
      <c r="ET11" s="7" t="s">
        <v>52</v>
      </c>
      <c r="EU11" s="19" t="s">
        <v>94</v>
      </c>
      <c r="EV11" s="19"/>
      <c r="EW11" s="19"/>
      <c r="EX11" s="19"/>
      <c r="EZ11" s="8">
        <v>6</v>
      </c>
      <c r="FA11" s="7"/>
      <c r="FB11" s="19"/>
      <c r="FC11" s="19"/>
      <c r="FD11" s="19"/>
      <c r="FE11" s="19"/>
      <c r="FG11" s="8"/>
      <c r="FH11" s="7"/>
      <c r="FI11" s="19"/>
      <c r="FJ11" s="19"/>
      <c r="FK11" s="19"/>
      <c r="FL11" s="19"/>
      <c r="FN11" s="8"/>
      <c r="FO11" s="7"/>
      <c r="FP11" s="19"/>
      <c r="FQ11" s="19"/>
      <c r="FR11" s="19"/>
      <c r="FS11" s="19"/>
      <c r="FU11" s="8"/>
      <c r="FV11" s="7"/>
      <c r="FW11" s="19"/>
      <c r="FX11" s="19"/>
      <c r="FY11" s="19"/>
      <c r="FZ11" s="19"/>
      <c r="GB11" s="8"/>
      <c r="GC11" s="7"/>
      <c r="GD11" s="19"/>
      <c r="GE11" s="19"/>
      <c r="GF11" s="19"/>
      <c r="GG11" s="19"/>
      <c r="GI11" s="8"/>
      <c r="GJ11" s="7"/>
      <c r="GK11" s="19"/>
      <c r="GL11" s="19"/>
      <c r="GM11" s="19"/>
      <c r="GN11" s="19"/>
      <c r="GP11" s="8"/>
      <c r="GQ11" s="7"/>
      <c r="GR11" s="19"/>
      <c r="GS11" s="19"/>
      <c r="GT11" s="19"/>
      <c r="GU11" s="19"/>
      <c r="GW11" s="8"/>
      <c r="GX11" s="7"/>
      <c r="GY11" s="19"/>
      <c r="GZ11" s="19"/>
      <c r="HA11" s="19"/>
      <c r="HB11" s="19"/>
      <c r="HD11" s="8"/>
      <c r="HE11" s="7"/>
      <c r="HF11" s="19"/>
      <c r="HG11" s="19"/>
      <c r="HH11" s="19"/>
      <c r="HI11" s="19"/>
      <c r="HK11" s="8"/>
      <c r="HL11" s="7"/>
      <c r="HM11" s="19"/>
      <c r="HN11" s="19"/>
      <c r="HO11" s="19"/>
      <c r="HP11" s="19"/>
      <c r="HR11" s="8"/>
      <c r="HS11" s="7"/>
      <c r="HT11" s="19"/>
      <c r="HU11" s="19"/>
      <c r="HV11" s="19"/>
      <c r="HW11" s="19"/>
      <c r="HY11" s="8"/>
      <c r="HZ11" s="7"/>
      <c r="IA11" s="19"/>
      <c r="IB11" s="19"/>
      <c r="IC11" s="19"/>
      <c r="ID11" s="19"/>
      <c r="IF11" s="8"/>
      <c r="IG11" s="7"/>
      <c r="IH11" s="19"/>
      <c r="II11" s="19"/>
      <c r="IJ11" s="19"/>
      <c r="IK11" s="19"/>
      <c r="IM11" s="8"/>
      <c r="IN11" s="7"/>
      <c r="IO11" s="19"/>
      <c r="IP11" s="19"/>
      <c r="IQ11" s="19"/>
      <c r="IR11" s="19"/>
      <c r="IT11" s="8"/>
      <c r="IU11" s="7"/>
      <c r="IV11" s="19"/>
      <c r="IW11" s="19"/>
      <c r="IX11" s="19"/>
      <c r="IY11" s="19"/>
      <c r="JA11" s="8"/>
      <c r="JB11" s="7"/>
      <c r="JC11" s="19"/>
      <c r="JD11" s="19"/>
      <c r="JE11" s="19"/>
      <c r="JF11" s="19"/>
      <c r="JH11" s="8"/>
      <c r="JI11" s="7"/>
      <c r="JJ11" s="19"/>
      <c r="JK11" s="19"/>
      <c r="JL11" s="19"/>
      <c r="JM11" s="19"/>
      <c r="JO11" s="8"/>
      <c r="JP11" s="7"/>
      <c r="JQ11" s="19"/>
      <c r="JR11" s="19"/>
      <c r="JS11" s="19"/>
      <c r="JT11" s="19"/>
      <c r="JV11" s="8"/>
      <c r="JW11" s="7"/>
      <c r="JX11" s="19"/>
      <c r="JY11" s="19"/>
      <c r="JZ11" s="19"/>
      <c r="KA11" s="19"/>
      <c r="KC11" s="8"/>
      <c r="KD11" s="7"/>
      <c r="KE11" s="19"/>
      <c r="KF11" s="19"/>
      <c r="KG11" s="19"/>
      <c r="KH11" s="19"/>
      <c r="KJ11" s="8"/>
      <c r="KK11" s="7"/>
      <c r="KL11" s="19"/>
      <c r="KM11" s="19"/>
      <c r="KN11" s="19"/>
      <c r="KO11" s="19"/>
      <c r="KQ11" s="8"/>
      <c r="KR11" s="7"/>
      <c r="KS11" s="19"/>
      <c r="KT11" s="19"/>
      <c r="KU11" s="19"/>
      <c r="KV11" s="19"/>
      <c r="KX11" s="8"/>
      <c r="KY11" s="7"/>
      <c r="KZ11" s="19"/>
      <c r="LA11" s="19"/>
      <c r="LB11" s="19"/>
      <c r="LC11" s="19"/>
      <c r="LE11" s="8"/>
      <c r="LF11" s="7"/>
      <c r="LG11" s="19"/>
      <c r="LH11" s="19"/>
      <c r="LI11" s="19"/>
      <c r="LJ11" s="19"/>
      <c r="LL11" s="8"/>
      <c r="LM11" s="7"/>
      <c r="LN11" s="19"/>
      <c r="LO11" s="19"/>
      <c r="LP11" s="19"/>
      <c r="LQ11" s="19"/>
      <c r="LS11" s="8"/>
      <c r="LT11" s="7"/>
      <c r="LU11" s="19"/>
      <c r="LV11" s="19"/>
      <c r="LW11" s="19"/>
      <c r="LX11" s="19"/>
      <c r="LZ11" s="8"/>
      <c r="MA11" s="7"/>
      <c r="MB11" s="19"/>
      <c r="MC11" s="19"/>
      <c r="MD11" s="19"/>
      <c r="ME11" s="19"/>
      <c r="MG11" s="8"/>
      <c r="MH11" s="7"/>
      <c r="MI11" s="19"/>
      <c r="MJ11" s="19"/>
      <c r="MK11" s="19"/>
      <c r="ML11" s="19"/>
      <c r="MN11" s="8"/>
      <c r="MO11" s="7"/>
      <c r="MP11" s="19"/>
      <c r="MQ11" s="19"/>
      <c r="MR11" s="19"/>
      <c r="MS11" s="19"/>
      <c r="MU11" s="8"/>
      <c r="MV11" s="7"/>
      <c r="MW11" s="19"/>
      <c r="MX11" s="19"/>
      <c r="MY11" s="19"/>
      <c r="MZ11" s="19"/>
      <c r="NB11" s="8"/>
      <c r="NC11" s="7"/>
      <c r="ND11" s="19"/>
      <c r="NE11" s="19"/>
      <c r="NF11" s="19"/>
      <c r="NG11" s="19"/>
      <c r="NI11" s="8"/>
      <c r="NJ11" s="7"/>
      <c r="NK11" s="19"/>
      <c r="NL11" s="19"/>
      <c r="NM11" s="19"/>
      <c r="NN11" s="19"/>
      <c r="NP11" s="8"/>
      <c r="NQ11" s="7"/>
      <c r="NR11" s="19"/>
      <c r="NS11" s="19"/>
      <c r="NT11" s="19"/>
      <c r="NU11" s="19"/>
      <c r="NW11" s="8"/>
      <c r="NX11" s="7"/>
      <c r="NY11" s="19"/>
      <c r="NZ11" s="19"/>
      <c r="OA11" s="19"/>
      <c r="OB11" s="19"/>
      <c r="OD11" s="8"/>
      <c r="OE11" s="7"/>
      <c r="OF11" s="19"/>
      <c r="OG11" s="19"/>
      <c r="OH11" s="19"/>
      <c r="OI11" s="19"/>
      <c r="OK11" s="8"/>
      <c r="OL11" s="7"/>
      <c r="OM11" s="19"/>
      <c r="ON11" s="19"/>
      <c r="OO11" s="19"/>
      <c r="OP11" s="19"/>
      <c r="OR11" s="8"/>
      <c r="OS11" s="7"/>
      <c r="OT11" s="19"/>
      <c r="OU11" s="19"/>
      <c r="OV11" s="19"/>
      <c r="OW11" s="19"/>
      <c r="OY11" s="8"/>
      <c r="OZ11" s="7"/>
      <c r="PA11" s="19"/>
      <c r="PB11" s="19"/>
      <c r="PC11" s="19"/>
      <c r="PD11" s="19"/>
      <c r="PF11" s="8"/>
      <c r="PG11" s="7"/>
      <c r="PH11" s="19"/>
      <c r="PI11" s="19"/>
      <c r="PJ11" s="19"/>
      <c r="PK11" s="19"/>
      <c r="PM11" s="8"/>
    </row>
    <row r="12" spans="1:429" s="1" customFormat="1" ht="26" customHeight="1" outlineLevel="1">
      <c r="B12" s="471"/>
      <c r="C12" s="7"/>
      <c r="D12" s="19"/>
      <c r="E12" s="19"/>
      <c r="F12" s="19"/>
      <c r="G12" s="19"/>
      <c r="I12" s="8"/>
      <c r="J12" s="7"/>
      <c r="K12" s="19"/>
      <c r="L12" s="19"/>
      <c r="M12" s="19"/>
      <c r="N12" s="19"/>
      <c r="P12" s="8"/>
      <c r="Q12" s="7"/>
      <c r="R12" s="19"/>
      <c r="S12" s="19"/>
      <c r="T12" s="19"/>
      <c r="U12" s="19"/>
      <c r="W12" s="8"/>
      <c r="X12" s="7"/>
      <c r="Y12" s="19"/>
      <c r="Z12" s="19"/>
      <c r="AA12" s="19"/>
      <c r="AB12" s="19"/>
      <c r="AD12" s="8"/>
      <c r="AE12" s="7"/>
      <c r="AF12" s="19"/>
      <c r="AG12" s="19"/>
      <c r="AH12" s="19"/>
      <c r="AI12" s="19"/>
      <c r="AK12" s="8"/>
      <c r="AL12" s="7"/>
      <c r="AM12" s="19"/>
      <c r="AN12" s="19"/>
      <c r="AO12" s="19"/>
      <c r="AP12" s="19"/>
      <c r="AR12" s="8"/>
      <c r="AS12" s="7"/>
      <c r="AT12" s="19"/>
      <c r="AU12" s="19"/>
      <c r="AV12" s="19"/>
      <c r="AW12" s="19"/>
      <c r="AY12" s="8"/>
      <c r="AZ12" s="7"/>
      <c r="BA12" s="19"/>
      <c r="BB12" s="19"/>
      <c r="BC12" s="19"/>
      <c r="BD12" s="19"/>
      <c r="BF12" s="8"/>
      <c r="BG12" s="7"/>
      <c r="BH12" s="19"/>
      <c r="BI12" s="19"/>
      <c r="BJ12" s="19"/>
      <c r="BK12" s="19"/>
      <c r="BM12" s="8"/>
      <c r="BN12" s="7"/>
      <c r="BO12" s="19"/>
      <c r="BP12" s="19"/>
      <c r="BQ12" s="19"/>
      <c r="BR12" s="19"/>
      <c r="BT12" s="8"/>
      <c r="BU12" s="7" t="s">
        <v>53</v>
      </c>
      <c r="BV12" s="19" t="s">
        <v>138</v>
      </c>
      <c r="BW12" s="19"/>
      <c r="BX12" s="19"/>
      <c r="BY12" s="19"/>
      <c r="CA12" s="8" t="s">
        <v>136</v>
      </c>
      <c r="CB12" s="7"/>
      <c r="CC12" s="19"/>
      <c r="CD12" s="19"/>
      <c r="CE12" s="19"/>
      <c r="CF12" s="19"/>
      <c r="CH12" s="8"/>
      <c r="CI12" s="7"/>
      <c r="CJ12" s="19"/>
      <c r="CK12" s="19"/>
      <c r="CL12" s="19"/>
      <c r="CM12" s="19"/>
      <c r="CO12" s="8"/>
      <c r="CP12" s="7"/>
      <c r="CQ12" s="19"/>
      <c r="CR12" s="19"/>
      <c r="CS12" s="19"/>
      <c r="CT12" s="19"/>
      <c r="CV12" s="8"/>
      <c r="CW12" s="7"/>
      <c r="CX12" s="19"/>
      <c r="CY12" s="19"/>
      <c r="CZ12" s="19"/>
      <c r="DA12" s="19"/>
      <c r="DC12" s="8"/>
      <c r="DD12" s="7"/>
      <c r="DE12" s="19"/>
      <c r="DF12" s="19"/>
      <c r="DG12" s="19"/>
      <c r="DH12" s="19"/>
      <c r="DJ12" s="8"/>
      <c r="DK12" s="7" t="s">
        <v>53</v>
      </c>
      <c r="DL12" s="19" t="s">
        <v>95</v>
      </c>
      <c r="DM12" s="19"/>
      <c r="DN12" s="19"/>
      <c r="DO12" s="19"/>
      <c r="DQ12" s="8">
        <v>8</v>
      </c>
      <c r="DR12" s="7" t="s">
        <v>53</v>
      </c>
      <c r="DS12" s="19" t="s">
        <v>95</v>
      </c>
      <c r="DT12" s="19"/>
      <c r="DU12" s="19"/>
      <c r="DV12" s="19"/>
      <c r="DX12" s="8">
        <v>8</v>
      </c>
      <c r="DY12" s="7" t="s">
        <v>53</v>
      </c>
      <c r="DZ12" s="19" t="s">
        <v>95</v>
      </c>
      <c r="EA12" s="19"/>
      <c r="EB12" s="19"/>
      <c r="EC12" s="19"/>
      <c r="EE12" s="8">
        <v>8</v>
      </c>
      <c r="EF12" s="7" t="s">
        <v>53</v>
      </c>
      <c r="EG12" s="19" t="s">
        <v>95</v>
      </c>
      <c r="EH12" s="19"/>
      <c r="EI12" s="19"/>
      <c r="EJ12" s="19"/>
      <c r="EL12" s="8">
        <v>8</v>
      </c>
      <c r="EM12" s="7" t="s">
        <v>53</v>
      </c>
      <c r="EN12" s="19" t="s">
        <v>95</v>
      </c>
      <c r="EO12" s="19"/>
      <c r="EP12" s="19"/>
      <c r="EQ12" s="19"/>
      <c r="ES12" s="8">
        <v>8</v>
      </c>
      <c r="ET12" s="7" t="s">
        <v>53</v>
      </c>
      <c r="EU12" s="19" t="s">
        <v>95</v>
      </c>
      <c r="EV12" s="19"/>
      <c r="EW12" s="19"/>
      <c r="EX12" s="19"/>
      <c r="EZ12" s="8">
        <v>8</v>
      </c>
      <c r="FA12" s="7"/>
      <c r="FB12" s="19"/>
      <c r="FC12" s="19"/>
      <c r="FD12" s="19"/>
      <c r="FE12" s="19"/>
      <c r="FG12" s="8"/>
      <c r="FH12" s="7"/>
      <c r="FI12" s="19"/>
      <c r="FJ12" s="19"/>
      <c r="FK12" s="19"/>
      <c r="FL12" s="19"/>
      <c r="FN12" s="8"/>
      <c r="FO12" s="7"/>
      <c r="FP12" s="19"/>
      <c r="FQ12" s="19"/>
      <c r="FR12" s="19"/>
      <c r="FS12" s="19"/>
      <c r="FU12" s="8"/>
      <c r="FV12" s="7"/>
      <c r="FW12" s="19"/>
      <c r="FX12" s="19"/>
      <c r="FY12" s="19"/>
      <c r="FZ12" s="19"/>
      <c r="GB12" s="8"/>
      <c r="GC12" s="7"/>
      <c r="GD12" s="19"/>
      <c r="GE12" s="19"/>
      <c r="GF12" s="19"/>
      <c r="GG12" s="19"/>
      <c r="GI12" s="8"/>
      <c r="GJ12" s="7"/>
      <c r="GK12" s="19"/>
      <c r="GL12" s="19"/>
      <c r="GM12" s="19"/>
      <c r="GN12" s="19"/>
      <c r="GP12" s="8"/>
      <c r="GQ12" s="7"/>
      <c r="GR12" s="19"/>
      <c r="GS12" s="19"/>
      <c r="GT12" s="19"/>
      <c r="GU12" s="19"/>
      <c r="GW12" s="8"/>
      <c r="GX12" s="7"/>
      <c r="GY12" s="19"/>
      <c r="GZ12" s="19"/>
      <c r="HA12" s="19"/>
      <c r="HB12" s="19"/>
      <c r="HD12" s="8"/>
      <c r="HE12" s="7"/>
      <c r="HF12" s="19"/>
      <c r="HG12" s="19"/>
      <c r="HH12" s="19"/>
      <c r="HI12" s="19"/>
      <c r="HK12" s="8"/>
      <c r="HL12" s="7"/>
      <c r="HM12" s="19"/>
      <c r="HN12" s="19"/>
      <c r="HO12" s="19"/>
      <c r="HP12" s="19"/>
      <c r="HR12" s="8"/>
      <c r="HS12" s="7"/>
      <c r="HT12" s="19"/>
      <c r="HU12" s="19"/>
      <c r="HV12" s="19"/>
      <c r="HW12" s="19"/>
      <c r="HY12" s="8"/>
      <c r="HZ12" s="7"/>
      <c r="IA12" s="19"/>
      <c r="IB12" s="19"/>
      <c r="IC12" s="19"/>
      <c r="ID12" s="19"/>
      <c r="IF12" s="8"/>
      <c r="IG12" s="7"/>
      <c r="IH12" s="19"/>
      <c r="II12" s="19"/>
      <c r="IJ12" s="19"/>
      <c r="IK12" s="19"/>
      <c r="IM12" s="8"/>
      <c r="IN12" s="7"/>
      <c r="IO12" s="19"/>
      <c r="IP12" s="19"/>
      <c r="IQ12" s="19"/>
      <c r="IR12" s="19"/>
      <c r="IT12" s="8"/>
      <c r="IU12" s="7"/>
      <c r="IV12" s="19"/>
      <c r="IW12" s="19"/>
      <c r="IX12" s="19"/>
      <c r="IY12" s="19"/>
      <c r="JA12" s="8"/>
      <c r="JB12" s="7"/>
      <c r="JC12" s="19"/>
      <c r="JD12" s="19"/>
      <c r="JE12" s="19"/>
      <c r="JF12" s="19"/>
      <c r="JH12" s="8"/>
      <c r="JI12" s="7"/>
      <c r="JJ12" s="19"/>
      <c r="JK12" s="19"/>
      <c r="JL12" s="19"/>
      <c r="JM12" s="19"/>
      <c r="JO12" s="8"/>
      <c r="JP12" s="7"/>
      <c r="JQ12" s="19"/>
      <c r="JR12" s="19"/>
      <c r="JS12" s="19"/>
      <c r="JT12" s="19"/>
      <c r="JV12" s="8"/>
      <c r="JW12" s="7"/>
      <c r="JX12" s="19"/>
      <c r="JY12" s="19"/>
      <c r="JZ12" s="19"/>
      <c r="KA12" s="19"/>
      <c r="KC12" s="8"/>
      <c r="KD12" s="7"/>
      <c r="KE12" s="19"/>
      <c r="KF12" s="19"/>
      <c r="KG12" s="19"/>
      <c r="KH12" s="19"/>
      <c r="KJ12" s="8"/>
      <c r="KK12" s="7"/>
      <c r="KL12" s="19"/>
      <c r="KM12" s="19"/>
      <c r="KN12" s="19"/>
      <c r="KO12" s="19"/>
      <c r="KQ12" s="8"/>
      <c r="KR12" s="7"/>
      <c r="KS12" s="19"/>
      <c r="KT12" s="19"/>
      <c r="KU12" s="19"/>
      <c r="KV12" s="19"/>
      <c r="KX12" s="8"/>
      <c r="KY12" s="7"/>
      <c r="KZ12" s="19"/>
      <c r="LA12" s="19"/>
      <c r="LB12" s="19"/>
      <c r="LC12" s="19"/>
      <c r="LE12" s="8"/>
      <c r="LF12" s="7"/>
      <c r="LG12" s="19"/>
      <c r="LH12" s="19"/>
      <c r="LI12" s="19"/>
      <c r="LJ12" s="19"/>
      <c r="LL12" s="8"/>
      <c r="LM12" s="7"/>
      <c r="LN12" s="19"/>
      <c r="LO12" s="19"/>
      <c r="LP12" s="19"/>
      <c r="LQ12" s="19"/>
      <c r="LS12" s="8"/>
      <c r="LT12" s="7"/>
      <c r="LU12" s="19"/>
      <c r="LV12" s="19"/>
      <c r="LW12" s="19"/>
      <c r="LX12" s="19"/>
      <c r="LZ12" s="8"/>
      <c r="MA12" s="7"/>
      <c r="MB12" s="19"/>
      <c r="MC12" s="19"/>
      <c r="MD12" s="19"/>
      <c r="ME12" s="19"/>
      <c r="MG12" s="8"/>
      <c r="MH12" s="7"/>
      <c r="MI12" s="19"/>
      <c r="MJ12" s="19"/>
      <c r="MK12" s="19"/>
      <c r="ML12" s="19"/>
      <c r="MN12" s="8"/>
      <c r="MO12" s="7"/>
      <c r="MP12" s="19"/>
      <c r="MQ12" s="19"/>
      <c r="MR12" s="19"/>
      <c r="MS12" s="19"/>
      <c r="MU12" s="8"/>
      <c r="MV12" s="7"/>
      <c r="MW12" s="19"/>
      <c r="MX12" s="19"/>
      <c r="MY12" s="19"/>
      <c r="MZ12" s="19"/>
      <c r="NB12" s="8"/>
      <c r="NC12" s="7"/>
      <c r="ND12" s="19"/>
      <c r="NE12" s="19"/>
      <c r="NF12" s="19"/>
      <c r="NG12" s="19"/>
      <c r="NI12" s="8"/>
      <c r="NJ12" s="7"/>
      <c r="NK12" s="19"/>
      <c r="NL12" s="19"/>
      <c r="NM12" s="19"/>
      <c r="NN12" s="19"/>
      <c r="NP12" s="8"/>
      <c r="NQ12" s="7"/>
      <c r="NR12" s="19"/>
      <c r="NS12" s="19"/>
      <c r="NT12" s="19"/>
      <c r="NU12" s="19"/>
      <c r="NW12" s="8"/>
      <c r="NX12" s="7"/>
      <c r="NY12" s="19"/>
      <c r="NZ12" s="19"/>
      <c r="OA12" s="19"/>
      <c r="OB12" s="19"/>
      <c r="OD12" s="8"/>
      <c r="OE12" s="7"/>
      <c r="OF12" s="19"/>
      <c r="OG12" s="19"/>
      <c r="OH12" s="19"/>
      <c r="OI12" s="19"/>
      <c r="OK12" s="8"/>
      <c r="OL12" s="7"/>
      <c r="OM12" s="19"/>
      <c r="ON12" s="19"/>
      <c r="OO12" s="19"/>
      <c r="OP12" s="19"/>
      <c r="OR12" s="8"/>
      <c r="OS12" s="7"/>
      <c r="OT12" s="19"/>
      <c r="OU12" s="19"/>
      <c r="OV12" s="19"/>
      <c r="OW12" s="19"/>
      <c r="OY12" s="8"/>
      <c r="OZ12" s="7"/>
      <c r="PA12" s="19"/>
      <c r="PB12" s="19"/>
      <c r="PC12" s="19"/>
      <c r="PD12" s="19"/>
      <c r="PF12" s="8"/>
      <c r="PG12" s="7"/>
      <c r="PH12" s="19"/>
      <c r="PI12" s="19"/>
      <c r="PJ12" s="19"/>
      <c r="PK12" s="19"/>
      <c r="PM12" s="8"/>
    </row>
    <row r="13" spans="1:429" s="1" customFormat="1" ht="26" customHeight="1" outlineLevel="1">
      <c r="B13" s="471"/>
      <c r="C13" s="7"/>
      <c r="D13" s="19"/>
      <c r="E13" s="19"/>
      <c r="F13" s="19"/>
      <c r="G13" s="19"/>
      <c r="I13" s="8"/>
      <c r="J13" s="7"/>
      <c r="K13" s="19"/>
      <c r="L13" s="19"/>
      <c r="M13" s="19"/>
      <c r="N13" s="19"/>
      <c r="P13" s="8"/>
      <c r="Q13" s="7"/>
      <c r="R13" s="19"/>
      <c r="S13" s="19"/>
      <c r="T13" s="19"/>
      <c r="U13" s="19"/>
      <c r="W13" s="8"/>
      <c r="X13" s="7"/>
      <c r="Y13" s="19"/>
      <c r="Z13" s="19"/>
      <c r="AA13" s="19"/>
      <c r="AB13" s="19"/>
      <c r="AD13" s="8"/>
      <c r="AE13" s="7"/>
      <c r="AF13" s="19"/>
      <c r="AG13" s="19"/>
      <c r="AH13" s="19"/>
      <c r="AI13" s="19"/>
      <c r="AK13" s="8"/>
      <c r="AL13" s="7"/>
      <c r="AM13" s="19"/>
      <c r="AN13" s="19"/>
      <c r="AO13" s="19"/>
      <c r="AP13" s="19"/>
      <c r="AR13" s="8"/>
      <c r="AS13" s="7"/>
      <c r="AT13" s="19"/>
      <c r="AU13" s="19"/>
      <c r="AV13" s="19"/>
      <c r="AW13" s="19"/>
      <c r="AY13" s="8"/>
      <c r="AZ13" s="7"/>
      <c r="BA13" s="19"/>
      <c r="BB13" s="19"/>
      <c r="BC13" s="19"/>
      <c r="BD13" s="19"/>
      <c r="BF13" s="8"/>
      <c r="BG13" s="7"/>
      <c r="BH13" s="19"/>
      <c r="BI13" s="19"/>
      <c r="BJ13" s="19"/>
      <c r="BK13" s="19"/>
      <c r="BM13" s="8"/>
      <c r="BN13" s="7"/>
      <c r="BO13" s="19"/>
      <c r="BP13" s="19"/>
      <c r="BQ13" s="19"/>
      <c r="BR13" s="19"/>
      <c r="BT13" s="8"/>
      <c r="BU13" s="7" t="s">
        <v>54</v>
      </c>
      <c r="BV13" s="19" t="s">
        <v>96</v>
      </c>
      <c r="BW13" s="19"/>
      <c r="BX13" s="19"/>
      <c r="BY13" s="19"/>
      <c r="CA13" s="8">
        <v>20</v>
      </c>
      <c r="CB13" s="7"/>
      <c r="CC13" s="19"/>
      <c r="CD13" s="19"/>
      <c r="CE13" s="19"/>
      <c r="CF13" s="19"/>
      <c r="CH13" s="8"/>
      <c r="CI13" s="7"/>
      <c r="CJ13" s="19"/>
      <c r="CK13" s="19"/>
      <c r="CL13" s="19"/>
      <c r="CM13" s="19"/>
      <c r="CO13" s="8"/>
      <c r="CP13" s="7"/>
      <c r="CQ13" s="19"/>
      <c r="CR13" s="19"/>
      <c r="CS13" s="19"/>
      <c r="CT13" s="19"/>
      <c r="CV13" s="8"/>
      <c r="CW13" s="7"/>
      <c r="CX13" s="19"/>
      <c r="CY13" s="19"/>
      <c r="CZ13" s="19"/>
      <c r="DA13" s="19"/>
      <c r="DC13" s="8"/>
      <c r="DD13" s="7"/>
      <c r="DE13" s="19"/>
      <c r="DF13" s="19"/>
      <c r="DG13" s="19"/>
      <c r="DH13" s="19"/>
      <c r="DJ13" s="8"/>
      <c r="DK13" s="7" t="s">
        <v>54</v>
      </c>
      <c r="DL13" s="19" t="s">
        <v>133</v>
      </c>
      <c r="DM13" s="19"/>
      <c r="DN13" s="19"/>
      <c r="DO13" s="19"/>
      <c r="DQ13" s="8">
        <v>10</v>
      </c>
      <c r="DR13" s="7" t="s">
        <v>54</v>
      </c>
      <c r="DS13" s="19" t="s">
        <v>133</v>
      </c>
      <c r="DT13" s="19"/>
      <c r="DU13" s="19"/>
      <c r="DV13" s="19"/>
      <c r="DX13" s="8">
        <v>10</v>
      </c>
      <c r="DY13" s="7" t="s">
        <v>54</v>
      </c>
      <c r="DZ13" s="19" t="s">
        <v>133</v>
      </c>
      <c r="EA13" s="19"/>
      <c r="EB13" s="19"/>
      <c r="EC13" s="19"/>
      <c r="EE13" s="8">
        <v>10</v>
      </c>
      <c r="EF13" s="7" t="s">
        <v>54</v>
      </c>
      <c r="EG13" s="19" t="s">
        <v>133</v>
      </c>
      <c r="EH13" s="19"/>
      <c r="EI13" s="19"/>
      <c r="EJ13" s="19"/>
      <c r="EL13" s="8">
        <v>10</v>
      </c>
      <c r="EM13" s="7" t="s">
        <v>54</v>
      </c>
      <c r="EN13" s="19" t="s">
        <v>133</v>
      </c>
      <c r="EO13" s="19"/>
      <c r="EP13" s="19"/>
      <c r="EQ13" s="19"/>
      <c r="ES13" s="8">
        <v>10</v>
      </c>
      <c r="ET13" s="7" t="s">
        <v>54</v>
      </c>
      <c r="EU13" s="19" t="s">
        <v>133</v>
      </c>
      <c r="EV13" s="19"/>
      <c r="EW13" s="19"/>
      <c r="EX13" s="19"/>
      <c r="EZ13" s="8">
        <v>10</v>
      </c>
      <c r="FA13" s="7"/>
      <c r="FB13" s="19"/>
      <c r="FC13" s="19"/>
      <c r="FD13" s="19"/>
      <c r="FE13" s="19"/>
      <c r="FG13" s="8"/>
      <c r="FH13" s="7"/>
      <c r="FI13" s="19"/>
      <c r="FJ13" s="19"/>
      <c r="FK13" s="19"/>
      <c r="FL13" s="19"/>
      <c r="FN13" s="8"/>
      <c r="FO13" s="7"/>
      <c r="FP13" s="19"/>
      <c r="FQ13" s="19"/>
      <c r="FR13" s="19"/>
      <c r="FS13" s="19"/>
      <c r="FU13" s="8"/>
      <c r="FV13" s="7"/>
      <c r="FW13" s="19"/>
      <c r="FX13" s="19"/>
      <c r="FY13" s="19"/>
      <c r="FZ13" s="19"/>
      <c r="GB13" s="8"/>
      <c r="GC13" s="7"/>
      <c r="GD13" s="19"/>
      <c r="GE13" s="19"/>
      <c r="GF13" s="19"/>
      <c r="GG13" s="19"/>
      <c r="GI13" s="8"/>
      <c r="GJ13" s="7"/>
      <c r="GK13" s="19"/>
      <c r="GL13" s="19"/>
      <c r="GM13" s="19"/>
      <c r="GN13" s="19"/>
      <c r="GP13" s="8"/>
      <c r="GQ13" s="7"/>
      <c r="GR13" s="19"/>
      <c r="GS13" s="19"/>
      <c r="GT13" s="19"/>
      <c r="GU13" s="19"/>
      <c r="GW13" s="8"/>
      <c r="GX13" s="7"/>
      <c r="GY13" s="19"/>
      <c r="GZ13" s="19"/>
      <c r="HA13" s="19"/>
      <c r="HB13" s="19"/>
      <c r="HD13" s="8"/>
      <c r="HE13" s="7"/>
      <c r="HF13" s="19"/>
      <c r="HG13" s="19"/>
      <c r="HH13" s="19"/>
      <c r="HI13" s="19"/>
      <c r="HK13" s="8"/>
      <c r="HL13" s="7"/>
      <c r="HM13" s="19"/>
      <c r="HN13" s="19"/>
      <c r="HO13" s="19"/>
      <c r="HP13" s="19"/>
      <c r="HR13" s="8"/>
      <c r="HS13" s="7"/>
      <c r="HT13" s="19"/>
      <c r="HU13" s="19"/>
      <c r="HV13" s="19"/>
      <c r="HW13" s="19"/>
      <c r="HY13" s="8"/>
      <c r="HZ13" s="7"/>
      <c r="IA13" s="19"/>
      <c r="IB13" s="19"/>
      <c r="IC13" s="19"/>
      <c r="ID13" s="19"/>
      <c r="IF13" s="8"/>
      <c r="IG13" s="7"/>
      <c r="IH13" s="19"/>
      <c r="II13" s="19"/>
      <c r="IJ13" s="19"/>
      <c r="IK13" s="19"/>
      <c r="IM13" s="8"/>
      <c r="IN13" s="7"/>
      <c r="IO13" s="19"/>
      <c r="IP13" s="19"/>
      <c r="IQ13" s="19"/>
      <c r="IR13" s="19"/>
      <c r="IT13" s="8"/>
      <c r="IU13" s="7"/>
      <c r="IV13" s="19"/>
      <c r="IW13" s="19"/>
      <c r="IX13" s="19"/>
      <c r="IY13" s="19"/>
      <c r="JA13" s="8"/>
      <c r="JB13" s="7"/>
      <c r="JC13" s="19"/>
      <c r="JD13" s="19"/>
      <c r="JE13" s="19"/>
      <c r="JF13" s="19"/>
      <c r="JH13" s="8"/>
      <c r="JI13" s="7"/>
      <c r="JJ13" s="19"/>
      <c r="JK13" s="19"/>
      <c r="JL13" s="19"/>
      <c r="JM13" s="19"/>
      <c r="JO13" s="8"/>
      <c r="JP13" s="7"/>
      <c r="JQ13" s="19"/>
      <c r="JR13" s="19"/>
      <c r="JS13" s="19"/>
      <c r="JT13" s="19"/>
      <c r="JV13" s="8"/>
      <c r="JW13" s="7"/>
      <c r="JX13" s="19"/>
      <c r="JY13" s="19"/>
      <c r="JZ13" s="19"/>
      <c r="KA13" s="19"/>
      <c r="KC13" s="8"/>
      <c r="KD13" s="7"/>
      <c r="KE13" s="19"/>
      <c r="KF13" s="19"/>
      <c r="KG13" s="19"/>
      <c r="KH13" s="19"/>
      <c r="KJ13" s="8"/>
      <c r="KK13" s="7"/>
      <c r="KL13" s="19"/>
      <c r="KM13" s="19"/>
      <c r="KN13" s="19"/>
      <c r="KO13" s="19"/>
      <c r="KQ13" s="8"/>
      <c r="KR13" s="7"/>
      <c r="KS13" s="19"/>
      <c r="KT13" s="19"/>
      <c r="KU13" s="19"/>
      <c r="KV13" s="19"/>
      <c r="KX13" s="8"/>
      <c r="KY13" s="7"/>
      <c r="KZ13" s="19"/>
      <c r="LA13" s="19"/>
      <c r="LB13" s="19"/>
      <c r="LC13" s="19"/>
      <c r="LE13" s="8"/>
      <c r="LF13" s="7"/>
      <c r="LG13" s="19"/>
      <c r="LH13" s="19"/>
      <c r="LI13" s="19"/>
      <c r="LJ13" s="19"/>
      <c r="LL13" s="8"/>
      <c r="LM13" s="7"/>
      <c r="LN13" s="19"/>
      <c r="LO13" s="19"/>
      <c r="LP13" s="19"/>
      <c r="LQ13" s="19"/>
      <c r="LS13" s="8"/>
      <c r="LT13" s="7"/>
      <c r="LU13" s="19"/>
      <c r="LV13" s="19"/>
      <c r="LW13" s="19"/>
      <c r="LX13" s="19"/>
      <c r="LZ13" s="8"/>
      <c r="MA13" s="7"/>
      <c r="MB13" s="19"/>
      <c r="MC13" s="19"/>
      <c r="MD13" s="19"/>
      <c r="ME13" s="19"/>
      <c r="MG13" s="8"/>
      <c r="MH13" s="7"/>
      <c r="MI13" s="19"/>
      <c r="MJ13" s="19"/>
      <c r="MK13" s="19"/>
      <c r="ML13" s="19"/>
      <c r="MN13" s="8"/>
      <c r="MO13" s="7"/>
      <c r="MP13" s="19"/>
      <c r="MQ13" s="19"/>
      <c r="MR13" s="19"/>
      <c r="MS13" s="19"/>
      <c r="MU13" s="8"/>
      <c r="MV13" s="7"/>
      <c r="MW13" s="19"/>
      <c r="MX13" s="19"/>
      <c r="MY13" s="19"/>
      <c r="MZ13" s="19"/>
      <c r="NB13" s="8"/>
      <c r="NC13" s="7"/>
      <c r="ND13" s="19"/>
      <c r="NE13" s="19"/>
      <c r="NF13" s="19"/>
      <c r="NG13" s="19"/>
      <c r="NI13" s="8"/>
      <c r="NJ13" s="7"/>
      <c r="NK13" s="19"/>
      <c r="NL13" s="19"/>
      <c r="NM13" s="19"/>
      <c r="NN13" s="19"/>
      <c r="NP13" s="8"/>
      <c r="NQ13" s="7"/>
      <c r="NR13" s="19"/>
      <c r="NS13" s="19"/>
      <c r="NT13" s="19"/>
      <c r="NU13" s="19"/>
      <c r="NW13" s="8"/>
      <c r="NX13" s="7"/>
      <c r="NY13" s="19"/>
      <c r="NZ13" s="19"/>
      <c r="OA13" s="19"/>
      <c r="OB13" s="19"/>
      <c r="OD13" s="8"/>
      <c r="OE13" s="7"/>
      <c r="OF13" s="19"/>
      <c r="OG13" s="19"/>
      <c r="OH13" s="19"/>
      <c r="OI13" s="19"/>
      <c r="OK13" s="8"/>
      <c r="OL13" s="7"/>
      <c r="OM13" s="19"/>
      <c r="ON13" s="19"/>
      <c r="OO13" s="19"/>
      <c r="OP13" s="19"/>
      <c r="OR13" s="8"/>
      <c r="OS13" s="7"/>
      <c r="OT13" s="19"/>
      <c r="OU13" s="19"/>
      <c r="OV13" s="19"/>
      <c r="OW13" s="19"/>
      <c r="OY13" s="8"/>
      <c r="OZ13" s="7"/>
      <c r="PA13" s="19"/>
      <c r="PB13" s="19"/>
      <c r="PC13" s="19"/>
      <c r="PD13" s="19"/>
      <c r="PF13" s="8"/>
      <c r="PG13" s="7"/>
      <c r="PH13" s="19"/>
      <c r="PI13" s="19"/>
      <c r="PJ13" s="19"/>
      <c r="PK13" s="19"/>
      <c r="PM13" s="8"/>
    </row>
    <row r="14" spans="1:429" s="1" customFormat="1" ht="26" customHeight="1" outlineLevel="1">
      <c r="B14" s="471"/>
      <c r="C14" s="7"/>
      <c r="D14" s="19"/>
      <c r="E14" s="19"/>
      <c r="F14" s="19"/>
      <c r="G14" s="19"/>
      <c r="I14" s="8"/>
      <c r="J14" s="7"/>
      <c r="K14" s="19"/>
      <c r="L14" s="19"/>
      <c r="M14" s="19"/>
      <c r="N14" s="19"/>
      <c r="P14" s="8"/>
      <c r="Q14" s="7"/>
      <c r="R14" s="19"/>
      <c r="S14" s="19"/>
      <c r="T14" s="19"/>
      <c r="U14" s="19"/>
      <c r="W14" s="8"/>
      <c r="X14" s="7"/>
      <c r="Y14" s="19"/>
      <c r="Z14" s="19"/>
      <c r="AA14" s="19"/>
      <c r="AB14" s="19"/>
      <c r="AD14" s="8"/>
      <c r="AE14" s="7"/>
      <c r="AF14" s="19"/>
      <c r="AG14" s="19"/>
      <c r="AH14" s="19"/>
      <c r="AI14" s="19"/>
      <c r="AK14" s="8"/>
      <c r="AL14" s="7"/>
      <c r="AM14" s="19"/>
      <c r="AN14" s="19"/>
      <c r="AO14" s="19"/>
      <c r="AP14" s="19"/>
      <c r="AR14" s="8"/>
      <c r="AS14" s="7"/>
      <c r="AT14" s="19"/>
      <c r="AU14" s="19"/>
      <c r="AV14" s="19"/>
      <c r="AW14" s="19"/>
      <c r="AY14" s="8"/>
      <c r="AZ14" s="7"/>
      <c r="BA14" s="19"/>
      <c r="BB14" s="19"/>
      <c r="BC14" s="19"/>
      <c r="BD14" s="19"/>
      <c r="BF14" s="8"/>
      <c r="BG14" s="7"/>
      <c r="BH14" s="19"/>
      <c r="BI14" s="19"/>
      <c r="BJ14" s="19"/>
      <c r="BK14" s="19"/>
      <c r="BM14" s="8"/>
      <c r="BN14" s="7"/>
      <c r="BO14" s="19"/>
      <c r="BP14" s="19"/>
      <c r="BQ14" s="19"/>
      <c r="BR14" s="19"/>
      <c r="BT14" s="8"/>
      <c r="BU14" s="7" t="s">
        <v>127</v>
      </c>
      <c r="BV14" s="19" t="s">
        <v>139</v>
      </c>
      <c r="BW14" s="19"/>
      <c r="BX14" s="19"/>
      <c r="BY14" s="19"/>
      <c r="CA14" s="8" t="s">
        <v>137</v>
      </c>
      <c r="CB14" s="7"/>
      <c r="CC14" s="19"/>
      <c r="CD14" s="19"/>
      <c r="CE14" s="19"/>
      <c r="CF14" s="19"/>
      <c r="CH14" s="8"/>
      <c r="CI14" s="7"/>
      <c r="CJ14" s="19"/>
      <c r="CK14" s="19"/>
      <c r="CL14" s="19"/>
      <c r="CM14" s="19"/>
      <c r="CO14" s="8"/>
      <c r="CP14" s="7"/>
      <c r="CQ14" s="19"/>
      <c r="CR14" s="19"/>
      <c r="CS14" s="19"/>
      <c r="CT14" s="19"/>
      <c r="CV14" s="8"/>
      <c r="CW14" s="7"/>
      <c r="CX14" s="19"/>
      <c r="CY14" s="19"/>
      <c r="CZ14" s="19"/>
      <c r="DA14" s="19"/>
      <c r="DC14" s="8"/>
      <c r="DD14" s="7"/>
      <c r="DE14" s="19"/>
      <c r="DF14" s="19"/>
      <c r="DG14" s="19"/>
      <c r="DH14" s="19"/>
      <c r="DJ14" s="8"/>
      <c r="DK14" s="7" t="s">
        <v>127</v>
      </c>
      <c r="DL14" s="19" t="s">
        <v>97</v>
      </c>
      <c r="DM14" s="19"/>
      <c r="DN14" s="19"/>
      <c r="DO14" s="19"/>
      <c r="DQ14" s="8">
        <v>8</v>
      </c>
      <c r="DR14" s="7" t="s">
        <v>127</v>
      </c>
      <c r="DS14" s="19" t="s">
        <v>97</v>
      </c>
      <c r="DT14" s="19"/>
      <c r="DU14" s="19"/>
      <c r="DV14" s="19"/>
      <c r="DX14" s="8">
        <v>8</v>
      </c>
      <c r="DY14" s="7" t="s">
        <v>127</v>
      </c>
      <c r="DZ14" s="19" t="s">
        <v>97</v>
      </c>
      <c r="EA14" s="19"/>
      <c r="EB14" s="19"/>
      <c r="EC14" s="19"/>
      <c r="EE14" s="8">
        <v>8</v>
      </c>
      <c r="EF14" s="7" t="s">
        <v>127</v>
      </c>
      <c r="EG14" s="19" t="s">
        <v>97</v>
      </c>
      <c r="EH14" s="19"/>
      <c r="EI14" s="19"/>
      <c r="EJ14" s="19"/>
      <c r="EL14" s="8">
        <v>8</v>
      </c>
      <c r="EM14" s="7" t="s">
        <v>127</v>
      </c>
      <c r="EN14" s="19" t="s">
        <v>97</v>
      </c>
      <c r="EO14" s="19"/>
      <c r="EP14" s="19"/>
      <c r="EQ14" s="19"/>
      <c r="ES14" s="8">
        <v>8</v>
      </c>
      <c r="ET14" s="7" t="s">
        <v>127</v>
      </c>
      <c r="EU14" s="19" t="s">
        <v>97</v>
      </c>
      <c r="EV14" s="19"/>
      <c r="EW14" s="19"/>
      <c r="EX14" s="19"/>
      <c r="EZ14" s="8">
        <v>8</v>
      </c>
      <c r="FA14" s="7"/>
      <c r="FB14" s="19"/>
      <c r="FC14" s="19"/>
      <c r="FD14" s="19"/>
      <c r="FE14" s="19"/>
      <c r="FG14" s="8"/>
      <c r="FH14" s="7"/>
      <c r="FI14" s="19"/>
      <c r="FJ14" s="19"/>
      <c r="FK14" s="19"/>
      <c r="FL14" s="19"/>
      <c r="FN14" s="8"/>
      <c r="FO14" s="7"/>
      <c r="FP14" s="19"/>
      <c r="FQ14" s="19"/>
      <c r="FR14" s="19"/>
      <c r="FS14" s="19"/>
      <c r="FU14" s="8"/>
      <c r="FV14" s="7"/>
      <c r="FW14" s="19"/>
      <c r="FX14" s="19"/>
      <c r="FY14" s="19"/>
      <c r="FZ14" s="19"/>
      <c r="GB14" s="8"/>
      <c r="GC14" s="7"/>
      <c r="GD14" s="19"/>
      <c r="GE14" s="19"/>
      <c r="GF14" s="19"/>
      <c r="GG14" s="19"/>
      <c r="GI14" s="8"/>
      <c r="GJ14" s="7"/>
      <c r="GK14" s="19"/>
      <c r="GL14" s="19"/>
      <c r="GM14" s="19"/>
      <c r="GN14" s="19"/>
      <c r="GP14" s="8"/>
      <c r="GQ14" s="7"/>
      <c r="GR14" s="19"/>
      <c r="GS14" s="19"/>
      <c r="GT14" s="19"/>
      <c r="GU14" s="19"/>
      <c r="GW14" s="8"/>
      <c r="GX14" s="7"/>
      <c r="GY14" s="19"/>
      <c r="GZ14" s="19"/>
      <c r="HA14" s="19"/>
      <c r="HB14" s="19"/>
      <c r="HD14" s="8"/>
      <c r="HE14" s="7"/>
      <c r="HF14" s="19"/>
      <c r="HG14" s="19"/>
      <c r="HH14" s="19"/>
      <c r="HI14" s="19"/>
      <c r="HK14" s="8"/>
      <c r="HL14" s="7"/>
      <c r="HM14" s="19"/>
      <c r="HN14" s="19"/>
      <c r="HO14" s="19"/>
      <c r="HP14" s="19"/>
      <c r="HR14" s="8"/>
      <c r="HS14" s="7"/>
      <c r="HT14" s="19"/>
      <c r="HU14" s="19"/>
      <c r="HV14" s="19"/>
      <c r="HW14" s="19"/>
      <c r="HY14" s="8"/>
      <c r="HZ14" s="7"/>
      <c r="IA14" s="19"/>
      <c r="IB14" s="19"/>
      <c r="IC14" s="19"/>
      <c r="ID14" s="19"/>
      <c r="IF14" s="8"/>
      <c r="IG14" s="7"/>
      <c r="IH14" s="19"/>
      <c r="II14" s="19"/>
      <c r="IJ14" s="19"/>
      <c r="IK14" s="19"/>
      <c r="IM14" s="8"/>
      <c r="IN14" s="7"/>
      <c r="IO14" s="19"/>
      <c r="IP14" s="19"/>
      <c r="IQ14" s="19"/>
      <c r="IR14" s="19"/>
      <c r="IT14" s="8"/>
      <c r="IU14" s="7"/>
      <c r="IV14" s="19"/>
      <c r="IW14" s="19"/>
      <c r="IX14" s="19"/>
      <c r="IY14" s="19"/>
      <c r="JA14" s="8"/>
      <c r="JB14" s="7"/>
      <c r="JC14" s="19"/>
      <c r="JD14" s="19"/>
      <c r="JE14" s="19"/>
      <c r="JF14" s="19"/>
      <c r="JH14" s="8"/>
      <c r="JI14" s="7"/>
      <c r="JJ14" s="19"/>
      <c r="JK14" s="19"/>
      <c r="JL14" s="19"/>
      <c r="JM14" s="19"/>
      <c r="JO14" s="8"/>
      <c r="JP14" s="7"/>
      <c r="JQ14" s="19"/>
      <c r="JR14" s="19"/>
      <c r="JS14" s="19"/>
      <c r="JT14" s="19"/>
      <c r="JV14" s="8"/>
      <c r="JW14" s="7"/>
      <c r="JX14" s="19"/>
      <c r="JY14" s="19"/>
      <c r="JZ14" s="19"/>
      <c r="KA14" s="19"/>
      <c r="KC14" s="8"/>
      <c r="KD14" s="7"/>
      <c r="KE14" s="19"/>
      <c r="KF14" s="19"/>
      <c r="KG14" s="19"/>
      <c r="KH14" s="19"/>
      <c r="KJ14" s="8"/>
      <c r="KK14" s="7"/>
      <c r="KL14" s="19"/>
      <c r="KM14" s="19"/>
      <c r="KN14" s="19"/>
      <c r="KO14" s="19"/>
      <c r="KQ14" s="8"/>
      <c r="KR14" s="7"/>
      <c r="KS14" s="19"/>
      <c r="KT14" s="19"/>
      <c r="KU14" s="19"/>
      <c r="KV14" s="19"/>
      <c r="KX14" s="8"/>
      <c r="KY14" s="7"/>
      <c r="KZ14" s="19"/>
      <c r="LA14" s="19"/>
      <c r="LB14" s="19"/>
      <c r="LC14" s="19"/>
      <c r="LE14" s="8"/>
      <c r="LF14" s="7"/>
      <c r="LG14" s="19"/>
      <c r="LH14" s="19"/>
      <c r="LI14" s="19"/>
      <c r="LJ14" s="19"/>
      <c r="LL14" s="8"/>
      <c r="LM14" s="7"/>
      <c r="LN14" s="19"/>
      <c r="LO14" s="19"/>
      <c r="LP14" s="19"/>
      <c r="LQ14" s="19"/>
      <c r="LS14" s="8"/>
      <c r="LT14" s="7"/>
      <c r="LU14" s="19"/>
      <c r="LV14" s="19"/>
      <c r="LW14" s="19"/>
      <c r="LX14" s="19"/>
      <c r="LZ14" s="8"/>
      <c r="MA14" s="7"/>
      <c r="MB14" s="19"/>
      <c r="MC14" s="19"/>
      <c r="MD14" s="19"/>
      <c r="ME14" s="19"/>
      <c r="MG14" s="8"/>
      <c r="MH14" s="7"/>
      <c r="MI14" s="19"/>
      <c r="MJ14" s="19"/>
      <c r="MK14" s="19"/>
      <c r="ML14" s="19"/>
      <c r="MN14" s="8"/>
      <c r="MO14" s="7"/>
      <c r="MP14" s="19"/>
      <c r="MQ14" s="19"/>
      <c r="MR14" s="19"/>
      <c r="MS14" s="19"/>
      <c r="MU14" s="8"/>
      <c r="MV14" s="7"/>
      <c r="MW14" s="19"/>
      <c r="MX14" s="19"/>
      <c r="MY14" s="19"/>
      <c r="MZ14" s="19"/>
      <c r="NB14" s="8"/>
      <c r="NC14" s="7"/>
      <c r="ND14" s="19"/>
      <c r="NE14" s="19"/>
      <c r="NF14" s="19"/>
      <c r="NG14" s="19"/>
      <c r="NI14" s="8"/>
      <c r="NJ14" s="7"/>
      <c r="NK14" s="19"/>
      <c r="NL14" s="19"/>
      <c r="NM14" s="19"/>
      <c r="NN14" s="19"/>
      <c r="NP14" s="8"/>
      <c r="NQ14" s="7"/>
      <c r="NR14" s="19"/>
      <c r="NS14" s="19"/>
      <c r="NT14" s="19"/>
      <c r="NU14" s="19"/>
      <c r="NW14" s="8"/>
      <c r="NX14" s="7"/>
      <c r="NY14" s="19"/>
      <c r="NZ14" s="19"/>
      <c r="OA14" s="19"/>
      <c r="OB14" s="19"/>
      <c r="OD14" s="8"/>
      <c r="OE14" s="7"/>
      <c r="OF14" s="19"/>
      <c r="OG14" s="19"/>
      <c r="OH14" s="19"/>
      <c r="OI14" s="19"/>
      <c r="OK14" s="8"/>
      <c r="OL14" s="7"/>
      <c r="OM14" s="19"/>
      <c r="ON14" s="19"/>
      <c r="OO14" s="19"/>
      <c r="OP14" s="19"/>
      <c r="OR14" s="8"/>
      <c r="OS14" s="7"/>
      <c r="OT14" s="19"/>
      <c r="OU14" s="19"/>
      <c r="OV14" s="19"/>
      <c r="OW14" s="19"/>
      <c r="OY14" s="8"/>
      <c r="OZ14" s="7"/>
      <c r="PA14" s="19"/>
      <c r="PB14" s="19"/>
      <c r="PC14" s="19"/>
      <c r="PD14" s="19"/>
      <c r="PF14" s="8"/>
      <c r="PG14" s="7"/>
      <c r="PH14" s="19"/>
      <c r="PI14" s="19"/>
      <c r="PJ14" s="19"/>
      <c r="PK14" s="19"/>
      <c r="PM14" s="8"/>
    </row>
    <row r="15" spans="1:429" s="1" customFormat="1" ht="26" customHeight="1" outlineLevel="1">
      <c r="B15" s="471"/>
      <c r="C15" s="7"/>
      <c r="D15" s="19"/>
      <c r="E15" s="19"/>
      <c r="F15" s="19"/>
      <c r="G15" s="19"/>
      <c r="I15" s="8"/>
      <c r="J15" s="7"/>
      <c r="K15" s="19"/>
      <c r="L15" s="19"/>
      <c r="M15" s="19"/>
      <c r="N15" s="19"/>
      <c r="P15" s="8"/>
      <c r="Q15" s="7"/>
      <c r="R15" s="19"/>
      <c r="S15" s="19"/>
      <c r="T15" s="19"/>
      <c r="U15" s="19"/>
      <c r="W15" s="8"/>
      <c r="X15" s="7"/>
      <c r="Y15" s="19"/>
      <c r="Z15" s="19"/>
      <c r="AA15" s="19"/>
      <c r="AB15" s="19"/>
      <c r="AD15" s="8"/>
      <c r="AE15" s="7"/>
      <c r="AF15" s="19"/>
      <c r="AG15" s="19"/>
      <c r="AH15" s="19"/>
      <c r="AI15" s="19"/>
      <c r="AK15" s="8"/>
      <c r="AL15" s="7"/>
      <c r="AM15" s="19"/>
      <c r="AN15" s="19"/>
      <c r="AO15" s="19"/>
      <c r="AP15" s="19"/>
      <c r="AR15" s="8"/>
      <c r="AS15" s="7"/>
      <c r="AT15" s="19"/>
      <c r="AU15" s="19"/>
      <c r="AV15" s="19"/>
      <c r="AW15" s="19"/>
      <c r="AY15" s="8"/>
      <c r="AZ15" s="7"/>
      <c r="BA15" s="19"/>
      <c r="BB15" s="19"/>
      <c r="BC15" s="19"/>
      <c r="BD15" s="19"/>
      <c r="BF15" s="8"/>
      <c r="BG15" s="7"/>
      <c r="BH15" s="19"/>
      <c r="BI15" s="19"/>
      <c r="BJ15" s="19"/>
      <c r="BK15" s="19"/>
      <c r="BM15" s="8"/>
      <c r="BN15" s="7"/>
      <c r="BO15" s="19"/>
      <c r="BP15" s="19"/>
      <c r="BQ15" s="19"/>
      <c r="BR15" s="19"/>
      <c r="BT15" s="8"/>
      <c r="BU15" s="7" t="s">
        <v>128</v>
      </c>
      <c r="BV15" s="19" t="s">
        <v>140</v>
      </c>
      <c r="BW15" s="19"/>
      <c r="BX15" s="19"/>
      <c r="BY15" s="19"/>
      <c r="CA15" s="8" t="s">
        <v>137</v>
      </c>
      <c r="CB15" s="7"/>
      <c r="CC15" s="19"/>
      <c r="CD15" s="19"/>
      <c r="CE15" s="19"/>
      <c r="CF15" s="19"/>
      <c r="CH15" s="8"/>
      <c r="CI15" s="7"/>
      <c r="CJ15" s="19"/>
      <c r="CK15" s="19"/>
      <c r="CL15" s="19"/>
      <c r="CM15" s="19"/>
      <c r="CO15" s="8"/>
      <c r="CP15" s="7"/>
      <c r="CQ15" s="19"/>
      <c r="CR15" s="19"/>
      <c r="CS15" s="19"/>
      <c r="CT15" s="19"/>
      <c r="CV15" s="8"/>
      <c r="CW15" s="7"/>
      <c r="CX15" s="19"/>
      <c r="CY15" s="19"/>
      <c r="CZ15" s="19"/>
      <c r="DA15" s="19"/>
      <c r="DC15" s="8"/>
      <c r="DD15" s="7"/>
      <c r="DE15" s="19"/>
      <c r="DF15" s="19"/>
      <c r="DG15" s="19"/>
      <c r="DH15" s="19"/>
      <c r="DJ15" s="8"/>
      <c r="DK15" s="7" t="s">
        <v>128</v>
      </c>
      <c r="DL15" s="19" t="s">
        <v>98</v>
      </c>
      <c r="DM15" s="19"/>
      <c r="DN15" s="19"/>
      <c r="DO15" s="19"/>
      <c r="DQ15" s="8">
        <v>8</v>
      </c>
      <c r="DR15" s="7" t="s">
        <v>128</v>
      </c>
      <c r="DS15" s="19" t="s">
        <v>134</v>
      </c>
      <c r="DT15" s="19"/>
      <c r="DU15" s="19"/>
      <c r="DV15" s="19"/>
      <c r="DX15" s="8">
        <v>8</v>
      </c>
      <c r="DY15" s="7" t="s">
        <v>128</v>
      </c>
      <c r="DZ15" s="19" t="s">
        <v>134</v>
      </c>
      <c r="EA15" s="19"/>
      <c r="EB15" s="19"/>
      <c r="EC15" s="19"/>
      <c r="EE15" s="8">
        <v>8</v>
      </c>
      <c r="EF15" s="7" t="s">
        <v>128</v>
      </c>
      <c r="EG15" s="19" t="s">
        <v>420</v>
      </c>
      <c r="EH15" s="19"/>
      <c r="EI15" s="19"/>
      <c r="EJ15" s="19"/>
      <c r="EL15" s="8">
        <v>8</v>
      </c>
      <c r="EM15" s="7" t="s">
        <v>128</v>
      </c>
      <c r="EN15" s="19" t="s">
        <v>420</v>
      </c>
      <c r="EO15" s="19"/>
      <c r="EP15" s="19"/>
      <c r="EQ15" s="19"/>
      <c r="ES15" s="8">
        <v>8</v>
      </c>
      <c r="ET15" s="7" t="s">
        <v>128</v>
      </c>
      <c r="EU15" s="19" t="s">
        <v>420</v>
      </c>
      <c r="EV15" s="19"/>
      <c r="EW15" s="19"/>
      <c r="EX15" s="19"/>
      <c r="EZ15" s="8">
        <v>8</v>
      </c>
      <c r="FA15" s="7"/>
      <c r="FB15" s="19"/>
      <c r="FC15" s="19"/>
      <c r="FD15" s="19"/>
      <c r="FE15" s="19"/>
      <c r="FG15" s="8"/>
      <c r="FH15" s="7"/>
      <c r="FI15" s="19"/>
      <c r="FJ15" s="19"/>
      <c r="FK15" s="19"/>
      <c r="FL15" s="19"/>
      <c r="FN15" s="8"/>
      <c r="FO15" s="7"/>
      <c r="FP15" s="19"/>
      <c r="FQ15" s="19"/>
      <c r="FR15" s="19"/>
      <c r="FS15" s="19"/>
      <c r="FU15" s="8"/>
      <c r="FV15" s="7"/>
      <c r="FW15" s="19"/>
      <c r="FX15" s="19"/>
      <c r="FY15" s="19"/>
      <c r="FZ15" s="19"/>
      <c r="GB15" s="8"/>
      <c r="GC15" s="7"/>
      <c r="GD15" s="19"/>
      <c r="GE15" s="19"/>
      <c r="GF15" s="19"/>
      <c r="GG15" s="19"/>
      <c r="GI15" s="8"/>
      <c r="GJ15" s="7"/>
      <c r="GK15" s="19"/>
      <c r="GL15" s="19"/>
      <c r="GM15" s="19"/>
      <c r="GN15" s="19"/>
      <c r="GP15" s="8"/>
      <c r="GQ15" s="7"/>
      <c r="GR15" s="19"/>
      <c r="GS15" s="19"/>
      <c r="GT15" s="19"/>
      <c r="GU15" s="19"/>
      <c r="GW15" s="8"/>
      <c r="GX15" s="7"/>
      <c r="GY15" s="19"/>
      <c r="GZ15" s="19"/>
      <c r="HA15" s="19"/>
      <c r="HB15" s="19"/>
      <c r="HD15" s="8"/>
      <c r="HE15" s="7"/>
      <c r="HF15" s="19"/>
      <c r="HG15" s="19"/>
      <c r="HH15" s="19"/>
      <c r="HI15" s="19"/>
      <c r="HK15" s="8"/>
      <c r="HL15" s="7"/>
      <c r="HM15" s="19"/>
      <c r="HN15" s="19"/>
      <c r="HO15" s="19"/>
      <c r="HP15" s="19"/>
      <c r="HR15" s="8"/>
      <c r="HS15" s="7"/>
      <c r="HT15" s="19"/>
      <c r="HU15" s="19"/>
      <c r="HV15" s="19"/>
      <c r="HW15" s="19"/>
      <c r="HY15" s="8"/>
      <c r="HZ15" s="7"/>
      <c r="IA15" s="19"/>
      <c r="IB15" s="19"/>
      <c r="IC15" s="19"/>
      <c r="ID15" s="19"/>
      <c r="IF15" s="8"/>
      <c r="IG15" s="7"/>
      <c r="IH15" s="19"/>
      <c r="II15" s="19"/>
      <c r="IJ15" s="19"/>
      <c r="IK15" s="19"/>
      <c r="IM15" s="8"/>
      <c r="IN15" s="7"/>
      <c r="IO15" s="19"/>
      <c r="IP15" s="19"/>
      <c r="IQ15" s="19"/>
      <c r="IR15" s="19"/>
      <c r="IT15" s="8"/>
      <c r="IU15" s="7"/>
      <c r="IV15" s="19"/>
      <c r="IW15" s="19"/>
      <c r="IX15" s="19"/>
      <c r="IY15" s="19"/>
      <c r="JA15" s="8"/>
      <c r="JB15" s="7"/>
      <c r="JC15" s="19"/>
      <c r="JD15" s="19"/>
      <c r="JE15" s="19"/>
      <c r="JF15" s="19"/>
      <c r="JH15" s="8"/>
      <c r="JI15" s="7"/>
      <c r="JJ15" s="19"/>
      <c r="JK15" s="19"/>
      <c r="JL15" s="19"/>
      <c r="JM15" s="19"/>
      <c r="JO15" s="8"/>
      <c r="JP15" s="7"/>
      <c r="JQ15" s="19"/>
      <c r="JR15" s="19"/>
      <c r="JS15" s="19"/>
      <c r="JT15" s="19"/>
      <c r="JV15" s="8"/>
      <c r="JW15" s="7"/>
      <c r="JX15" s="19"/>
      <c r="JY15" s="19"/>
      <c r="JZ15" s="19"/>
      <c r="KA15" s="19"/>
      <c r="KC15" s="8"/>
      <c r="KD15" s="7"/>
      <c r="KE15" s="19"/>
      <c r="KF15" s="19"/>
      <c r="KG15" s="19"/>
      <c r="KH15" s="19"/>
      <c r="KJ15" s="8"/>
      <c r="KK15" s="7"/>
      <c r="KL15" s="19"/>
      <c r="KM15" s="19"/>
      <c r="KN15" s="19"/>
      <c r="KO15" s="19"/>
      <c r="KQ15" s="8"/>
      <c r="KR15" s="7"/>
      <c r="KS15" s="19"/>
      <c r="KT15" s="19"/>
      <c r="KU15" s="19"/>
      <c r="KV15" s="19"/>
      <c r="KX15" s="8"/>
      <c r="KY15" s="7"/>
      <c r="KZ15" s="19"/>
      <c r="LA15" s="19"/>
      <c r="LB15" s="19"/>
      <c r="LC15" s="19"/>
      <c r="LE15" s="8"/>
      <c r="LF15" s="7"/>
      <c r="LG15" s="19"/>
      <c r="LH15" s="19"/>
      <c r="LI15" s="19"/>
      <c r="LJ15" s="19"/>
      <c r="LL15" s="8"/>
      <c r="LM15" s="7"/>
      <c r="LN15" s="19"/>
      <c r="LO15" s="19"/>
      <c r="LP15" s="19"/>
      <c r="LQ15" s="19"/>
      <c r="LS15" s="8"/>
      <c r="LT15" s="7"/>
      <c r="LU15" s="19"/>
      <c r="LV15" s="19"/>
      <c r="LW15" s="19"/>
      <c r="LX15" s="19"/>
      <c r="LZ15" s="8"/>
      <c r="MA15" s="7"/>
      <c r="MB15" s="19"/>
      <c r="MC15" s="19"/>
      <c r="MD15" s="19"/>
      <c r="ME15" s="19"/>
      <c r="MG15" s="8"/>
      <c r="MH15" s="7"/>
      <c r="MI15" s="19"/>
      <c r="MJ15" s="19"/>
      <c r="MK15" s="19"/>
      <c r="ML15" s="19"/>
      <c r="MN15" s="8"/>
      <c r="MO15" s="7"/>
      <c r="MP15" s="19"/>
      <c r="MQ15" s="19"/>
      <c r="MR15" s="19"/>
      <c r="MS15" s="19"/>
      <c r="MU15" s="8"/>
      <c r="MV15" s="7"/>
      <c r="MW15" s="19"/>
      <c r="MX15" s="19"/>
      <c r="MY15" s="19"/>
      <c r="MZ15" s="19"/>
      <c r="NB15" s="8"/>
      <c r="NC15" s="7"/>
      <c r="ND15" s="19"/>
      <c r="NE15" s="19"/>
      <c r="NF15" s="19"/>
      <c r="NG15" s="19"/>
      <c r="NI15" s="8"/>
      <c r="NJ15" s="7"/>
      <c r="NK15" s="19"/>
      <c r="NL15" s="19"/>
      <c r="NM15" s="19"/>
      <c r="NN15" s="19"/>
      <c r="NP15" s="8"/>
      <c r="NQ15" s="7"/>
      <c r="NR15" s="19"/>
      <c r="NS15" s="19"/>
      <c r="NT15" s="19"/>
      <c r="NU15" s="19"/>
      <c r="NW15" s="8"/>
      <c r="NX15" s="7"/>
      <c r="NY15" s="19"/>
      <c r="NZ15" s="19"/>
      <c r="OA15" s="19"/>
      <c r="OB15" s="19"/>
      <c r="OD15" s="8"/>
      <c r="OE15" s="7"/>
      <c r="OF15" s="19"/>
      <c r="OG15" s="19"/>
      <c r="OH15" s="19"/>
      <c r="OI15" s="19"/>
      <c r="OK15" s="8"/>
      <c r="OL15" s="7"/>
      <c r="OM15" s="19"/>
      <c r="ON15" s="19"/>
      <c r="OO15" s="19"/>
      <c r="OP15" s="19"/>
      <c r="OR15" s="8"/>
      <c r="OS15" s="7"/>
      <c r="OT15" s="19"/>
      <c r="OU15" s="19"/>
      <c r="OV15" s="19"/>
      <c r="OW15" s="19"/>
      <c r="OY15" s="8"/>
      <c r="OZ15" s="7"/>
      <c r="PA15" s="19"/>
      <c r="PB15" s="19"/>
      <c r="PC15" s="19"/>
      <c r="PD15" s="19"/>
      <c r="PF15" s="8"/>
      <c r="PG15" s="7"/>
      <c r="PH15" s="19"/>
      <c r="PI15" s="19"/>
      <c r="PJ15" s="19"/>
      <c r="PK15" s="19"/>
      <c r="PM15" s="8"/>
    </row>
    <row r="16" spans="1:429" s="1" customFormat="1" ht="26" customHeight="1" outlineLevel="1">
      <c r="B16" s="471"/>
      <c r="C16" s="7"/>
      <c r="D16" s="19"/>
      <c r="E16" s="19"/>
      <c r="F16" s="19"/>
      <c r="G16" s="19"/>
      <c r="I16" s="8"/>
      <c r="J16" s="7"/>
      <c r="K16" s="19"/>
      <c r="L16" s="19"/>
      <c r="M16" s="19"/>
      <c r="N16" s="19"/>
      <c r="P16" s="8"/>
      <c r="Q16" s="7"/>
      <c r="R16" s="19"/>
      <c r="S16" s="19"/>
      <c r="T16" s="19"/>
      <c r="U16" s="19"/>
      <c r="W16" s="8"/>
      <c r="X16" s="7"/>
      <c r="Y16" s="19"/>
      <c r="Z16" s="19"/>
      <c r="AA16" s="19"/>
      <c r="AB16" s="19"/>
      <c r="AD16" s="8"/>
      <c r="AE16" s="7"/>
      <c r="AF16" s="19"/>
      <c r="AG16" s="19"/>
      <c r="AH16" s="19"/>
      <c r="AI16" s="19"/>
      <c r="AK16" s="8"/>
      <c r="AL16" s="7"/>
      <c r="AM16" s="19"/>
      <c r="AN16" s="19"/>
      <c r="AO16" s="19"/>
      <c r="AP16" s="19"/>
      <c r="AR16" s="8"/>
      <c r="AS16" s="7"/>
      <c r="AT16" s="19"/>
      <c r="AU16" s="19"/>
      <c r="AV16" s="19"/>
      <c r="AW16" s="19"/>
      <c r="AY16" s="8"/>
      <c r="AZ16" s="7"/>
      <c r="BA16" s="19"/>
      <c r="BB16" s="19"/>
      <c r="BC16" s="19"/>
      <c r="BD16" s="19"/>
      <c r="BF16" s="8"/>
      <c r="BG16" s="7"/>
      <c r="BH16" s="19"/>
      <c r="BI16" s="19"/>
      <c r="BJ16" s="19"/>
      <c r="BK16" s="19"/>
      <c r="BM16" s="8"/>
      <c r="BN16" s="7"/>
      <c r="BO16" s="19"/>
      <c r="BP16" s="19"/>
      <c r="BQ16" s="19"/>
      <c r="BR16" s="19"/>
      <c r="BT16" s="8"/>
      <c r="BU16" s="7"/>
      <c r="BV16" s="19"/>
      <c r="BW16" s="19"/>
      <c r="BX16" s="19"/>
      <c r="BY16" s="19"/>
      <c r="CA16" s="8"/>
      <c r="CB16" s="7"/>
      <c r="CC16" s="19"/>
      <c r="CD16" s="19"/>
      <c r="CE16" s="19"/>
      <c r="CF16" s="19"/>
      <c r="CH16" s="8"/>
      <c r="CI16" s="7"/>
      <c r="CJ16" s="19"/>
      <c r="CK16" s="19"/>
      <c r="CL16" s="19"/>
      <c r="CM16" s="19"/>
      <c r="CO16" s="8"/>
      <c r="CP16" s="7"/>
      <c r="CQ16" s="19"/>
      <c r="CR16" s="19"/>
      <c r="CS16" s="19"/>
      <c r="CT16" s="19"/>
      <c r="CV16" s="8"/>
      <c r="CW16" s="7"/>
      <c r="CX16" s="19"/>
      <c r="CY16" s="19"/>
      <c r="CZ16" s="19"/>
      <c r="DA16" s="19"/>
      <c r="DC16" s="8"/>
      <c r="DD16" s="7"/>
      <c r="DE16" s="19"/>
      <c r="DF16" s="19"/>
      <c r="DG16" s="19"/>
      <c r="DH16" s="19"/>
      <c r="DJ16" s="8"/>
      <c r="DK16" s="7" t="s">
        <v>129</v>
      </c>
      <c r="DL16" s="19" t="s">
        <v>99</v>
      </c>
      <c r="DM16" s="19"/>
      <c r="DN16" s="19"/>
      <c r="DO16" s="19"/>
      <c r="DQ16" s="8">
        <v>4</v>
      </c>
      <c r="DR16" s="7" t="s">
        <v>129</v>
      </c>
      <c r="DS16" s="19" t="s">
        <v>99</v>
      </c>
      <c r="DT16" s="19"/>
      <c r="DU16" s="19"/>
      <c r="DV16" s="19"/>
      <c r="DX16" s="8">
        <v>4</v>
      </c>
      <c r="DY16" s="7" t="s">
        <v>129</v>
      </c>
      <c r="DZ16" s="19" t="s">
        <v>99</v>
      </c>
      <c r="EA16" s="19"/>
      <c r="EB16" s="19"/>
      <c r="EC16" s="19"/>
      <c r="EE16" s="8">
        <v>4</v>
      </c>
      <c r="EF16" s="7" t="s">
        <v>129</v>
      </c>
      <c r="EG16" s="19" t="s">
        <v>99</v>
      </c>
      <c r="EH16" s="19"/>
      <c r="EI16" s="19"/>
      <c r="EJ16" s="19"/>
      <c r="EL16" s="8">
        <v>4</v>
      </c>
      <c r="EM16" s="7" t="s">
        <v>129</v>
      </c>
      <c r="EN16" s="19" t="s">
        <v>99</v>
      </c>
      <c r="EO16" s="19"/>
      <c r="EP16" s="19"/>
      <c r="EQ16" s="19"/>
      <c r="ES16" s="8">
        <v>4</v>
      </c>
      <c r="ET16" s="7" t="s">
        <v>129</v>
      </c>
      <c r="EU16" s="19" t="s">
        <v>99</v>
      </c>
      <c r="EV16" s="19"/>
      <c r="EW16" s="19"/>
      <c r="EX16" s="19"/>
      <c r="EZ16" s="8">
        <v>4</v>
      </c>
      <c r="FA16" s="7"/>
      <c r="FB16" s="19"/>
      <c r="FC16" s="19"/>
      <c r="FD16" s="19"/>
      <c r="FE16" s="19"/>
      <c r="FG16" s="8"/>
      <c r="FH16" s="7"/>
      <c r="FI16" s="19"/>
      <c r="FJ16" s="19"/>
      <c r="FK16" s="19"/>
      <c r="FL16" s="19"/>
      <c r="FN16" s="8"/>
      <c r="FO16" s="7"/>
      <c r="FP16" s="19"/>
      <c r="FQ16" s="19"/>
      <c r="FR16" s="19"/>
      <c r="FS16" s="19"/>
      <c r="FU16" s="8"/>
      <c r="FV16" s="7"/>
      <c r="FW16" s="19"/>
      <c r="FX16" s="19"/>
      <c r="FY16" s="19"/>
      <c r="FZ16" s="19"/>
      <c r="GB16" s="8"/>
      <c r="GC16" s="7"/>
      <c r="GD16" s="19"/>
      <c r="GE16" s="19"/>
      <c r="GF16" s="19"/>
      <c r="GG16" s="19"/>
      <c r="GI16" s="8"/>
      <c r="GJ16" s="7"/>
      <c r="GK16" s="19"/>
      <c r="GL16" s="19"/>
      <c r="GM16" s="19"/>
      <c r="GN16" s="19"/>
      <c r="GP16" s="8"/>
      <c r="GQ16" s="7"/>
      <c r="GR16" s="19"/>
      <c r="GS16" s="19"/>
      <c r="GT16" s="19"/>
      <c r="GU16" s="19"/>
      <c r="GW16" s="8"/>
      <c r="GX16" s="7"/>
      <c r="GY16" s="19"/>
      <c r="GZ16" s="19"/>
      <c r="HA16" s="19"/>
      <c r="HB16" s="19"/>
      <c r="HD16" s="8"/>
      <c r="HE16" s="7"/>
      <c r="HF16" s="19"/>
      <c r="HG16" s="19"/>
      <c r="HH16" s="19"/>
      <c r="HI16" s="19"/>
      <c r="HK16" s="8"/>
      <c r="HL16" s="7"/>
      <c r="HM16" s="19"/>
      <c r="HN16" s="19"/>
      <c r="HO16" s="19"/>
      <c r="HP16" s="19"/>
      <c r="HR16" s="8"/>
      <c r="HS16" s="7"/>
      <c r="HT16" s="19"/>
      <c r="HU16" s="19"/>
      <c r="HV16" s="19"/>
      <c r="HW16" s="19"/>
      <c r="HY16" s="8"/>
      <c r="HZ16" s="7"/>
      <c r="IA16" s="19"/>
      <c r="IB16" s="19"/>
      <c r="IC16" s="19"/>
      <c r="ID16" s="19"/>
      <c r="IF16" s="8"/>
      <c r="IG16" s="7"/>
      <c r="IH16" s="19"/>
      <c r="II16" s="19"/>
      <c r="IJ16" s="19"/>
      <c r="IK16" s="19"/>
      <c r="IM16" s="8"/>
      <c r="IN16" s="7"/>
      <c r="IO16" s="19"/>
      <c r="IP16" s="19"/>
      <c r="IQ16" s="19"/>
      <c r="IR16" s="19"/>
      <c r="IT16" s="8"/>
      <c r="IU16" s="7"/>
      <c r="IV16" s="19"/>
      <c r="IW16" s="19"/>
      <c r="IX16" s="19"/>
      <c r="IY16" s="19"/>
      <c r="JA16" s="8"/>
      <c r="JB16" s="7"/>
      <c r="JC16" s="19"/>
      <c r="JD16" s="19"/>
      <c r="JE16" s="19"/>
      <c r="JF16" s="19"/>
      <c r="JH16" s="8"/>
      <c r="JI16" s="7"/>
      <c r="JJ16" s="19"/>
      <c r="JK16" s="19"/>
      <c r="JL16" s="19"/>
      <c r="JM16" s="19"/>
      <c r="JO16" s="8"/>
      <c r="JP16" s="7"/>
      <c r="JQ16" s="19"/>
      <c r="JR16" s="19"/>
      <c r="JS16" s="19"/>
      <c r="JT16" s="19"/>
      <c r="JV16" s="8"/>
      <c r="JW16" s="7"/>
      <c r="JX16" s="19"/>
      <c r="JY16" s="19"/>
      <c r="JZ16" s="19"/>
      <c r="KA16" s="19"/>
      <c r="KC16" s="8"/>
      <c r="KD16" s="7"/>
      <c r="KE16" s="19"/>
      <c r="KF16" s="19"/>
      <c r="KG16" s="19"/>
      <c r="KH16" s="19"/>
      <c r="KJ16" s="8"/>
      <c r="KK16" s="7"/>
      <c r="KL16" s="19"/>
      <c r="KM16" s="19"/>
      <c r="KN16" s="19"/>
      <c r="KO16" s="19"/>
      <c r="KQ16" s="8"/>
      <c r="KR16" s="7"/>
      <c r="KS16" s="19"/>
      <c r="KT16" s="19"/>
      <c r="KU16" s="19"/>
      <c r="KV16" s="19"/>
      <c r="KX16" s="8"/>
      <c r="KY16" s="7"/>
      <c r="KZ16" s="19"/>
      <c r="LA16" s="19"/>
      <c r="LB16" s="19"/>
      <c r="LC16" s="19"/>
      <c r="LE16" s="8"/>
      <c r="LF16" s="7"/>
      <c r="LG16" s="19"/>
      <c r="LH16" s="19"/>
      <c r="LI16" s="19"/>
      <c r="LJ16" s="19"/>
      <c r="LL16" s="8"/>
      <c r="LM16" s="7"/>
      <c r="LN16" s="19"/>
      <c r="LO16" s="19"/>
      <c r="LP16" s="19"/>
      <c r="LQ16" s="19"/>
      <c r="LS16" s="8"/>
      <c r="LT16" s="7"/>
      <c r="LU16" s="19"/>
      <c r="LV16" s="19"/>
      <c r="LW16" s="19"/>
      <c r="LX16" s="19"/>
      <c r="LZ16" s="8"/>
      <c r="MA16" s="7"/>
      <c r="MB16" s="19"/>
      <c r="MC16" s="19"/>
      <c r="MD16" s="19"/>
      <c r="ME16" s="19"/>
      <c r="MG16" s="8"/>
      <c r="MH16" s="7"/>
      <c r="MI16" s="19"/>
      <c r="MJ16" s="19"/>
      <c r="MK16" s="19"/>
      <c r="ML16" s="19"/>
      <c r="MN16" s="8"/>
      <c r="MO16" s="7"/>
      <c r="MP16" s="19"/>
      <c r="MQ16" s="19"/>
      <c r="MR16" s="19"/>
      <c r="MS16" s="19"/>
      <c r="MU16" s="8"/>
      <c r="MV16" s="7"/>
      <c r="MW16" s="19"/>
      <c r="MX16" s="19"/>
      <c r="MY16" s="19"/>
      <c r="MZ16" s="19"/>
      <c r="NB16" s="8"/>
      <c r="NC16" s="7"/>
      <c r="ND16" s="19"/>
      <c r="NE16" s="19"/>
      <c r="NF16" s="19"/>
      <c r="NG16" s="19"/>
      <c r="NI16" s="8"/>
      <c r="NJ16" s="7"/>
      <c r="NK16" s="19"/>
      <c r="NL16" s="19"/>
      <c r="NM16" s="19"/>
      <c r="NN16" s="19"/>
      <c r="NP16" s="8"/>
      <c r="NQ16" s="7"/>
      <c r="NR16" s="19"/>
      <c r="NS16" s="19"/>
      <c r="NT16" s="19"/>
      <c r="NU16" s="19"/>
      <c r="NW16" s="8"/>
      <c r="NX16" s="7"/>
      <c r="NY16" s="19"/>
      <c r="NZ16" s="19"/>
      <c r="OA16" s="19"/>
      <c r="OB16" s="19"/>
      <c r="OD16" s="8"/>
      <c r="OE16" s="7"/>
      <c r="OF16" s="19"/>
      <c r="OG16" s="19"/>
      <c r="OH16" s="19"/>
      <c r="OI16" s="19"/>
      <c r="OK16" s="8"/>
      <c r="OL16" s="7"/>
      <c r="OM16" s="19"/>
      <c r="ON16" s="19"/>
      <c r="OO16" s="19"/>
      <c r="OP16" s="19"/>
      <c r="OR16" s="8"/>
      <c r="OS16" s="7"/>
      <c r="OT16" s="19"/>
      <c r="OU16" s="19"/>
      <c r="OV16" s="19"/>
      <c r="OW16" s="19"/>
      <c r="OY16" s="8"/>
      <c r="OZ16" s="7"/>
      <c r="PA16" s="19"/>
      <c r="PB16" s="19"/>
      <c r="PC16" s="19"/>
      <c r="PD16" s="19"/>
      <c r="PF16" s="8"/>
      <c r="PG16" s="7"/>
      <c r="PH16" s="19"/>
      <c r="PI16" s="19"/>
      <c r="PJ16" s="19"/>
      <c r="PK16" s="19"/>
      <c r="PM16" s="8"/>
    </row>
    <row r="17" spans="1:429" s="1" customFormat="1" ht="26" customHeight="1" outlineLevel="1">
      <c r="B17" s="471"/>
      <c r="C17" s="7"/>
      <c r="D17" s="19"/>
      <c r="E17" s="19"/>
      <c r="F17" s="19"/>
      <c r="G17" s="19"/>
      <c r="I17" s="8"/>
      <c r="J17" s="7"/>
      <c r="K17" s="19"/>
      <c r="L17" s="19"/>
      <c r="M17" s="19"/>
      <c r="N17" s="19"/>
      <c r="P17" s="8"/>
      <c r="Q17" s="7"/>
      <c r="R17" s="19"/>
      <c r="S17" s="19"/>
      <c r="T17" s="19"/>
      <c r="U17" s="19"/>
      <c r="W17" s="8"/>
      <c r="X17" s="7"/>
      <c r="Y17" s="19"/>
      <c r="Z17" s="19"/>
      <c r="AA17" s="19"/>
      <c r="AB17" s="19"/>
      <c r="AD17" s="8"/>
      <c r="AE17" s="7"/>
      <c r="AF17" s="19"/>
      <c r="AG17" s="19"/>
      <c r="AH17" s="19"/>
      <c r="AI17" s="19"/>
      <c r="AK17" s="8"/>
      <c r="AL17" s="7"/>
      <c r="AM17" s="19"/>
      <c r="AN17" s="19"/>
      <c r="AO17" s="19"/>
      <c r="AP17" s="19"/>
      <c r="AR17" s="8"/>
      <c r="AS17" s="7"/>
      <c r="AT17" s="19"/>
      <c r="AU17" s="19"/>
      <c r="AV17" s="19"/>
      <c r="AW17" s="19"/>
      <c r="AY17" s="8"/>
      <c r="AZ17" s="7"/>
      <c r="BA17" s="19"/>
      <c r="BB17" s="19"/>
      <c r="BC17" s="19"/>
      <c r="BD17" s="19"/>
      <c r="BF17" s="8"/>
      <c r="BG17" s="7"/>
      <c r="BH17" s="19"/>
      <c r="BI17" s="19"/>
      <c r="BJ17" s="19"/>
      <c r="BK17" s="19"/>
      <c r="BM17" s="8"/>
      <c r="BN17" s="7"/>
      <c r="BO17" s="19"/>
      <c r="BP17" s="19"/>
      <c r="BQ17" s="19"/>
      <c r="BR17" s="19"/>
      <c r="BT17" s="8"/>
      <c r="BU17" s="7"/>
      <c r="BV17" s="19"/>
      <c r="BW17" s="19"/>
      <c r="BX17" s="19"/>
      <c r="BY17" s="19"/>
      <c r="CA17" s="8"/>
      <c r="CB17" s="7"/>
      <c r="CC17" s="19"/>
      <c r="CD17" s="19"/>
      <c r="CE17" s="19"/>
      <c r="CF17" s="19"/>
      <c r="CH17" s="8"/>
      <c r="CI17" s="7"/>
      <c r="CJ17" s="19"/>
      <c r="CK17" s="19"/>
      <c r="CL17" s="19"/>
      <c r="CM17" s="19"/>
      <c r="CO17" s="8"/>
      <c r="CP17" s="7"/>
      <c r="CQ17" s="19"/>
      <c r="CR17" s="19"/>
      <c r="CS17" s="19"/>
      <c r="CT17" s="19"/>
      <c r="CV17" s="8"/>
      <c r="CW17" s="7"/>
      <c r="CX17" s="19"/>
      <c r="CY17" s="19"/>
      <c r="CZ17" s="19"/>
      <c r="DA17" s="19"/>
      <c r="DC17" s="8"/>
      <c r="DD17" s="7"/>
      <c r="DE17" s="19"/>
      <c r="DF17" s="19"/>
      <c r="DG17" s="19"/>
      <c r="DH17" s="19"/>
      <c r="DJ17" s="8"/>
      <c r="DK17" s="7" t="s">
        <v>130</v>
      </c>
      <c r="DL17" s="19" t="s">
        <v>100</v>
      </c>
      <c r="DM17" s="19"/>
      <c r="DN17" s="19"/>
      <c r="DO17" s="19"/>
      <c r="DQ17" s="8">
        <v>8</v>
      </c>
      <c r="DR17" s="7" t="s">
        <v>130</v>
      </c>
      <c r="DS17" s="19" t="s">
        <v>100</v>
      </c>
      <c r="DT17" s="19"/>
      <c r="DU17" s="19"/>
      <c r="DV17" s="19"/>
      <c r="DX17" s="8">
        <v>8</v>
      </c>
      <c r="DY17" s="7" t="s">
        <v>130</v>
      </c>
      <c r="DZ17" s="19" t="s">
        <v>100</v>
      </c>
      <c r="EA17" s="19"/>
      <c r="EB17" s="19"/>
      <c r="EC17" s="19"/>
      <c r="EE17" s="8">
        <v>8</v>
      </c>
      <c r="EF17" s="7" t="s">
        <v>130</v>
      </c>
      <c r="EG17" s="19" t="s">
        <v>100</v>
      </c>
      <c r="EH17" s="19"/>
      <c r="EI17" s="19"/>
      <c r="EJ17" s="19"/>
      <c r="EL17" s="8">
        <v>8</v>
      </c>
      <c r="EM17" s="7" t="s">
        <v>130</v>
      </c>
      <c r="EN17" s="19" t="s">
        <v>100</v>
      </c>
      <c r="EO17" s="19"/>
      <c r="EP17" s="19"/>
      <c r="EQ17" s="19"/>
      <c r="ES17" s="8">
        <v>8</v>
      </c>
      <c r="ET17" s="7" t="s">
        <v>130</v>
      </c>
      <c r="EU17" s="19" t="s">
        <v>100</v>
      </c>
      <c r="EV17" s="19"/>
      <c r="EW17" s="19"/>
      <c r="EX17" s="19"/>
      <c r="EZ17" s="8">
        <v>8</v>
      </c>
      <c r="FA17" s="7"/>
      <c r="FB17" s="19"/>
      <c r="FC17" s="19"/>
      <c r="FD17" s="19"/>
      <c r="FE17" s="19"/>
      <c r="FG17" s="8"/>
      <c r="FH17" s="7"/>
      <c r="FI17" s="19"/>
      <c r="FJ17" s="19"/>
      <c r="FK17" s="19"/>
      <c r="FL17" s="19"/>
      <c r="FN17" s="8"/>
      <c r="FO17" s="7"/>
      <c r="FP17" s="19"/>
      <c r="FQ17" s="19"/>
      <c r="FR17" s="19"/>
      <c r="FS17" s="19"/>
      <c r="FU17" s="8"/>
      <c r="FV17" s="7"/>
      <c r="FW17" s="19"/>
      <c r="FX17" s="19"/>
      <c r="FY17" s="19"/>
      <c r="FZ17" s="19"/>
      <c r="GB17" s="8"/>
      <c r="GC17" s="7"/>
      <c r="GD17" s="19"/>
      <c r="GE17" s="19"/>
      <c r="GF17" s="19"/>
      <c r="GG17" s="19"/>
      <c r="GI17" s="8"/>
      <c r="GJ17" s="7"/>
      <c r="GK17" s="19"/>
      <c r="GL17" s="19"/>
      <c r="GM17" s="19"/>
      <c r="GN17" s="19"/>
      <c r="GP17" s="8"/>
      <c r="GQ17" s="7"/>
      <c r="GR17" s="19"/>
      <c r="GS17" s="19"/>
      <c r="GT17" s="19"/>
      <c r="GU17" s="19"/>
      <c r="GW17" s="8"/>
      <c r="GX17" s="7"/>
      <c r="GY17" s="19"/>
      <c r="GZ17" s="19"/>
      <c r="HA17" s="19"/>
      <c r="HB17" s="19"/>
      <c r="HD17" s="8"/>
      <c r="HE17" s="7"/>
      <c r="HF17" s="19"/>
      <c r="HG17" s="19"/>
      <c r="HH17" s="19"/>
      <c r="HI17" s="19"/>
      <c r="HK17" s="8"/>
      <c r="HL17" s="7"/>
      <c r="HM17" s="19"/>
      <c r="HN17" s="19"/>
      <c r="HO17" s="19"/>
      <c r="HP17" s="19"/>
      <c r="HR17" s="8"/>
      <c r="HS17" s="7"/>
      <c r="HT17" s="19"/>
      <c r="HU17" s="19"/>
      <c r="HV17" s="19"/>
      <c r="HW17" s="19"/>
      <c r="HY17" s="8"/>
      <c r="HZ17" s="7"/>
      <c r="IA17" s="19"/>
      <c r="IB17" s="19"/>
      <c r="IC17" s="19"/>
      <c r="ID17" s="19"/>
      <c r="IF17" s="8"/>
      <c r="IG17" s="7"/>
      <c r="IH17" s="19"/>
      <c r="II17" s="19"/>
      <c r="IJ17" s="19"/>
      <c r="IK17" s="19"/>
      <c r="IM17" s="8"/>
      <c r="IN17" s="7"/>
      <c r="IO17" s="19"/>
      <c r="IP17" s="19"/>
      <c r="IQ17" s="19"/>
      <c r="IR17" s="19"/>
      <c r="IT17" s="8"/>
      <c r="IU17" s="7"/>
      <c r="IV17" s="19"/>
      <c r="IW17" s="19"/>
      <c r="IX17" s="19"/>
      <c r="IY17" s="19"/>
      <c r="JA17" s="8"/>
      <c r="JB17" s="7"/>
      <c r="JC17" s="19"/>
      <c r="JD17" s="19"/>
      <c r="JE17" s="19"/>
      <c r="JF17" s="19"/>
      <c r="JH17" s="8"/>
      <c r="JI17" s="7"/>
      <c r="JJ17" s="19"/>
      <c r="JK17" s="19"/>
      <c r="JL17" s="19"/>
      <c r="JM17" s="19"/>
      <c r="JO17" s="8"/>
      <c r="JP17" s="7"/>
      <c r="JQ17" s="19"/>
      <c r="JR17" s="19"/>
      <c r="JS17" s="19"/>
      <c r="JT17" s="19"/>
      <c r="JV17" s="8"/>
      <c r="JW17" s="7"/>
      <c r="JX17" s="19"/>
      <c r="JY17" s="19"/>
      <c r="JZ17" s="19"/>
      <c r="KA17" s="19"/>
      <c r="KC17" s="8"/>
      <c r="KD17" s="7"/>
      <c r="KE17" s="19"/>
      <c r="KF17" s="19"/>
      <c r="KG17" s="19"/>
      <c r="KH17" s="19"/>
      <c r="KJ17" s="8"/>
      <c r="KK17" s="7"/>
      <c r="KL17" s="19"/>
      <c r="KM17" s="19"/>
      <c r="KN17" s="19"/>
      <c r="KO17" s="19"/>
      <c r="KQ17" s="8"/>
      <c r="KR17" s="7"/>
      <c r="KS17" s="19"/>
      <c r="KT17" s="19"/>
      <c r="KU17" s="19"/>
      <c r="KV17" s="19"/>
      <c r="KX17" s="8"/>
      <c r="KY17" s="7"/>
      <c r="KZ17" s="19"/>
      <c r="LA17" s="19"/>
      <c r="LB17" s="19"/>
      <c r="LC17" s="19"/>
      <c r="LE17" s="8"/>
      <c r="LF17" s="7"/>
      <c r="LG17" s="19"/>
      <c r="LH17" s="19"/>
      <c r="LI17" s="19"/>
      <c r="LJ17" s="19"/>
      <c r="LL17" s="8"/>
      <c r="LM17" s="7"/>
      <c r="LN17" s="19"/>
      <c r="LO17" s="19"/>
      <c r="LP17" s="19"/>
      <c r="LQ17" s="19"/>
      <c r="LS17" s="8"/>
      <c r="LT17" s="7"/>
      <c r="LU17" s="19"/>
      <c r="LV17" s="19"/>
      <c r="LW17" s="19"/>
      <c r="LX17" s="19"/>
      <c r="LZ17" s="8"/>
      <c r="MA17" s="7"/>
      <c r="MB17" s="19"/>
      <c r="MC17" s="19"/>
      <c r="MD17" s="19"/>
      <c r="ME17" s="19"/>
      <c r="MG17" s="8"/>
      <c r="MH17" s="7"/>
      <c r="MI17" s="19"/>
      <c r="MJ17" s="19"/>
      <c r="MK17" s="19"/>
      <c r="ML17" s="19"/>
      <c r="MN17" s="8"/>
      <c r="MO17" s="7"/>
      <c r="MP17" s="19"/>
      <c r="MQ17" s="19"/>
      <c r="MR17" s="19"/>
      <c r="MS17" s="19"/>
      <c r="MU17" s="8"/>
      <c r="MV17" s="7"/>
      <c r="MW17" s="19"/>
      <c r="MX17" s="19"/>
      <c r="MY17" s="19"/>
      <c r="MZ17" s="19"/>
      <c r="NB17" s="8"/>
      <c r="NC17" s="7"/>
      <c r="ND17" s="19"/>
      <c r="NE17" s="19"/>
      <c r="NF17" s="19"/>
      <c r="NG17" s="19"/>
      <c r="NI17" s="8"/>
      <c r="NJ17" s="7"/>
      <c r="NK17" s="19"/>
      <c r="NL17" s="19"/>
      <c r="NM17" s="19"/>
      <c r="NN17" s="19"/>
      <c r="NP17" s="8"/>
      <c r="NQ17" s="7"/>
      <c r="NR17" s="19"/>
      <c r="NS17" s="19"/>
      <c r="NT17" s="19"/>
      <c r="NU17" s="19"/>
      <c r="NW17" s="8"/>
      <c r="NX17" s="7"/>
      <c r="NY17" s="19"/>
      <c r="NZ17" s="19"/>
      <c r="OA17" s="19"/>
      <c r="OB17" s="19"/>
      <c r="OD17" s="8"/>
      <c r="OE17" s="7"/>
      <c r="OF17" s="19"/>
      <c r="OG17" s="19"/>
      <c r="OH17" s="19"/>
      <c r="OI17" s="19"/>
      <c r="OK17" s="8"/>
      <c r="OL17" s="7"/>
      <c r="OM17" s="19"/>
      <c r="ON17" s="19"/>
      <c r="OO17" s="19"/>
      <c r="OP17" s="19"/>
      <c r="OR17" s="8"/>
      <c r="OS17" s="7"/>
      <c r="OT17" s="19"/>
      <c r="OU17" s="19"/>
      <c r="OV17" s="19"/>
      <c r="OW17" s="19"/>
      <c r="OY17" s="8"/>
      <c r="OZ17" s="7"/>
      <c r="PA17" s="19"/>
      <c r="PB17" s="19"/>
      <c r="PC17" s="19"/>
      <c r="PD17" s="19"/>
      <c r="PF17" s="8"/>
      <c r="PG17" s="7"/>
      <c r="PH17" s="19"/>
      <c r="PI17" s="19"/>
      <c r="PJ17" s="19"/>
      <c r="PK17" s="19"/>
      <c r="PM17" s="8"/>
    </row>
    <row r="18" spans="1:429" s="1" customFormat="1" ht="26" customHeight="1" outlineLevel="1">
      <c r="B18" s="471"/>
      <c r="C18" s="7"/>
      <c r="D18" s="19"/>
      <c r="E18" s="19"/>
      <c r="F18" s="19"/>
      <c r="G18" s="19"/>
      <c r="I18" s="8"/>
      <c r="J18" s="7"/>
      <c r="K18" s="19"/>
      <c r="L18" s="19"/>
      <c r="M18" s="19"/>
      <c r="N18" s="19"/>
      <c r="P18" s="8"/>
      <c r="Q18" s="7"/>
      <c r="R18" s="19"/>
      <c r="S18" s="19"/>
      <c r="T18" s="19"/>
      <c r="U18" s="19"/>
      <c r="W18" s="8"/>
      <c r="X18" s="7"/>
      <c r="Y18" s="19"/>
      <c r="Z18" s="19"/>
      <c r="AA18" s="19"/>
      <c r="AB18" s="19"/>
      <c r="AD18" s="8"/>
      <c r="AE18" s="7"/>
      <c r="AF18" s="19"/>
      <c r="AG18" s="19"/>
      <c r="AH18" s="19"/>
      <c r="AI18" s="19"/>
      <c r="AK18" s="8"/>
      <c r="AL18" s="7"/>
      <c r="AM18" s="19"/>
      <c r="AN18" s="19"/>
      <c r="AO18" s="19"/>
      <c r="AP18" s="19"/>
      <c r="AR18" s="8"/>
      <c r="AS18" s="7"/>
      <c r="AT18" s="19"/>
      <c r="AU18" s="19"/>
      <c r="AV18" s="19"/>
      <c r="AW18" s="19"/>
      <c r="AY18" s="8"/>
      <c r="AZ18" s="7"/>
      <c r="BA18" s="19"/>
      <c r="BB18" s="19"/>
      <c r="BC18" s="19"/>
      <c r="BD18" s="19"/>
      <c r="BF18" s="8"/>
      <c r="BG18" s="7"/>
      <c r="BH18" s="19"/>
      <c r="BI18" s="19"/>
      <c r="BJ18" s="19"/>
      <c r="BK18" s="19"/>
      <c r="BM18" s="8"/>
      <c r="BN18" s="7"/>
      <c r="BO18" s="19"/>
      <c r="BP18" s="19"/>
      <c r="BQ18" s="19"/>
      <c r="BR18" s="19"/>
      <c r="BT18" s="8"/>
      <c r="BU18" s="7"/>
      <c r="BV18" s="19"/>
      <c r="BW18" s="19"/>
      <c r="BX18" s="19"/>
      <c r="BY18" s="19"/>
      <c r="CA18" s="8"/>
      <c r="CB18" s="7"/>
      <c r="CC18" s="19"/>
      <c r="CD18" s="19"/>
      <c r="CE18" s="19"/>
      <c r="CF18" s="19"/>
      <c r="CH18" s="8"/>
      <c r="CI18" s="7"/>
      <c r="CJ18" s="19"/>
      <c r="CK18" s="19"/>
      <c r="CL18" s="19"/>
      <c r="CM18" s="19"/>
      <c r="CO18" s="8"/>
      <c r="CP18" s="7"/>
      <c r="CQ18" s="19"/>
      <c r="CR18" s="19"/>
      <c r="CS18" s="19"/>
      <c r="CT18" s="19"/>
      <c r="CV18" s="8"/>
      <c r="CW18" s="7"/>
      <c r="CX18" s="19"/>
      <c r="CY18" s="19"/>
      <c r="CZ18" s="19"/>
      <c r="DA18" s="19"/>
      <c r="DC18" s="8"/>
      <c r="DD18" s="7"/>
      <c r="DE18" s="19"/>
      <c r="DF18" s="19"/>
      <c r="DG18" s="19"/>
      <c r="DH18" s="19"/>
      <c r="DJ18" s="8"/>
      <c r="DK18" s="7" t="s">
        <v>131</v>
      </c>
      <c r="DL18" s="19" t="s">
        <v>101</v>
      </c>
      <c r="DM18" s="19"/>
      <c r="DN18" s="19"/>
      <c r="DO18" s="19"/>
      <c r="DQ18" s="8">
        <v>8</v>
      </c>
      <c r="DR18" s="7" t="s">
        <v>131</v>
      </c>
      <c r="DS18" s="19" t="s">
        <v>101</v>
      </c>
      <c r="DT18" s="19"/>
      <c r="DU18" s="19"/>
      <c r="DV18" s="19"/>
      <c r="DX18" s="8">
        <v>8</v>
      </c>
      <c r="DY18" s="7" t="s">
        <v>131</v>
      </c>
      <c r="DZ18" s="19" t="s">
        <v>101</v>
      </c>
      <c r="EA18" s="19"/>
      <c r="EB18" s="19"/>
      <c r="EC18" s="19"/>
      <c r="EE18" s="8">
        <v>8</v>
      </c>
      <c r="EF18" s="7" t="s">
        <v>131</v>
      </c>
      <c r="EG18" s="19" t="s">
        <v>101</v>
      </c>
      <c r="EH18" s="19"/>
      <c r="EI18" s="19"/>
      <c r="EJ18" s="19"/>
      <c r="EL18" s="8">
        <v>8</v>
      </c>
      <c r="EM18" s="7" t="s">
        <v>131</v>
      </c>
      <c r="EN18" s="19" t="s">
        <v>101</v>
      </c>
      <c r="EO18" s="19"/>
      <c r="EP18" s="19"/>
      <c r="EQ18" s="19"/>
      <c r="ES18" s="8">
        <v>8</v>
      </c>
      <c r="ET18" s="7" t="s">
        <v>131</v>
      </c>
      <c r="EU18" s="19" t="s">
        <v>101</v>
      </c>
      <c r="EV18" s="19"/>
      <c r="EW18" s="19"/>
      <c r="EX18" s="19"/>
      <c r="EZ18" s="8">
        <v>8</v>
      </c>
      <c r="FA18" s="7"/>
      <c r="FB18" s="19"/>
      <c r="FC18" s="19"/>
      <c r="FD18" s="19"/>
      <c r="FE18" s="19"/>
      <c r="FG18" s="8"/>
      <c r="FH18" s="7"/>
      <c r="FI18" s="19"/>
      <c r="FJ18" s="19"/>
      <c r="FK18" s="19"/>
      <c r="FL18" s="19"/>
      <c r="FN18" s="8"/>
      <c r="FO18" s="7"/>
      <c r="FP18" s="19"/>
      <c r="FQ18" s="19"/>
      <c r="FR18" s="19"/>
      <c r="FS18" s="19"/>
      <c r="FU18" s="8"/>
      <c r="FV18" s="7"/>
      <c r="FW18" s="19"/>
      <c r="FX18" s="19"/>
      <c r="FY18" s="19"/>
      <c r="FZ18" s="19"/>
      <c r="GB18" s="8"/>
      <c r="GC18" s="7"/>
      <c r="GD18" s="19"/>
      <c r="GE18" s="19"/>
      <c r="GF18" s="19"/>
      <c r="GG18" s="19"/>
      <c r="GI18" s="8"/>
      <c r="GJ18" s="7"/>
      <c r="GK18" s="19"/>
      <c r="GL18" s="19"/>
      <c r="GM18" s="19"/>
      <c r="GN18" s="19"/>
      <c r="GP18" s="8"/>
      <c r="GQ18" s="7"/>
      <c r="GR18" s="19"/>
      <c r="GS18" s="19"/>
      <c r="GT18" s="19"/>
      <c r="GU18" s="19"/>
      <c r="GW18" s="8"/>
      <c r="GX18" s="7"/>
      <c r="GY18" s="19"/>
      <c r="GZ18" s="19"/>
      <c r="HA18" s="19"/>
      <c r="HB18" s="19"/>
      <c r="HD18" s="8"/>
      <c r="HE18" s="7"/>
      <c r="HF18" s="19"/>
      <c r="HG18" s="19"/>
      <c r="HH18" s="19"/>
      <c r="HI18" s="19"/>
      <c r="HK18" s="8"/>
      <c r="HL18" s="7"/>
      <c r="HM18" s="19"/>
      <c r="HN18" s="19"/>
      <c r="HO18" s="19"/>
      <c r="HP18" s="19"/>
      <c r="HR18" s="8"/>
      <c r="HS18" s="7"/>
      <c r="HT18" s="19"/>
      <c r="HU18" s="19"/>
      <c r="HV18" s="19"/>
      <c r="HW18" s="19"/>
      <c r="HY18" s="8"/>
      <c r="HZ18" s="7"/>
      <c r="IA18" s="19"/>
      <c r="IB18" s="19"/>
      <c r="IC18" s="19"/>
      <c r="ID18" s="19"/>
      <c r="IF18" s="8"/>
      <c r="IG18" s="7"/>
      <c r="IH18" s="19"/>
      <c r="II18" s="19"/>
      <c r="IJ18" s="19"/>
      <c r="IK18" s="19"/>
      <c r="IM18" s="8"/>
      <c r="IN18" s="7"/>
      <c r="IO18" s="19"/>
      <c r="IP18" s="19"/>
      <c r="IQ18" s="19"/>
      <c r="IR18" s="19"/>
      <c r="IT18" s="8"/>
      <c r="IU18" s="7"/>
      <c r="IV18" s="19"/>
      <c r="IW18" s="19"/>
      <c r="IX18" s="19"/>
      <c r="IY18" s="19"/>
      <c r="JA18" s="8"/>
      <c r="JB18" s="7"/>
      <c r="JC18" s="19"/>
      <c r="JD18" s="19"/>
      <c r="JE18" s="19"/>
      <c r="JF18" s="19"/>
      <c r="JH18" s="8"/>
      <c r="JI18" s="7"/>
      <c r="JJ18" s="19"/>
      <c r="JK18" s="19"/>
      <c r="JL18" s="19"/>
      <c r="JM18" s="19"/>
      <c r="JO18" s="8"/>
      <c r="JP18" s="7"/>
      <c r="JQ18" s="19"/>
      <c r="JR18" s="19"/>
      <c r="JS18" s="19"/>
      <c r="JT18" s="19"/>
      <c r="JV18" s="8"/>
      <c r="JW18" s="7"/>
      <c r="JX18" s="19"/>
      <c r="JY18" s="19"/>
      <c r="JZ18" s="19"/>
      <c r="KA18" s="19"/>
      <c r="KC18" s="8"/>
      <c r="KD18" s="7"/>
      <c r="KE18" s="19"/>
      <c r="KF18" s="19"/>
      <c r="KG18" s="19"/>
      <c r="KH18" s="19"/>
      <c r="KJ18" s="8"/>
      <c r="KK18" s="7"/>
      <c r="KL18" s="19"/>
      <c r="KM18" s="19"/>
      <c r="KN18" s="19"/>
      <c r="KO18" s="19"/>
      <c r="KQ18" s="8"/>
      <c r="KR18" s="7"/>
      <c r="KS18" s="19"/>
      <c r="KT18" s="19"/>
      <c r="KU18" s="19"/>
      <c r="KV18" s="19"/>
      <c r="KX18" s="8"/>
      <c r="KY18" s="7"/>
      <c r="KZ18" s="19"/>
      <c r="LA18" s="19"/>
      <c r="LB18" s="19"/>
      <c r="LC18" s="19"/>
      <c r="LE18" s="8"/>
      <c r="LF18" s="7"/>
      <c r="LG18" s="19"/>
      <c r="LH18" s="19"/>
      <c r="LI18" s="19"/>
      <c r="LJ18" s="19"/>
      <c r="LL18" s="8"/>
      <c r="LM18" s="7"/>
      <c r="LN18" s="19"/>
      <c r="LO18" s="19"/>
      <c r="LP18" s="19"/>
      <c r="LQ18" s="19"/>
      <c r="LS18" s="8"/>
      <c r="LT18" s="7"/>
      <c r="LU18" s="19"/>
      <c r="LV18" s="19"/>
      <c r="LW18" s="19"/>
      <c r="LX18" s="19"/>
      <c r="LZ18" s="8"/>
      <c r="MA18" s="7"/>
      <c r="MB18" s="19"/>
      <c r="MC18" s="19"/>
      <c r="MD18" s="19"/>
      <c r="ME18" s="19"/>
      <c r="MG18" s="8"/>
      <c r="MH18" s="7"/>
      <c r="MI18" s="19"/>
      <c r="MJ18" s="19"/>
      <c r="MK18" s="19"/>
      <c r="ML18" s="19"/>
      <c r="MN18" s="8"/>
      <c r="MO18" s="7"/>
      <c r="MP18" s="19"/>
      <c r="MQ18" s="19"/>
      <c r="MR18" s="19"/>
      <c r="MS18" s="19"/>
      <c r="MU18" s="8"/>
      <c r="MV18" s="7"/>
      <c r="MW18" s="19"/>
      <c r="MX18" s="19"/>
      <c r="MY18" s="19"/>
      <c r="MZ18" s="19"/>
      <c r="NB18" s="8"/>
      <c r="NC18" s="7"/>
      <c r="ND18" s="19"/>
      <c r="NE18" s="19"/>
      <c r="NF18" s="19"/>
      <c r="NG18" s="19"/>
      <c r="NI18" s="8"/>
      <c r="NJ18" s="7"/>
      <c r="NK18" s="19"/>
      <c r="NL18" s="19"/>
      <c r="NM18" s="19"/>
      <c r="NN18" s="19"/>
      <c r="NP18" s="8"/>
      <c r="NQ18" s="7"/>
      <c r="NR18" s="19"/>
      <c r="NS18" s="19"/>
      <c r="NT18" s="19"/>
      <c r="NU18" s="19"/>
      <c r="NW18" s="8"/>
      <c r="NX18" s="7"/>
      <c r="NY18" s="19"/>
      <c r="NZ18" s="19"/>
      <c r="OA18" s="19"/>
      <c r="OB18" s="19"/>
      <c r="OD18" s="8"/>
      <c r="OE18" s="7"/>
      <c r="OF18" s="19"/>
      <c r="OG18" s="19"/>
      <c r="OH18" s="19"/>
      <c r="OI18" s="19"/>
      <c r="OK18" s="8"/>
      <c r="OL18" s="7"/>
      <c r="OM18" s="19"/>
      <c r="ON18" s="19"/>
      <c r="OO18" s="19"/>
      <c r="OP18" s="19"/>
      <c r="OR18" s="8"/>
      <c r="OS18" s="7"/>
      <c r="OT18" s="19"/>
      <c r="OU18" s="19"/>
      <c r="OV18" s="19"/>
      <c r="OW18" s="19"/>
      <c r="OY18" s="8"/>
      <c r="OZ18" s="7"/>
      <c r="PA18" s="19"/>
      <c r="PB18" s="19"/>
      <c r="PC18" s="19"/>
      <c r="PD18" s="19"/>
      <c r="PF18" s="8"/>
      <c r="PG18" s="7"/>
      <c r="PH18" s="19"/>
      <c r="PI18" s="19"/>
      <c r="PJ18" s="19"/>
      <c r="PK18" s="19"/>
      <c r="PM18" s="8"/>
    </row>
    <row r="19" spans="1:429" s="1" customFormat="1" ht="26" customHeight="1" outlineLevel="1">
      <c r="B19" s="471"/>
      <c r="C19" s="7"/>
      <c r="D19" s="19"/>
      <c r="E19" s="19"/>
      <c r="F19" s="19"/>
      <c r="G19" s="19"/>
      <c r="I19" s="8"/>
      <c r="J19" s="7"/>
      <c r="K19" s="19"/>
      <c r="L19" s="19"/>
      <c r="M19" s="19"/>
      <c r="N19" s="19"/>
      <c r="P19" s="8"/>
      <c r="Q19" s="7"/>
      <c r="R19" s="19"/>
      <c r="S19" s="19"/>
      <c r="T19" s="19"/>
      <c r="U19" s="19"/>
      <c r="W19" s="8"/>
      <c r="X19" s="7"/>
      <c r="Y19" s="19"/>
      <c r="Z19" s="19"/>
      <c r="AA19" s="19"/>
      <c r="AB19" s="19"/>
      <c r="AD19" s="8"/>
      <c r="AE19" s="7"/>
      <c r="AF19" s="19"/>
      <c r="AG19" s="19"/>
      <c r="AH19" s="19"/>
      <c r="AI19" s="19"/>
      <c r="AK19" s="8"/>
      <c r="AL19" s="7"/>
      <c r="AM19" s="19"/>
      <c r="AN19" s="19"/>
      <c r="AO19" s="19"/>
      <c r="AP19" s="19"/>
      <c r="AR19" s="8"/>
      <c r="AS19" s="7"/>
      <c r="AT19" s="19"/>
      <c r="AU19" s="19"/>
      <c r="AV19" s="19"/>
      <c r="AW19" s="19"/>
      <c r="AY19" s="8"/>
      <c r="AZ19" s="7"/>
      <c r="BA19" s="19"/>
      <c r="BB19" s="19"/>
      <c r="BC19" s="19"/>
      <c r="BD19" s="19"/>
      <c r="BF19" s="8"/>
      <c r="BG19" s="7"/>
      <c r="BH19" s="19"/>
      <c r="BI19" s="19"/>
      <c r="BJ19" s="19"/>
      <c r="BK19" s="19"/>
      <c r="BM19" s="8"/>
      <c r="BN19" s="7"/>
      <c r="BO19" s="19"/>
      <c r="BP19" s="19"/>
      <c r="BQ19" s="19"/>
      <c r="BR19" s="19"/>
      <c r="BT19" s="8"/>
      <c r="BU19" s="7"/>
      <c r="BV19" s="19"/>
      <c r="BW19" s="19"/>
      <c r="BX19" s="19"/>
      <c r="BY19" s="19"/>
      <c r="CA19" s="8"/>
      <c r="CB19" s="7"/>
      <c r="CC19" s="19"/>
      <c r="CD19" s="19"/>
      <c r="CE19" s="19"/>
      <c r="CF19" s="19"/>
      <c r="CH19" s="8"/>
      <c r="CI19" s="7"/>
      <c r="CJ19" s="19"/>
      <c r="CK19" s="19"/>
      <c r="CL19" s="19"/>
      <c r="CM19" s="19"/>
      <c r="CO19" s="8"/>
      <c r="CP19" s="7"/>
      <c r="CQ19" s="19"/>
      <c r="CR19" s="19"/>
      <c r="CS19" s="19"/>
      <c r="CT19" s="19"/>
      <c r="CV19" s="8"/>
      <c r="CW19" s="7"/>
      <c r="CX19" s="19"/>
      <c r="CY19" s="19"/>
      <c r="CZ19" s="19"/>
      <c r="DA19" s="19"/>
      <c r="DC19" s="8"/>
      <c r="DD19" s="7"/>
      <c r="DE19" s="19"/>
      <c r="DF19" s="19"/>
      <c r="DG19" s="19"/>
      <c r="DH19" s="19"/>
      <c r="DJ19" s="8"/>
      <c r="DK19" s="7" t="s">
        <v>132</v>
      </c>
      <c r="DL19" s="19" t="s">
        <v>424</v>
      </c>
      <c r="DM19" s="19"/>
      <c r="DN19" s="19"/>
      <c r="DO19" s="19"/>
      <c r="DP19" s="1" t="s">
        <v>105</v>
      </c>
      <c r="DQ19" s="8">
        <v>6</v>
      </c>
      <c r="DR19" s="7" t="s">
        <v>132</v>
      </c>
      <c r="DS19" s="19" t="s">
        <v>424</v>
      </c>
      <c r="DT19" s="19"/>
      <c r="DU19" s="19"/>
      <c r="DV19" s="19"/>
      <c r="DW19" s="1" t="s">
        <v>105</v>
      </c>
      <c r="DX19" s="8">
        <v>6</v>
      </c>
      <c r="DY19" s="7" t="s">
        <v>132</v>
      </c>
      <c r="DZ19" s="19" t="s">
        <v>424</v>
      </c>
      <c r="EA19" s="19"/>
      <c r="EB19" s="19"/>
      <c r="EC19" s="19"/>
      <c r="ED19" s="1" t="s">
        <v>105</v>
      </c>
      <c r="EE19" s="8">
        <v>6</v>
      </c>
      <c r="EF19" s="7" t="s">
        <v>132</v>
      </c>
      <c r="EG19" s="19" t="s">
        <v>424</v>
      </c>
      <c r="EH19" s="19"/>
      <c r="EI19" s="19"/>
      <c r="EJ19" s="19"/>
      <c r="EK19" s="1" t="s">
        <v>105</v>
      </c>
      <c r="EL19" s="8">
        <v>6</v>
      </c>
      <c r="EM19" s="7" t="s">
        <v>132</v>
      </c>
      <c r="EN19" s="19" t="s">
        <v>424</v>
      </c>
      <c r="EO19" s="19"/>
      <c r="EP19" s="19"/>
      <c r="EQ19" s="19"/>
      <c r="ER19" s="1" t="s">
        <v>105</v>
      </c>
      <c r="ES19" s="8">
        <v>6</v>
      </c>
      <c r="ET19" s="7" t="s">
        <v>132</v>
      </c>
      <c r="EU19" s="19" t="s">
        <v>424</v>
      </c>
      <c r="EV19" s="19"/>
      <c r="EW19" s="19"/>
      <c r="EX19" s="19"/>
      <c r="EY19" s="1" t="s">
        <v>105</v>
      </c>
      <c r="EZ19" s="8">
        <v>6</v>
      </c>
      <c r="FA19" s="7"/>
      <c r="FB19" s="19"/>
      <c r="FC19" s="19"/>
      <c r="FD19" s="19"/>
      <c r="FE19" s="19"/>
      <c r="FG19" s="8"/>
      <c r="FH19" s="7"/>
      <c r="FI19" s="19"/>
      <c r="FJ19" s="19"/>
      <c r="FK19" s="19"/>
      <c r="FL19" s="19"/>
      <c r="FN19" s="8"/>
      <c r="FO19" s="7"/>
      <c r="FP19" s="19"/>
      <c r="FQ19" s="19"/>
      <c r="FR19" s="19"/>
      <c r="FS19" s="19"/>
      <c r="FU19" s="8"/>
      <c r="FV19" s="7"/>
      <c r="FW19" s="19"/>
      <c r="FX19" s="19"/>
      <c r="FY19" s="19"/>
      <c r="FZ19" s="19"/>
      <c r="GB19" s="8"/>
      <c r="GC19" s="7"/>
      <c r="GD19" s="19"/>
      <c r="GE19" s="19"/>
      <c r="GF19" s="19"/>
      <c r="GG19" s="19"/>
      <c r="GI19" s="8"/>
      <c r="GJ19" s="7"/>
      <c r="GK19" s="19"/>
      <c r="GL19" s="19"/>
      <c r="GM19" s="19"/>
      <c r="GN19" s="19"/>
      <c r="GP19" s="8"/>
      <c r="GQ19" s="7"/>
      <c r="GR19" s="19"/>
      <c r="GS19" s="19"/>
      <c r="GT19" s="19"/>
      <c r="GU19" s="19"/>
      <c r="GW19" s="8"/>
      <c r="GX19" s="7"/>
      <c r="GY19" s="19"/>
      <c r="GZ19" s="19"/>
      <c r="HA19" s="19"/>
      <c r="HB19" s="19"/>
      <c r="HD19" s="8"/>
      <c r="HE19" s="7"/>
      <c r="HF19" s="19"/>
      <c r="HG19" s="19"/>
      <c r="HH19" s="19"/>
      <c r="HI19" s="19"/>
      <c r="HK19" s="8"/>
      <c r="HL19" s="7"/>
      <c r="HM19" s="19"/>
      <c r="HN19" s="19"/>
      <c r="HO19" s="19"/>
      <c r="HP19" s="19"/>
      <c r="HR19" s="8"/>
      <c r="HS19" s="7"/>
      <c r="HT19" s="19"/>
      <c r="HU19" s="19"/>
      <c r="HV19" s="19"/>
      <c r="HW19" s="19"/>
      <c r="HY19" s="8"/>
      <c r="HZ19" s="7"/>
      <c r="IA19" s="19"/>
      <c r="IB19" s="19"/>
      <c r="IC19" s="19"/>
      <c r="ID19" s="19"/>
      <c r="IF19" s="8"/>
      <c r="IG19" s="7"/>
      <c r="IH19" s="19"/>
      <c r="II19" s="19"/>
      <c r="IJ19" s="19"/>
      <c r="IK19" s="19"/>
      <c r="IM19" s="8"/>
      <c r="IN19" s="7"/>
      <c r="IO19" s="19"/>
      <c r="IP19" s="19"/>
      <c r="IQ19" s="19"/>
      <c r="IR19" s="19"/>
      <c r="IT19" s="8"/>
      <c r="IU19" s="7"/>
      <c r="IV19" s="19"/>
      <c r="IW19" s="19"/>
      <c r="IX19" s="19"/>
      <c r="IY19" s="19"/>
      <c r="JA19" s="8"/>
      <c r="JB19" s="7"/>
      <c r="JC19" s="19"/>
      <c r="JD19" s="19"/>
      <c r="JE19" s="19"/>
      <c r="JF19" s="19"/>
      <c r="JH19" s="8"/>
      <c r="JI19" s="7"/>
      <c r="JJ19" s="19"/>
      <c r="JK19" s="19"/>
      <c r="JL19" s="19"/>
      <c r="JM19" s="19"/>
      <c r="JO19" s="8"/>
      <c r="JP19" s="7"/>
      <c r="JQ19" s="19"/>
      <c r="JR19" s="19"/>
      <c r="JS19" s="19"/>
      <c r="JT19" s="19"/>
      <c r="JV19" s="8"/>
      <c r="JW19" s="7"/>
      <c r="JX19" s="19"/>
      <c r="JY19" s="19"/>
      <c r="JZ19" s="19"/>
      <c r="KA19" s="19"/>
      <c r="KC19" s="8"/>
      <c r="KD19" s="7"/>
      <c r="KE19" s="19"/>
      <c r="KF19" s="19"/>
      <c r="KG19" s="19"/>
      <c r="KH19" s="19"/>
      <c r="KJ19" s="8"/>
      <c r="KK19" s="7"/>
      <c r="KL19" s="19"/>
      <c r="KM19" s="19"/>
      <c r="KN19" s="19"/>
      <c r="KO19" s="19"/>
      <c r="KQ19" s="8"/>
      <c r="KR19" s="7"/>
      <c r="KS19" s="19"/>
      <c r="KT19" s="19"/>
      <c r="KU19" s="19"/>
      <c r="KV19" s="19"/>
      <c r="KX19" s="8"/>
      <c r="KY19" s="7"/>
      <c r="KZ19" s="19"/>
      <c r="LA19" s="19"/>
      <c r="LB19" s="19"/>
      <c r="LC19" s="19"/>
      <c r="LE19" s="8"/>
      <c r="LF19" s="7"/>
      <c r="LG19" s="19"/>
      <c r="LH19" s="19"/>
      <c r="LI19" s="19"/>
      <c r="LJ19" s="19"/>
      <c r="LL19" s="8"/>
      <c r="LM19" s="7"/>
      <c r="LN19" s="19"/>
      <c r="LO19" s="19"/>
      <c r="LP19" s="19"/>
      <c r="LQ19" s="19"/>
      <c r="LS19" s="8"/>
      <c r="LT19" s="7"/>
      <c r="LU19" s="19"/>
      <c r="LV19" s="19"/>
      <c r="LW19" s="19"/>
      <c r="LX19" s="19"/>
      <c r="LZ19" s="8"/>
      <c r="MA19" s="7"/>
      <c r="MB19" s="19"/>
      <c r="MC19" s="19"/>
      <c r="MD19" s="19"/>
      <c r="ME19" s="19"/>
      <c r="MG19" s="8"/>
      <c r="MH19" s="7"/>
      <c r="MI19" s="19"/>
      <c r="MJ19" s="19"/>
      <c r="MK19" s="19"/>
      <c r="ML19" s="19"/>
      <c r="MN19" s="8"/>
      <c r="MO19" s="7"/>
      <c r="MP19" s="19"/>
      <c r="MQ19" s="19"/>
      <c r="MR19" s="19"/>
      <c r="MS19" s="19"/>
      <c r="MU19" s="8"/>
      <c r="MV19" s="7"/>
      <c r="MW19" s="19"/>
      <c r="MX19" s="19"/>
      <c r="MY19" s="19"/>
      <c r="MZ19" s="19"/>
      <c r="NB19" s="8"/>
      <c r="NC19" s="7"/>
      <c r="ND19" s="19"/>
      <c r="NE19" s="19"/>
      <c r="NF19" s="19"/>
      <c r="NG19" s="19"/>
      <c r="NI19" s="8"/>
      <c r="NJ19" s="7"/>
      <c r="NK19" s="19"/>
      <c r="NL19" s="19"/>
      <c r="NM19" s="19"/>
      <c r="NN19" s="19"/>
      <c r="NP19" s="8"/>
      <c r="NQ19" s="7"/>
      <c r="NR19" s="19"/>
      <c r="NS19" s="19"/>
      <c r="NT19" s="19"/>
      <c r="NU19" s="19"/>
      <c r="NW19" s="8"/>
      <c r="NX19" s="7"/>
      <c r="NY19" s="19"/>
      <c r="NZ19" s="19"/>
      <c r="OA19" s="19"/>
      <c r="OB19" s="19"/>
      <c r="OD19" s="8"/>
      <c r="OE19" s="7"/>
      <c r="OF19" s="19"/>
      <c r="OG19" s="19"/>
      <c r="OH19" s="19"/>
      <c r="OI19" s="19"/>
      <c r="OK19" s="8"/>
      <c r="OL19" s="7"/>
      <c r="OM19" s="19"/>
      <c r="ON19" s="19"/>
      <c r="OO19" s="19"/>
      <c r="OP19" s="19"/>
      <c r="OR19" s="8"/>
      <c r="OS19" s="7"/>
      <c r="OT19" s="19"/>
      <c r="OU19" s="19"/>
      <c r="OV19" s="19"/>
      <c r="OW19" s="19"/>
      <c r="OY19" s="8"/>
      <c r="OZ19" s="7"/>
      <c r="PA19" s="19"/>
      <c r="PB19" s="19"/>
      <c r="PC19" s="19"/>
      <c r="PD19" s="19"/>
      <c r="PF19" s="8"/>
      <c r="PG19" s="7"/>
      <c r="PH19" s="19"/>
      <c r="PI19" s="19"/>
      <c r="PJ19" s="19"/>
      <c r="PK19" s="19"/>
      <c r="PM19" s="8"/>
    </row>
    <row r="20" spans="1:429" s="1" customFormat="1" ht="26" customHeight="1" outlineLevel="1">
      <c r="B20" s="471"/>
      <c r="C20" s="7"/>
      <c r="D20" s="19"/>
      <c r="E20" s="19"/>
      <c r="F20" s="19"/>
      <c r="G20" s="19"/>
      <c r="I20" s="8"/>
      <c r="J20" s="7"/>
      <c r="K20" s="19"/>
      <c r="L20" s="19"/>
      <c r="M20" s="19"/>
      <c r="N20" s="19"/>
      <c r="P20" s="8"/>
      <c r="Q20" s="7"/>
      <c r="R20" s="19"/>
      <c r="S20" s="19"/>
      <c r="T20" s="19"/>
      <c r="U20" s="19"/>
      <c r="W20" s="8"/>
      <c r="X20" s="7"/>
      <c r="Y20" s="19"/>
      <c r="Z20" s="19"/>
      <c r="AA20" s="19"/>
      <c r="AB20" s="19"/>
      <c r="AD20" s="8"/>
      <c r="AE20" s="7"/>
      <c r="AF20" s="19"/>
      <c r="AG20" s="19"/>
      <c r="AH20" s="19"/>
      <c r="AI20" s="19"/>
      <c r="AK20" s="8"/>
      <c r="AL20" s="7"/>
      <c r="AM20" s="19"/>
      <c r="AN20" s="19"/>
      <c r="AO20" s="19"/>
      <c r="AP20" s="19"/>
      <c r="AR20" s="8"/>
      <c r="AS20" s="7"/>
      <c r="AT20" s="19"/>
      <c r="AU20" s="19"/>
      <c r="AV20" s="19"/>
      <c r="AW20" s="19"/>
      <c r="AY20" s="8"/>
      <c r="AZ20" s="7"/>
      <c r="BA20" s="19"/>
      <c r="BB20" s="19"/>
      <c r="BC20" s="19"/>
      <c r="BD20" s="19"/>
      <c r="BF20" s="8"/>
      <c r="BG20" s="7"/>
      <c r="BH20" s="19"/>
      <c r="BI20" s="19"/>
      <c r="BJ20" s="19"/>
      <c r="BK20" s="19"/>
      <c r="BM20" s="8"/>
      <c r="BN20" s="7"/>
      <c r="BO20" s="19"/>
      <c r="BP20" s="19"/>
      <c r="BQ20" s="19"/>
      <c r="BR20" s="19"/>
      <c r="BT20" s="8"/>
      <c r="BU20" s="7"/>
      <c r="BV20" s="19"/>
      <c r="BW20" s="19"/>
      <c r="BX20" s="19"/>
      <c r="BY20" s="19"/>
      <c r="CA20" s="8"/>
      <c r="CB20" s="7"/>
      <c r="CC20" s="19"/>
      <c r="CD20" s="19"/>
      <c r="CE20" s="19"/>
      <c r="CF20" s="19"/>
      <c r="CH20" s="8"/>
      <c r="CI20" s="7"/>
      <c r="CJ20" s="19"/>
      <c r="CK20" s="19"/>
      <c r="CL20" s="19"/>
      <c r="CM20" s="19"/>
      <c r="CO20" s="8"/>
      <c r="CP20" s="7"/>
      <c r="CQ20" s="19"/>
      <c r="CR20" s="19"/>
      <c r="CS20" s="19"/>
      <c r="CT20" s="19"/>
      <c r="CV20" s="8"/>
      <c r="CW20" s="7"/>
      <c r="CX20" s="19"/>
      <c r="CY20" s="19"/>
      <c r="CZ20" s="19"/>
      <c r="DA20" s="19"/>
      <c r="DC20" s="8"/>
      <c r="DD20" s="7"/>
      <c r="DE20" s="19"/>
      <c r="DF20" s="19"/>
      <c r="DG20" s="19"/>
      <c r="DH20" s="19"/>
      <c r="DJ20" s="8"/>
      <c r="DK20" s="7"/>
      <c r="DL20" s="19"/>
      <c r="DM20" s="19"/>
      <c r="DN20" s="19"/>
      <c r="DO20" s="19"/>
      <c r="DQ20" s="8"/>
      <c r="DR20" s="7"/>
      <c r="DS20" s="19"/>
      <c r="DT20" s="19"/>
      <c r="DU20" s="19"/>
      <c r="DV20" s="19"/>
      <c r="DX20" s="8"/>
      <c r="DY20" s="7"/>
      <c r="DZ20" s="19"/>
      <c r="EA20" s="19"/>
      <c r="EB20" s="19"/>
      <c r="EC20" s="19"/>
      <c r="EE20" s="8"/>
      <c r="EF20" s="7" t="s">
        <v>422</v>
      </c>
      <c r="EG20" s="19" t="s">
        <v>421</v>
      </c>
      <c r="EH20" s="19"/>
      <c r="EI20" s="19"/>
      <c r="EJ20" s="19"/>
      <c r="EK20" s="1" t="s">
        <v>423</v>
      </c>
      <c r="EL20" s="8">
        <v>3</v>
      </c>
      <c r="EM20" s="7" t="s">
        <v>422</v>
      </c>
      <c r="EN20" s="19" t="s">
        <v>421</v>
      </c>
      <c r="EO20" s="19"/>
      <c r="EP20" s="19"/>
      <c r="EQ20" s="19"/>
      <c r="ER20" s="1" t="s">
        <v>423</v>
      </c>
      <c r="ES20" s="8">
        <v>4</v>
      </c>
      <c r="ET20" s="7" t="s">
        <v>422</v>
      </c>
      <c r="EU20" s="19" t="s">
        <v>421</v>
      </c>
      <c r="EV20" s="19"/>
      <c r="EW20" s="19"/>
      <c r="EX20" s="19"/>
      <c r="EY20" s="1" t="s">
        <v>423</v>
      </c>
      <c r="EZ20" s="8">
        <v>5</v>
      </c>
      <c r="FA20" s="7"/>
      <c r="FB20" s="19"/>
      <c r="FC20" s="19"/>
      <c r="FD20" s="19"/>
      <c r="FE20" s="19"/>
      <c r="FG20" s="8"/>
      <c r="FH20" s="7"/>
      <c r="FI20" s="19"/>
      <c r="FJ20" s="19"/>
      <c r="FK20" s="19"/>
      <c r="FL20" s="19"/>
      <c r="FN20" s="8"/>
      <c r="FO20" s="7"/>
      <c r="FP20" s="19"/>
      <c r="FQ20" s="19"/>
      <c r="FR20" s="19"/>
      <c r="FS20" s="19"/>
      <c r="FU20" s="8"/>
      <c r="FV20" s="7"/>
      <c r="FW20" s="19"/>
      <c r="FX20" s="19"/>
      <c r="FY20" s="19"/>
      <c r="FZ20" s="19"/>
      <c r="GB20" s="8"/>
      <c r="GC20" s="7"/>
      <c r="GD20" s="19"/>
      <c r="GE20" s="19"/>
      <c r="GF20" s="19"/>
      <c r="GG20" s="19"/>
      <c r="GI20" s="8"/>
      <c r="GJ20" s="7"/>
      <c r="GK20" s="19"/>
      <c r="GL20" s="19"/>
      <c r="GM20" s="19"/>
      <c r="GN20" s="19"/>
      <c r="GP20" s="8"/>
      <c r="GQ20" s="7"/>
      <c r="GR20" s="19"/>
      <c r="GS20" s="19"/>
      <c r="GT20" s="19"/>
      <c r="GU20" s="19"/>
      <c r="GW20" s="8"/>
      <c r="GX20" s="7"/>
      <c r="GY20" s="19"/>
      <c r="GZ20" s="19"/>
      <c r="HA20" s="19"/>
      <c r="HB20" s="19"/>
      <c r="HD20" s="8"/>
      <c r="HE20" s="7"/>
      <c r="HF20" s="19"/>
      <c r="HG20" s="19"/>
      <c r="HH20" s="19"/>
      <c r="HI20" s="19"/>
      <c r="HK20" s="8"/>
      <c r="HL20" s="7"/>
      <c r="HM20" s="19"/>
      <c r="HN20" s="19"/>
      <c r="HO20" s="19"/>
      <c r="HP20" s="19"/>
      <c r="HR20" s="8"/>
      <c r="HS20" s="7"/>
      <c r="HT20" s="19"/>
      <c r="HU20" s="19"/>
      <c r="HV20" s="19"/>
      <c r="HW20" s="19"/>
      <c r="HY20" s="8"/>
      <c r="HZ20" s="7"/>
      <c r="IA20" s="19"/>
      <c r="IB20" s="19"/>
      <c r="IC20" s="19"/>
      <c r="ID20" s="19"/>
      <c r="IF20" s="8"/>
      <c r="IG20" s="7"/>
      <c r="IH20" s="19"/>
      <c r="II20" s="19"/>
      <c r="IJ20" s="19"/>
      <c r="IK20" s="19"/>
      <c r="IM20" s="8"/>
      <c r="IN20" s="7"/>
      <c r="IO20" s="19"/>
      <c r="IP20" s="19"/>
      <c r="IQ20" s="19"/>
      <c r="IR20" s="19"/>
      <c r="IT20" s="8"/>
      <c r="IU20" s="7"/>
      <c r="IV20" s="19"/>
      <c r="IW20" s="19"/>
      <c r="IX20" s="19"/>
      <c r="IY20" s="19"/>
      <c r="JA20" s="8"/>
      <c r="JB20" s="7"/>
      <c r="JC20" s="19"/>
      <c r="JD20" s="19"/>
      <c r="JE20" s="19"/>
      <c r="JF20" s="19"/>
      <c r="JH20" s="8"/>
      <c r="JI20" s="7"/>
      <c r="JJ20" s="19"/>
      <c r="JK20" s="19"/>
      <c r="JL20" s="19"/>
      <c r="JM20" s="19"/>
      <c r="JO20" s="8"/>
      <c r="JP20" s="7"/>
      <c r="JQ20" s="19"/>
      <c r="JR20" s="19"/>
      <c r="JS20" s="19"/>
      <c r="JT20" s="19"/>
      <c r="JV20" s="8"/>
      <c r="JW20" s="7"/>
      <c r="JX20" s="19"/>
      <c r="JY20" s="19"/>
      <c r="JZ20" s="19"/>
      <c r="KA20" s="19"/>
      <c r="KC20" s="8"/>
      <c r="KD20" s="7"/>
      <c r="KE20" s="19"/>
      <c r="KF20" s="19"/>
      <c r="KG20" s="19"/>
      <c r="KH20" s="19"/>
      <c r="KJ20" s="8"/>
      <c r="KK20" s="7"/>
      <c r="KL20" s="19"/>
      <c r="KM20" s="19"/>
      <c r="KN20" s="19"/>
      <c r="KO20" s="19"/>
      <c r="KQ20" s="8"/>
      <c r="KR20" s="7"/>
      <c r="KS20" s="19"/>
      <c r="KT20" s="19"/>
      <c r="KU20" s="19"/>
      <c r="KV20" s="19"/>
      <c r="KX20" s="8"/>
      <c r="KY20" s="7"/>
      <c r="KZ20" s="19"/>
      <c r="LA20" s="19"/>
      <c r="LB20" s="19"/>
      <c r="LC20" s="19"/>
      <c r="LE20" s="8"/>
      <c r="LF20" s="7"/>
      <c r="LG20" s="19"/>
      <c r="LH20" s="19"/>
      <c r="LI20" s="19"/>
      <c r="LJ20" s="19"/>
      <c r="LL20" s="8"/>
      <c r="LM20" s="7"/>
      <c r="LN20" s="19"/>
      <c r="LO20" s="19"/>
      <c r="LP20" s="19"/>
      <c r="LQ20" s="19"/>
      <c r="LS20" s="8"/>
      <c r="LT20" s="7"/>
      <c r="LU20" s="19"/>
      <c r="LV20" s="19"/>
      <c r="LW20" s="19"/>
      <c r="LX20" s="19"/>
      <c r="LZ20" s="8"/>
      <c r="MA20" s="7"/>
      <c r="MB20" s="19"/>
      <c r="MC20" s="19"/>
      <c r="MD20" s="19"/>
      <c r="ME20" s="19"/>
      <c r="MG20" s="8"/>
      <c r="MH20" s="7"/>
      <c r="MI20" s="19"/>
      <c r="MJ20" s="19"/>
      <c r="MK20" s="19"/>
      <c r="ML20" s="19"/>
      <c r="MN20" s="8"/>
      <c r="MO20" s="7"/>
      <c r="MP20" s="19"/>
      <c r="MQ20" s="19"/>
      <c r="MR20" s="19"/>
      <c r="MS20" s="19"/>
      <c r="MU20" s="8"/>
      <c r="MV20" s="7"/>
      <c r="MW20" s="19"/>
      <c r="MX20" s="19"/>
      <c r="MY20" s="19"/>
      <c r="MZ20" s="19"/>
      <c r="NB20" s="8"/>
      <c r="NC20" s="7"/>
      <c r="ND20" s="19"/>
      <c r="NE20" s="19"/>
      <c r="NF20" s="19"/>
      <c r="NG20" s="19"/>
      <c r="NI20" s="8"/>
      <c r="NJ20" s="7"/>
      <c r="NK20" s="19"/>
      <c r="NL20" s="19"/>
      <c r="NM20" s="19"/>
      <c r="NN20" s="19"/>
      <c r="NP20" s="8"/>
      <c r="NQ20" s="7"/>
      <c r="NR20" s="19"/>
      <c r="NS20" s="19"/>
      <c r="NT20" s="19"/>
      <c r="NU20" s="19"/>
      <c r="NW20" s="8"/>
      <c r="NX20" s="7"/>
      <c r="NY20" s="19"/>
      <c r="NZ20" s="19"/>
      <c r="OA20" s="19"/>
      <c r="OB20" s="19"/>
      <c r="OD20" s="8"/>
      <c r="OE20" s="7"/>
      <c r="OF20" s="19"/>
      <c r="OG20" s="19"/>
      <c r="OH20" s="19"/>
      <c r="OI20" s="19"/>
      <c r="OK20" s="8"/>
      <c r="OL20" s="7"/>
      <c r="OM20" s="19"/>
      <c r="ON20" s="19"/>
      <c r="OO20" s="19"/>
      <c r="OP20" s="19"/>
      <c r="OR20" s="8"/>
      <c r="OS20" s="7"/>
      <c r="OT20" s="19"/>
      <c r="OU20" s="19"/>
      <c r="OV20" s="19"/>
      <c r="OW20" s="19"/>
      <c r="OY20" s="8"/>
      <c r="OZ20" s="7"/>
      <c r="PA20" s="19"/>
      <c r="PB20" s="19"/>
      <c r="PC20" s="19"/>
      <c r="PD20" s="19"/>
      <c r="PF20" s="8"/>
      <c r="PG20" s="7"/>
      <c r="PH20" s="19"/>
      <c r="PI20" s="19"/>
      <c r="PJ20" s="19"/>
      <c r="PK20" s="19"/>
      <c r="PM20" s="8"/>
    </row>
    <row r="21" spans="1:429" s="475" customFormat="1" ht="19" customHeight="1">
      <c r="A21" s="6" t="s">
        <v>68</v>
      </c>
      <c r="B21" s="472"/>
      <c r="C21" s="10"/>
      <c r="D21" s="20"/>
      <c r="E21" s="20"/>
      <c r="F21" s="20"/>
      <c r="G21" s="20"/>
      <c r="H21" s="10"/>
      <c r="I21" s="10"/>
      <c r="J21" s="10"/>
      <c r="K21" s="20"/>
      <c r="L21" s="20"/>
      <c r="M21" s="20"/>
      <c r="N21" s="20"/>
      <c r="O21" s="10"/>
      <c r="P21" s="10"/>
      <c r="Q21" s="10"/>
      <c r="R21" s="20"/>
      <c r="S21" s="20"/>
      <c r="T21" s="20"/>
      <c r="U21" s="20"/>
      <c r="V21" s="10"/>
      <c r="W21" s="10"/>
      <c r="X21" s="10"/>
      <c r="Y21" s="20"/>
      <c r="Z21" s="20"/>
      <c r="AA21" s="20"/>
      <c r="AB21" s="20"/>
      <c r="AC21" s="10"/>
      <c r="AD21" s="10"/>
      <c r="AE21" s="10"/>
      <c r="AF21" s="20"/>
      <c r="AG21" s="20"/>
      <c r="AH21" s="20"/>
      <c r="AI21" s="20"/>
      <c r="AJ21" s="10"/>
      <c r="AK21" s="10"/>
      <c r="AL21" s="10"/>
      <c r="AM21" s="20"/>
      <c r="AN21" s="20"/>
      <c r="AO21" s="20"/>
      <c r="AP21" s="20"/>
      <c r="AQ21" s="10"/>
      <c r="AR21" s="10"/>
      <c r="AS21" s="10"/>
      <c r="AT21" s="20"/>
      <c r="AU21" s="20"/>
      <c r="AV21" s="20"/>
      <c r="AW21" s="20"/>
      <c r="AX21" s="10"/>
      <c r="AY21" s="10"/>
      <c r="AZ21" s="10"/>
      <c r="BA21" s="20"/>
      <c r="BB21" s="20"/>
      <c r="BC21" s="20"/>
      <c r="BD21" s="20"/>
      <c r="BE21" s="10"/>
      <c r="BF21" s="10"/>
      <c r="BG21" s="10"/>
      <c r="BH21" s="20"/>
      <c r="BI21" s="20"/>
      <c r="BJ21" s="20"/>
      <c r="BK21" s="20"/>
      <c r="BL21" s="10"/>
      <c r="BM21" s="10"/>
      <c r="BN21" s="10"/>
      <c r="BO21" s="20"/>
      <c r="BP21" s="20"/>
      <c r="BQ21" s="20"/>
      <c r="BR21" s="20"/>
      <c r="BS21" s="10"/>
      <c r="BT21" s="10"/>
      <c r="BU21" s="26"/>
      <c r="BV21" s="26"/>
      <c r="BW21" s="26"/>
      <c r="BX21" s="26"/>
      <c r="BY21" s="26"/>
      <c r="BZ21" s="26"/>
      <c r="CA21" s="26"/>
      <c r="CB21" s="10"/>
      <c r="CC21" s="20"/>
      <c r="CD21" s="20"/>
      <c r="CE21" s="20"/>
      <c r="CF21" s="20"/>
      <c r="CG21" s="10"/>
      <c r="CH21" s="10"/>
      <c r="CI21" s="10"/>
      <c r="CJ21" s="20"/>
      <c r="CK21" s="20"/>
      <c r="CL21" s="20"/>
      <c r="CM21" s="20"/>
      <c r="CN21" s="10"/>
      <c r="CO21" s="10"/>
      <c r="CP21" s="10"/>
      <c r="CQ21" s="20"/>
      <c r="CR21" s="20"/>
      <c r="CS21" s="20"/>
      <c r="CT21" s="20"/>
      <c r="CU21" s="10"/>
      <c r="CV21" s="10"/>
      <c r="CW21" s="10"/>
      <c r="CX21" s="20"/>
      <c r="CY21" s="20"/>
      <c r="CZ21" s="20"/>
      <c r="DA21" s="20"/>
      <c r="DB21" s="10"/>
      <c r="DC21" s="10"/>
      <c r="DD21" s="10"/>
      <c r="DE21" s="20"/>
      <c r="DF21" s="20"/>
      <c r="DG21" s="20"/>
      <c r="DH21" s="20"/>
      <c r="DI21" s="10"/>
      <c r="DJ21" s="10"/>
      <c r="DK21" s="26" t="s">
        <v>102</v>
      </c>
      <c r="DL21" s="26"/>
      <c r="DM21" s="26"/>
      <c r="DN21" s="26"/>
      <c r="DO21" s="26"/>
      <c r="DP21" s="26"/>
      <c r="DQ21" s="26"/>
      <c r="DR21" s="26"/>
      <c r="DS21" s="26" t="s">
        <v>103</v>
      </c>
      <c r="DT21" s="26"/>
      <c r="DU21" s="26"/>
      <c r="DV21" s="26"/>
      <c r="DW21" s="26" t="s">
        <v>104</v>
      </c>
      <c r="DX21" s="26" t="s">
        <v>120</v>
      </c>
      <c r="DY21" s="10"/>
      <c r="DZ21" s="20"/>
      <c r="EA21" s="20"/>
      <c r="EB21" s="20"/>
      <c r="EC21" s="20"/>
      <c r="ED21" s="10"/>
      <c r="EE21" s="10"/>
      <c r="EF21" s="10"/>
      <c r="EG21" s="20"/>
      <c r="EH21" s="20"/>
      <c r="EI21" s="20"/>
      <c r="EJ21" s="20"/>
      <c r="EK21" s="10"/>
      <c r="EL21" s="10"/>
      <c r="EM21" s="10"/>
      <c r="EN21" s="20"/>
      <c r="EO21" s="20"/>
      <c r="EP21" s="20"/>
      <c r="EQ21" s="20"/>
      <c r="ER21" s="10"/>
      <c r="ES21" s="10"/>
      <c r="ET21" s="10"/>
      <c r="EU21" s="20"/>
      <c r="EV21" s="20"/>
      <c r="EW21" s="20"/>
      <c r="EX21" s="20"/>
      <c r="EY21" s="10"/>
      <c r="EZ21" s="10"/>
      <c r="FA21" s="10"/>
      <c r="FB21" s="20"/>
      <c r="FC21" s="20"/>
      <c r="FD21" s="20"/>
      <c r="FE21" s="20"/>
      <c r="FF21" s="10"/>
      <c r="FG21" s="10"/>
      <c r="FH21" s="10"/>
      <c r="FI21" s="20"/>
      <c r="FJ21" s="20"/>
      <c r="FK21" s="20"/>
      <c r="FL21" s="20"/>
      <c r="FM21" s="10"/>
      <c r="FN21" s="10"/>
      <c r="FO21" s="10"/>
      <c r="FP21" s="20"/>
      <c r="FQ21" s="20"/>
      <c r="FR21" s="20"/>
      <c r="FS21" s="20"/>
      <c r="FT21" s="10"/>
      <c r="FU21" s="10"/>
      <c r="FV21" s="10"/>
      <c r="FW21" s="20"/>
      <c r="FX21" s="20"/>
      <c r="FY21" s="20"/>
      <c r="FZ21" s="20"/>
      <c r="GA21" s="10"/>
      <c r="GB21" s="10"/>
      <c r="GC21" s="10"/>
      <c r="GD21" s="20"/>
      <c r="GE21" s="20"/>
      <c r="GF21" s="20"/>
      <c r="GG21" s="20"/>
      <c r="GH21" s="10"/>
      <c r="GI21" s="10"/>
      <c r="GJ21" s="10"/>
      <c r="GK21" s="20"/>
      <c r="GL21" s="20"/>
      <c r="GM21" s="20"/>
      <c r="GN21" s="20"/>
      <c r="GO21" s="10"/>
      <c r="GP21" s="10"/>
      <c r="GQ21" s="10"/>
      <c r="GR21" s="20"/>
      <c r="GS21" s="20"/>
      <c r="GT21" s="20"/>
      <c r="GU21" s="20"/>
      <c r="GV21" s="10"/>
      <c r="GW21" s="10"/>
      <c r="GX21" s="10"/>
      <c r="GY21" s="20"/>
      <c r="GZ21" s="20"/>
      <c r="HA21" s="20"/>
      <c r="HB21" s="20"/>
      <c r="HC21" s="10"/>
      <c r="HD21" s="10"/>
      <c r="HE21" s="10"/>
      <c r="HF21" s="20"/>
      <c r="HG21" s="20"/>
      <c r="HH21" s="20"/>
      <c r="HI21" s="20"/>
      <c r="HJ21" s="10"/>
      <c r="HK21" s="10"/>
      <c r="HL21" s="10"/>
      <c r="HM21" s="20"/>
      <c r="HN21" s="20"/>
      <c r="HO21" s="20"/>
      <c r="HP21" s="20"/>
      <c r="HQ21" s="10"/>
      <c r="HR21" s="10"/>
      <c r="HS21" s="10"/>
      <c r="HT21" s="20"/>
      <c r="HU21" s="20"/>
      <c r="HV21" s="20"/>
      <c r="HW21" s="20"/>
      <c r="HX21" s="10"/>
      <c r="HY21" s="10"/>
      <c r="HZ21" s="10"/>
      <c r="IA21" s="20"/>
      <c r="IB21" s="20"/>
      <c r="IC21" s="20"/>
      <c r="ID21" s="20"/>
      <c r="IE21" s="10"/>
      <c r="IF21" s="10"/>
      <c r="IG21" s="10"/>
      <c r="IH21" s="20"/>
      <c r="II21" s="20"/>
      <c r="IJ21" s="20"/>
      <c r="IK21" s="20"/>
      <c r="IL21" s="10"/>
      <c r="IM21" s="10"/>
      <c r="IN21" s="10"/>
      <c r="IO21" s="20"/>
      <c r="IP21" s="20"/>
      <c r="IQ21" s="20"/>
      <c r="IR21" s="20"/>
      <c r="IS21" s="10"/>
      <c r="IT21" s="10"/>
      <c r="IU21" s="10"/>
      <c r="IV21" s="20"/>
      <c r="IW21" s="20"/>
      <c r="IX21" s="20"/>
      <c r="IY21" s="20"/>
      <c r="IZ21" s="10"/>
      <c r="JA21" s="10"/>
      <c r="JB21" s="10"/>
      <c r="JC21" s="20"/>
      <c r="JD21" s="20"/>
      <c r="JE21" s="20"/>
      <c r="JF21" s="20"/>
      <c r="JG21" s="10"/>
      <c r="JH21" s="10"/>
      <c r="JI21" s="10"/>
      <c r="JJ21" s="20"/>
      <c r="JK21" s="20"/>
      <c r="JL21" s="20"/>
      <c r="JM21" s="20"/>
      <c r="JN21" s="10"/>
      <c r="JO21" s="10"/>
      <c r="JP21" s="10"/>
      <c r="JQ21" s="20"/>
      <c r="JR21" s="20"/>
      <c r="JS21" s="20"/>
      <c r="JT21" s="20"/>
      <c r="JU21" s="10"/>
      <c r="JV21" s="10"/>
      <c r="JW21" s="10"/>
      <c r="JX21" s="20"/>
      <c r="JY21" s="20"/>
      <c r="JZ21" s="20"/>
      <c r="KA21" s="20"/>
      <c r="KB21" s="10"/>
      <c r="KC21" s="10"/>
      <c r="KD21" s="10"/>
      <c r="KE21" s="20"/>
      <c r="KF21" s="20"/>
      <c r="KG21" s="20"/>
      <c r="KH21" s="20"/>
      <c r="KI21" s="10"/>
      <c r="KJ21" s="10"/>
      <c r="KK21" s="10"/>
      <c r="KL21" s="20"/>
      <c r="KM21" s="20"/>
      <c r="KN21" s="20"/>
      <c r="KO21" s="20"/>
      <c r="KP21" s="10"/>
      <c r="KQ21" s="10"/>
      <c r="KR21" s="10"/>
      <c r="KS21" s="20"/>
      <c r="KT21" s="20"/>
      <c r="KU21" s="20"/>
      <c r="KV21" s="20"/>
      <c r="KW21" s="10"/>
      <c r="KX21" s="10"/>
      <c r="KY21" s="10"/>
      <c r="KZ21" s="20"/>
      <c r="LA21" s="20"/>
      <c r="LB21" s="20"/>
      <c r="LC21" s="20"/>
      <c r="LD21" s="10"/>
      <c r="LE21" s="10"/>
      <c r="LF21" s="10"/>
      <c r="LG21" s="20"/>
      <c r="LH21" s="20"/>
      <c r="LI21" s="20"/>
      <c r="LJ21" s="20"/>
      <c r="LK21" s="10"/>
      <c r="LL21" s="10"/>
      <c r="LM21" s="10"/>
      <c r="LN21" s="20"/>
      <c r="LO21" s="20"/>
      <c r="LP21" s="20"/>
      <c r="LQ21" s="20"/>
      <c r="LR21" s="10"/>
      <c r="LS21" s="10"/>
      <c r="LT21" s="10"/>
      <c r="LU21" s="20"/>
      <c r="LV21" s="20"/>
      <c r="LW21" s="20"/>
      <c r="LX21" s="20"/>
      <c r="LY21" s="10"/>
      <c r="LZ21" s="10"/>
      <c r="MA21" s="10"/>
      <c r="MB21" s="20"/>
      <c r="MC21" s="20"/>
      <c r="MD21" s="20"/>
      <c r="ME21" s="20"/>
      <c r="MF21" s="10"/>
      <c r="MG21" s="10"/>
      <c r="MH21" s="10"/>
      <c r="MI21" s="20"/>
      <c r="MJ21" s="20"/>
      <c r="MK21" s="20"/>
      <c r="ML21" s="20"/>
      <c r="MM21" s="10"/>
      <c r="MN21" s="10"/>
      <c r="MO21" s="10"/>
      <c r="MP21" s="20"/>
      <c r="MQ21" s="20"/>
      <c r="MR21" s="20"/>
      <c r="MS21" s="20"/>
      <c r="MT21" s="10"/>
      <c r="MU21" s="10"/>
      <c r="MV21" s="10"/>
      <c r="MW21" s="20"/>
      <c r="MX21" s="20"/>
      <c r="MY21" s="20"/>
      <c r="MZ21" s="20"/>
      <c r="NA21" s="10"/>
      <c r="NB21" s="10"/>
      <c r="NC21" s="10"/>
      <c r="ND21" s="20"/>
      <c r="NE21" s="20"/>
      <c r="NF21" s="20"/>
      <c r="NG21" s="20"/>
      <c r="NH21" s="10"/>
      <c r="NI21" s="10"/>
      <c r="NJ21" s="10"/>
      <c r="NK21" s="20"/>
      <c r="NL21" s="20"/>
      <c r="NM21" s="20"/>
      <c r="NN21" s="20"/>
      <c r="NO21" s="10"/>
      <c r="NP21" s="10"/>
      <c r="NQ21" s="10"/>
      <c r="NR21" s="20"/>
      <c r="NS21" s="20"/>
      <c r="NT21" s="20"/>
      <c r="NU21" s="20"/>
      <c r="NV21" s="10"/>
      <c r="NW21" s="10"/>
      <c r="NX21" s="10"/>
      <c r="NY21" s="20"/>
      <c r="NZ21" s="20"/>
      <c r="OA21" s="20"/>
      <c r="OB21" s="20"/>
      <c r="OC21" s="10"/>
      <c r="OD21" s="10"/>
      <c r="OE21" s="10"/>
      <c r="OF21" s="20"/>
      <c r="OG21" s="20"/>
      <c r="OH21" s="20"/>
      <c r="OI21" s="20"/>
      <c r="OJ21" s="10"/>
      <c r="OK21" s="10"/>
      <c r="OL21" s="10"/>
      <c r="OM21" s="20"/>
      <c r="ON21" s="20"/>
      <c r="OO21" s="20"/>
      <c r="OP21" s="20"/>
      <c r="OQ21" s="10"/>
      <c r="OR21" s="10"/>
      <c r="OS21" s="10"/>
      <c r="OT21" s="20"/>
      <c r="OU21" s="20"/>
      <c r="OV21" s="20"/>
      <c r="OW21" s="20"/>
      <c r="OX21" s="10"/>
      <c r="OY21" s="10"/>
      <c r="OZ21" s="10"/>
      <c r="PA21" s="20"/>
      <c r="PB21" s="20"/>
      <c r="PC21" s="20"/>
      <c r="PD21" s="20"/>
      <c r="PE21" s="10"/>
      <c r="PF21" s="10"/>
      <c r="PG21" s="10"/>
      <c r="PH21" s="20"/>
      <c r="PI21" s="20"/>
      <c r="PJ21" s="20"/>
      <c r="PK21" s="20"/>
      <c r="PL21" s="10"/>
      <c r="PM21" s="10"/>
    </row>
    <row r="22" spans="1:429" s="1" customFormat="1" ht="26" customHeight="1" outlineLevel="1">
      <c r="B22" s="471"/>
      <c r="C22" s="7"/>
      <c r="D22" s="19"/>
      <c r="E22" s="19"/>
      <c r="F22" s="19"/>
      <c r="G22" s="19"/>
      <c r="I22" s="8"/>
      <c r="J22" s="7"/>
      <c r="K22" s="19"/>
      <c r="L22" s="19"/>
      <c r="M22" s="19"/>
      <c r="N22" s="19"/>
      <c r="P22" s="8"/>
      <c r="Q22" s="7"/>
      <c r="R22" s="19"/>
      <c r="S22" s="19"/>
      <c r="T22" s="19"/>
      <c r="U22" s="19"/>
      <c r="W22" s="8"/>
      <c r="X22" s="7"/>
      <c r="Y22" s="19"/>
      <c r="Z22" s="19"/>
      <c r="AA22" s="19"/>
      <c r="AB22" s="19"/>
      <c r="AD22" s="8"/>
      <c r="AE22" s="7"/>
      <c r="AF22" s="19"/>
      <c r="AG22" s="19"/>
      <c r="AH22" s="19"/>
      <c r="AI22" s="19"/>
      <c r="AK22" s="8"/>
      <c r="AL22" s="7"/>
      <c r="AM22" s="19"/>
      <c r="AN22" s="19"/>
      <c r="AO22" s="19"/>
      <c r="AP22" s="19"/>
      <c r="AR22" s="8"/>
      <c r="AS22" s="7"/>
      <c r="AT22" s="19"/>
      <c r="AU22" s="19"/>
      <c r="AV22" s="19"/>
      <c r="AW22" s="19"/>
      <c r="AY22" s="8"/>
      <c r="AZ22" s="7"/>
      <c r="BA22" s="19"/>
      <c r="BB22" s="19"/>
      <c r="BC22" s="19"/>
      <c r="BD22" s="19"/>
      <c r="BF22" s="8"/>
      <c r="BG22" s="7"/>
      <c r="BH22" s="19"/>
      <c r="BI22" s="19"/>
      <c r="BJ22" s="19"/>
      <c r="BK22" s="19"/>
      <c r="BM22" s="8"/>
      <c r="BN22" s="7"/>
      <c r="BO22" s="19"/>
      <c r="BP22" s="19"/>
      <c r="BQ22" s="19"/>
      <c r="BR22" s="19"/>
      <c r="BT22" s="8"/>
      <c r="BU22" s="7" t="s">
        <v>52</v>
      </c>
      <c r="BV22" s="19" t="s">
        <v>141</v>
      </c>
      <c r="BW22" s="19"/>
      <c r="BX22" s="19"/>
      <c r="BY22" s="19"/>
      <c r="CA22" s="8">
        <v>10</v>
      </c>
      <c r="CB22" s="7"/>
      <c r="CC22" s="19"/>
      <c r="CD22" s="19"/>
      <c r="CE22" s="19"/>
      <c r="CF22" s="19"/>
      <c r="CH22" s="8"/>
      <c r="CI22" s="7"/>
      <c r="CJ22" s="19"/>
      <c r="CK22" s="19"/>
      <c r="CL22" s="19"/>
      <c r="CM22" s="19"/>
      <c r="CO22" s="8"/>
      <c r="CP22" s="7"/>
      <c r="CQ22" s="19"/>
      <c r="CR22" s="19"/>
      <c r="CS22" s="19"/>
      <c r="CT22" s="19"/>
      <c r="CV22" s="8"/>
      <c r="CW22" s="7"/>
      <c r="CX22" s="19"/>
      <c r="CY22" s="19"/>
      <c r="CZ22" s="19"/>
      <c r="DA22" s="19"/>
      <c r="DC22" s="8"/>
      <c r="DD22" s="7"/>
      <c r="DE22" s="19"/>
      <c r="DF22" s="19"/>
      <c r="DG22" s="19"/>
      <c r="DH22" s="19"/>
      <c r="DJ22" s="8"/>
      <c r="DK22" s="7" t="s">
        <v>107</v>
      </c>
      <c r="DL22" s="19" t="s">
        <v>116</v>
      </c>
      <c r="DM22" s="19"/>
      <c r="DN22" s="19"/>
      <c r="DO22" s="19"/>
      <c r="DP22" s="1" t="s">
        <v>105</v>
      </c>
      <c r="DQ22" s="8">
        <v>5</v>
      </c>
      <c r="DR22" s="7" t="s">
        <v>107</v>
      </c>
      <c r="DS22" s="19" t="s">
        <v>116</v>
      </c>
      <c r="DT22" s="19"/>
      <c r="DU22" s="19"/>
      <c r="DV22" s="19"/>
      <c r="DW22" s="1" t="s">
        <v>105</v>
      </c>
      <c r="DX22" s="8">
        <v>6</v>
      </c>
      <c r="DY22" s="7" t="s">
        <v>107</v>
      </c>
      <c r="DZ22" s="19" t="s">
        <v>116</v>
      </c>
      <c r="EA22" s="19"/>
      <c r="EB22" s="19"/>
      <c r="EC22" s="19"/>
      <c r="ED22" s="1" t="s">
        <v>105</v>
      </c>
      <c r="EE22" s="8">
        <v>6</v>
      </c>
      <c r="EF22" s="7" t="s">
        <v>107</v>
      </c>
      <c r="EG22" s="19" t="s">
        <v>425</v>
      </c>
      <c r="EH22" s="19"/>
      <c r="EI22" s="19"/>
      <c r="EJ22" s="19"/>
      <c r="EL22" s="8">
        <v>3</v>
      </c>
      <c r="EM22" s="7" t="s">
        <v>107</v>
      </c>
      <c r="EN22" s="19" t="s">
        <v>425</v>
      </c>
      <c r="EO22" s="19"/>
      <c r="EP22" s="19"/>
      <c r="EQ22" s="19"/>
      <c r="ES22" s="8">
        <v>4</v>
      </c>
      <c r="ET22" s="7" t="s">
        <v>107</v>
      </c>
      <c r="EU22" s="19" t="s">
        <v>425</v>
      </c>
      <c r="EV22" s="19"/>
      <c r="EW22" s="19"/>
      <c r="EX22" s="19"/>
      <c r="EZ22" s="8">
        <v>5</v>
      </c>
      <c r="FA22" s="7"/>
      <c r="FB22" s="19"/>
      <c r="FC22" s="19"/>
      <c r="FD22" s="19"/>
      <c r="FE22" s="19"/>
      <c r="FG22" s="8"/>
      <c r="FH22" s="7"/>
      <c r="FI22" s="19"/>
      <c r="FJ22" s="19"/>
      <c r="FK22" s="19"/>
      <c r="FL22" s="19"/>
      <c r="FN22" s="8"/>
      <c r="FO22" s="7"/>
      <c r="FP22" s="19"/>
      <c r="FQ22" s="19"/>
      <c r="FR22" s="19"/>
      <c r="FS22" s="19"/>
      <c r="FU22" s="8"/>
      <c r="FV22" s="7"/>
      <c r="FW22" s="19"/>
      <c r="FX22" s="19"/>
      <c r="FY22" s="19"/>
      <c r="FZ22" s="19"/>
      <c r="GB22" s="8"/>
      <c r="GC22" s="7"/>
      <c r="GD22" s="19"/>
      <c r="GE22" s="19"/>
      <c r="GF22" s="19"/>
      <c r="GG22" s="19"/>
      <c r="GI22" s="8"/>
      <c r="GJ22" s="7"/>
      <c r="GK22" s="19"/>
      <c r="GL22" s="19"/>
      <c r="GM22" s="19"/>
      <c r="GN22" s="19"/>
      <c r="GP22" s="8"/>
      <c r="GQ22" s="7"/>
      <c r="GR22" s="19"/>
      <c r="GS22" s="19"/>
      <c r="GT22" s="19"/>
      <c r="GU22" s="19"/>
      <c r="GW22" s="8"/>
      <c r="GX22" s="7"/>
      <c r="GY22" s="19"/>
      <c r="GZ22" s="19"/>
      <c r="HA22" s="19"/>
      <c r="HB22" s="19"/>
      <c r="HD22" s="8"/>
      <c r="HE22" s="7"/>
      <c r="HF22" s="19"/>
      <c r="HG22" s="19"/>
      <c r="HH22" s="19"/>
      <c r="HI22" s="19"/>
      <c r="HK22" s="8"/>
      <c r="HL22" s="7"/>
      <c r="HM22" s="19"/>
      <c r="HN22" s="19"/>
      <c r="HO22" s="19"/>
      <c r="HP22" s="19"/>
      <c r="HR22" s="8"/>
      <c r="HS22" s="7"/>
      <c r="HT22" s="19"/>
      <c r="HU22" s="19"/>
      <c r="HV22" s="19"/>
      <c r="HW22" s="19"/>
      <c r="HY22" s="8"/>
      <c r="HZ22" s="7"/>
      <c r="IA22" s="19"/>
      <c r="IB22" s="19"/>
      <c r="IC22" s="19"/>
      <c r="ID22" s="19"/>
      <c r="IF22" s="8"/>
      <c r="IG22" s="7"/>
      <c r="IH22" s="19"/>
      <c r="II22" s="19"/>
      <c r="IJ22" s="19"/>
      <c r="IK22" s="19"/>
      <c r="IM22" s="8"/>
      <c r="IN22" s="7"/>
      <c r="IO22" s="19"/>
      <c r="IP22" s="19"/>
      <c r="IQ22" s="19"/>
      <c r="IR22" s="19"/>
      <c r="IT22" s="8"/>
      <c r="IU22" s="7"/>
      <c r="IV22" s="19"/>
      <c r="IW22" s="19"/>
      <c r="IX22" s="19"/>
      <c r="IY22" s="19"/>
      <c r="JA22" s="8"/>
      <c r="JB22" s="7"/>
      <c r="JC22" s="19"/>
      <c r="JD22" s="19"/>
      <c r="JE22" s="19"/>
      <c r="JF22" s="19"/>
      <c r="JH22" s="8"/>
      <c r="JI22" s="7"/>
      <c r="JJ22" s="19"/>
      <c r="JK22" s="19"/>
      <c r="JL22" s="19"/>
      <c r="JM22" s="19"/>
      <c r="JO22" s="8"/>
      <c r="JP22" s="7"/>
      <c r="JQ22" s="19"/>
      <c r="JR22" s="19"/>
      <c r="JS22" s="19"/>
      <c r="JT22" s="19"/>
      <c r="JV22" s="8"/>
      <c r="JW22" s="7"/>
      <c r="JX22" s="19"/>
      <c r="JY22" s="19"/>
      <c r="JZ22" s="19"/>
      <c r="KA22" s="19"/>
      <c r="KC22" s="8"/>
      <c r="KD22" s="7"/>
      <c r="KE22" s="19"/>
      <c r="KF22" s="19"/>
      <c r="KG22" s="19"/>
      <c r="KH22" s="19"/>
      <c r="KJ22" s="8"/>
      <c r="KK22" s="7"/>
      <c r="KL22" s="19"/>
      <c r="KM22" s="19"/>
      <c r="KN22" s="19"/>
      <c r="KO22" s="19"/>
      <c r="KQ22" s="8"/>
      <c r="KR22" s="7"/>
      <c r="KS22" s="19"/>
      <c r="KT22" s="19"/>
      <c r="KU22" s="19"/>
      <c r="KV22" s="19"/>
      <c r="KX22" s="8"/>
      <c r="KY22" s="7"/>
      <c r="KZ22" s="19"/>
      <c r="LA22" s="19"/>
      <c r="LB22" s="19"/>
      <c r="LC22" s="19"/>
      <c r="LE22" s="8"/>
      <c r="LF22" s="7"/>
      <c r="LG22" s="19"/>
      <c r="LH22" s="19"/>
      <c r="LI22" s="19"/>
      <c r="LJ22" s="19"/>
      <c r="LL22" s="8"/>
      <c r="LM22" s="7"/>
      <c r="LN22" s="19"/>
      <c r="LO22" s="19"/>
      <c r="LP22" s="19"/>
      <c r="LQ22" s="19"/>
      <c r="LS22" s="8"/>
      <c r="LT22" s="7"/>
      <c r="LU22" s="19"/>
      <c r="LV22" s="19"/>
      <c r="LW22" s="19"/>
      <c r="LX22" s="19"/>
      <c r="LZ22" s="8"/>
      <c r="MA22" s="7"/>
      <c r="MB22" s="19"/>
      <c r="MC22" s="19"/>
      <c r="MD22" s="19"/>
      <c r="ME22" s="19"/>
      <c r="MG22" s="8"/>
      <c r="MH22" s="7"/>
      <c r="MI22" s="19"/>
      <c r="MJ22" s="19"/>
      <c r="MK22" s="19"/>
      <c r="ML22" s="19"/>
      <c r="MN22" s="8"/>
      <c r="MO22" s="7"/>
      <c r="MP22" s="19"/>
      <c r="MQ22" s="19"/>
      <c r="MR22" s="19"/>
      <c r="MS22" s="19"/>
      <c r="MU22" s="8"/>
      <c r="MV22" s="7"/>
      <c r="MW22" s="19"/>
      <c r="MX22" s="19"/>
      <c r="MY22" s="19"/>
      <c r="MZ22" s="19"/>
      <c r="NB22" s="8"/>
      <c r="NC22" s="7"/>
      <c r="ND22" s="19"/>
      <c r="NE22" s="19"/>
      <c r="NF22" s="19"/>
      <c r="NG22" s="19"/>
      <c r="NI22" s="8"/>
      <c r="NJ22" s="7"/>
      <c r="NK22" s="19"/>
      <c r="NL22" s="19"/>
      <c r="NM22" s="19"/>
      <c r="NN22" s="19"/>
      <c r="NP22" s="8"/>
      <c r="NQ22" s="7"/>
      <c r="NR22" s="19"/>
      <c r="NS22" s="19"/>
      <c r="NT22" s="19"/>
      <c r="NU22" s="19"/>
      <c r="NW22" s="8"/>
      <c r="NX22" s="7"/>
      <c r="NY22" s="19"/>
      <c r="NZ22" s="19"/>
      <c r="OA22" s="19"/>
      <c r="OB22" s="19"/>
      <c r="OD22" s="8"/>
      <c r="OE22" s="7"/>
      <c r="OF22" s="19"/>
      <c r="OG22" s="19"/>
      <c r="OH22" s="19"/>
      <c r="OI22" s="19"/>
      <c r="OK22" s="8"/>
      <c r="OL22" s="7"/>
      <c r="OM22" s="19"/>
      <c r="ON22" s="19"/>
      <c r="OO22" s="19"/>
      <c r="OP22" s="19"/>
      <c r="OR22" s="8"/>
      <c r="OS22" s="7"/>
      <c r="OT22" s="19"/>
      <c r="OU22" s="19"/>
      <c r="OV22" s="19"/>
      <c r="OW22" s="19"/>
      <c r="OY22" s="8"/>
      <c r="OZ22" s="7"/>
      <c r="PA22" s="19"/>
      <c r="PB22" s="19"/>
      <c r="PC22" s="19"/>
      <c r="PD22" s="19"/>
      <c r="PF22" s="8"/>
      <c r="PG22" s="7"/>
      <c r="PH22" s="19"/>
      <c r="PI22" s="19"/>
      <c r="PJ22" s="19"/>
      <c r="PK22" s="19"/>
      <c r="PM22" s="8"/>
    </row>
    <row r="23" spans="1:429" s="1" customFormat="1" ht="26" customHeight="1" outlineLevel="1">
      <c r="B23" s="471"/>
      <c r="C23" s="7"/>
      <c r="D23" s="19"/>
      <c r="E23" s="19"/>
      <c r="F23" s="19"/>
      <c r="G23" s="19"/>
      <c r="I23" s="8"/>
      <c r="J23" s="7"/>
      <c r="K23" s="19"/>
      <c r="L23" s="19"/>
      <c r="M23" s="19"/>
      <c r="N23" s="19"/>
      <c r="P23" s="8"/>
      <c r="Q23" s="7"/>
      <c r="R23" s="19"/>
      <c r="S23" s="19"/>
      <c r="T23" s="19"/>
      <c r="U23" s="19"/>
      <c r="W23" s="8"/>
      <c r="X23" s="7"/>
      <c r="Y23" s="19"/>
      <c r="Z23" s="19"/>
      <c r="AA23" s="19"/>
      <c r="AB23" s="19"/>
      <c r="AD23" s="8"/>
      <c r="AE23" s="7"/>
      <c r="AF23" s="19"/>
      <c r="AG23" s="19"/>
      <c r="AH23" s="19"/>
      <c r="AI23" s="19"/>
      <c r="AK23" s="8"/>
      <c r="AL23" s="7"/>
      <c r="AM23" s="19"/>
      <c r="AN23" s="19"/>
      <c r="AO23" s="19"/>
      <c r="AP23" s="19"/>
      <c r="AR23" s="8"/>
      <c r="AS23" s="7"/>
      <c r="AT23" s="19"/>
      <c r="AU23" s="19"/>
      <c r="AV23" s="19"/>
      <c r="AW23" s="19"/>
      <c r="AY23" s="8"/>
      <c r="AZ23" s="7"/>
      <c r="BA23" s="19"/>
      <c r="BB23" s="19"/>
      <c r="BC23" s="19"/>
      <c r="BD23" s="19"/>
      <c r="BF23" s="8"/>
      <c r="BG23" s="7"/>
      <c r="BH23" s="19"/>
      <c r="BI23" s="19"/>
      <c r="BJ23" s="19"/>
      <c r="BK23" s="19"/>
      <c r="BM23" s="8"/>
      <c r="BN23" s="7"/>
      <c r="BO23" s="19"/>
      <c r="BP23" s="19"/>
      <c r="BQ23" s="19"/>
      <c r="BR23" s="19"/>
      <c r="BT23" s="8"/>
      <c r="BU23" s="7" t="s">
        <v>53</v>
      </c>
      <c r="BV23" s="19" t="s">
        <v>142</v>
      </c>
      <c r="BW23" s="19"/>
      <c r="BX23" s="19"/>
      <c r="BY23" s="19"/>
      <c r="BZ23" s="1" t="s">
        <v>106</v>
      </c>
      <c r="CA23" s="8">
        <v>6</v>
      </c>
      <c r="CB23" s="7"/>
      <c r="CC23" s="19"/>
      <c r="CD23" s="19"/>
      <c r="CE23" s="19"/>
      <c r="CF23" s="19"/>
      <c r="CH23" s="8"/>
      <c r="CI23" s="7"/>
      <c r="CJ23" s="19"/>
      <c r="CK23" s="19"/>
      <c r="CL23" s="19"/>
      <c r="CM23" s="19"/>
      <c r="CO23" s="8"/>
      <c r="CP23" s="7"/>
      <c r="CQ23" s="19"/>
      <c r="CR23" s="19"/>
      <c r="CS23" s="19"/>
      <c r="CT23" s="19"/>
      <c r="CV23" s="8"/>
      <c r="CW23" s="7"/>
      <c r="CX23" s="19"/>
      <c r="CY23" s="19"/>
      <c r="CZ23" s="19"/>
      <c r="DA23" s="19"/>
      <c r="DC23" s="8"/>
      <c r="DD23" s="7"/>
      <c r="DE23" s="19"/>
      <c r="DF23" s="19"/>
      <c r="DG23" s="19"/>
      <c r="DH23" s="19"/>
      <c r="DJ23" s="8"/>
      <c r="DK23" s="7" t="s">
        <v>108</v>
      </c>
      <c r="DL23" s="19" t="s">
        <v>117</v>
      </c>
      <c r="DM23" s="19"/>
      <c r="DN23" s="19"/>
      <c r="DO23" s="19"/>
      <c r="DP23" s="1" t="s">
        <v>118</v>
      </c>
      <c r="DQ23" s="8">
        <v>5</v>
      </c>
      <c r="DR23" s="7" t="s">
        <v>108</v>
      </c>
      <c r="DS23" s="19" t="s">
        <v>117</v>
      </c>
      <c r="DT23" s="19"/>
      <c r="DU23" s="19"/>
      <c r="DV23" s="19"/>
      <c r="DW23" s="1" t="s">
        <v>118</v>
      </c>
      <c r="DX23" s="8">
        <v>6</v>
      </c>
      <c r="DY23" s="7" t="s">
        <v>108</v>
      </c>
      <c r="DZ23" s="19" t="s">
        <v>205</v>
      </c>
      <c r="EA23" s="19"/>
      <c r="EB23" s="19"/>
      <c r="EC23" s="19"/>
      <c r="ED23" s="1" t="s">
        <v>206</v>
      </c>
      <c r="EE23" s="8">
        <v>6</v>
      </c>
      <c r="EF23" s="7" t="s">
        <v>108</v>
      </c>
      <c r="EG23" s="19" t="s">
        <v>426</v>
      </c>
      <c r="EH23" s="19"/>
      <c r="EI23" s="19"/>
      <c r="EJ23" s="19"/>
      <c r="EL23" s="8">
        <v>10</v>
      </c>
      <c r="EM23" s="7" t="s">
        <v>108</v>
      </c>
      <c r="EN23" s="19" t="s">
        <v>426</v>
      </c>
      <c r="EO23" s="19"/>
      <c r="EP23" s="19"/>
      <c r="EQ23" s="19"/>
      <c r="ES23" s="8">
        <v>11</v>
      </c>
      <c r="ET23" s="7" t="s">
        <v>108</v>
      </c>
      <c r="EU23" s="19" t="s">
        <v>426</v>
      </c>
      <c r="EV23" s="19"/>
      <c r="EW23" s="19"/>
      <c r="EX23" s="19"/>
      <c r="EZ23" s="8">
        <v>12</v>
      </c>
      <c r="FA23" s="7"/>
      <c r="FB23" s="19"/>
      <c r="FC23" s="19"/>
      <c r="FD23" s="19"/>
      <c r="FE23" s="19"/>
      <c r="FG23" s="8"/>
      <c r="FH23" s="7"/>
      <c r="FI23" s="19"/>
      <c r="FJ23" s="19"/>
      <c r="FK23" s="19"/>
      <c r="FL23" s="19"/>
      <c r="FN23" s="8"/>
      <c r="FO23" s="7"/>
      <c r="FP23" s="19"/>
      <c r="FQ23" s="19"/>
      <c r="FR23" s="19"/>
      <c r="FS23" s="19"/>
      <c r="FU23" s="8"/>
      <c r="FV23" s="7"/>
      <c r="FW23" s="19"/>
      <c r="FX23" s="19"/>
      <c r="FY23" s="19"/>
      <c r="FZ23" s="19"/>
      <c r="GB23" s="8"/>
      <c r="GC23" s="7"/>
      <c r="GD23" s="19"/>
      <c r="GE23" s="19"/>
      <c r="GF23" s="19"/>
      <c r="GG23" s="19"/>
      <c r="GI23" s="8"/>
      <c r="GJ23" s="7"/>
      <c r="GK23" s="19"/>
      <c r="GL23" s="19"/>
      <c r="GM23" s="19"/>
      <c r="GN23" s="19"/>
      <c r="GP23" s="8"/>
      <c r="GQ23" s="7"/>
      <c r="GR23" s="19"/>
      <c r="GS23" s="19"/>
      <c r="GT23" s="19"/>
      <c r="GU23" s="19"/>
      <c r="GW23" s="8"/>
      <c r="GX23" s="7"/>
      <c r="GY23" s="19"/>
      <c r="GZ23" s="19"/>
      <c r="HA23" s="19"/>
      <c r="HB23" s="19"/>
      <c r="HD23" s="8"/>
      <c r="HE23" s="7"/>
      <c r="HF23" s="19"/>
      <c r="HG23" s="19"/>
      <c r="HH23" s="19"/>
      <c r="HI23" s="19"/>
      <c r="HK23" s="8"/>
      <c r="HL23" s="7"/>
      <c r="HM23" s="19"/>
      <c r="HN23" s="19"/>
      <c r="HO23" s="19"/>
      <c r="HP23" s="19"/>
      <c r="HR23" s="8"/>
      <c r="HS23" s="7"/>
      <c r="HT23" s="19"/>
      <c r="HU23" s="19"/>
      <c r="HV23" s="19"/>
      <c r="HW23" s="19"/>
      <c r="HY23" s="8"/>
      <c r="HZ23" s="7"/>
      <c r="IA23" s="19"/>
      <c r="IB23" s="19"/>
      <c r="IC23" s="19"/>
      <c r="ID23" s="19"/>
      <c r="IF23" s="8"/>
      <c r="IG23" s="7"/>
      <c r="IH23" s="19"/>
      <c r="II23" s="19"/>
      <c r="IJ23" s="19"/>
      <c r="IK23" s="19"/>
      <c r="IM23" s="8"/>
      <c r="IN23" s="7"/>
      <c r="IO23" s="19"/>
      <c r="IP23" s="19"/>
      <c r="IQ23" s="19"/>
      <c r="IR23" s="19"/>
      <c r="IT23" s="8"/>
      <c r="IU23" s="7"/>
      <c r="IV23" s="19"/>
      <c r="IW23" s="19"/>
      <c r="IX23" s="19"/>
      <c r="IY23" s="19"/>
      <c r="JA23" s="8"/>
      <c r="JB23" s="7"/>
      <c r="JC23" s="19"/>
      <c r="JD23" s="19"/>
      <c r="JE23" s="19"/>
      <c r="JF23" s="19"/>
      <c r="JH23" s="8"/>
      <c r="JI23" s="7"/>
      <c r="JJ23" s="19"/>
      <c r="JK23" s="19"/>
      <c r="JL23" s="19"/>
      <c r="JM23" s="19"/>
      <c r="JO23" s="8"/>
      <c r="JP23" s="7"/>
      <c r="JQ23" s="19"/>
      <c r="JR23" s="19"/>
      <c r="JS23" s="19"/>
      <c r="JT23" s="19"/>
      <c r="JV23" s="8"/>
      <c r="JW23" s="7"/>
      <c r="JX23" s="19"/>
      <c r="JY23" s="19"/>
      <c r="JZ23" s="19"/>
      <c r="KA23" s="19"/>
      <c r="KC23" s="8"/>
      <c r="KD23" s="7"/>
      <c r="KE23" s="19"/>
      <c r="KF23" s="19"/>
      <c r="KG23" s="19"/>
      <c r="KH23" s="19"/>
      <c r="KJ23" s="8"/>
      <c r="KK23" s="7"/>
      <c r="KL23" s="19"/>
      <c r="KM23" s="19"/>
      <c r="KN23" s="19"/>
      <c r="KO23" s="19"/>
      <c r="KQ23" s="8"/>
      <c r="KR23" s="7"/>
      <c r="KS23" s="19"/>
      <c r="KT23" s="19"/>
      <c r="KU23" s="19"/>
      <c r="KV23" s="19"/>
      <c r="KX23" s="8"/>
      <c r="KY23" s="7"/>
      <c r="KZ23" s="19"/>
      <c r="LA23" s="19"/>
      <c r="LB23" s="19"/>
      <c r="LC23" s="19"/>
      <c r="LE23" s="8"/>
      <c r="LF23" s="7"/>
      <c r="LG23" s="19"/>
      <c r="LH23" s="19"/>
      <c r="LI23" s="19"/>
      <c r="LJ23" s="19"/>
      <c r="LL23" s="8"/>
      <c r="LM23" s="7"/>
      <c r="LN23" s="19"/>
      <c r="LO23" s="19"/>
      <c r="LP23" s="19"/>
      <c r="LQ23" s="19"/>
      <c r="LS23" s="8"/>
      <c r="LT23" s="7"/>
      <c r="LU23" s="19"/>
      <c r="LV23" s="19"/>
      <c r="LW23" s="19"/>
      <c r="LX23" s="19"/>
      <c r="LZ23" s="8"/>
      <c r="MA23" s="7"/>
      <c r="MB23" s="19"/>
      <c r="MC23" s="19"/>
      <c r="MD23" s="19"/>
      <c r="ME23" s="19"/>
      <c r="MG23" s="8"/>
      <c r="MH23" s="7"/>
      <c r="MI23" s="19"/>
      <c r="MJ23" s="19"/>
      <c r="MK23" s="19"/>
      <c r="ML23" s="19"/>
      <c r="MN23" s="8"/>
      <c r="MO23" s="7"/>
      <c r="MP23" s="19"/>
      <c r="MQ23" s="19"/>
      <c r="MR23" s="19"/>
      <c r="MS23" s="19"/>
      <c r="MU23" s="8"/>
      <c r="MV23" s="7"/>
      <c r="MW23" s="19"/>
      <c r="MX23" s="19"/>
      <c r="MY23" s="19"/>
      <c r="MZ23" s="19"/>
      <c r="NB23" s="8"/>
      <c r="NC23" s="7"/>
      <c r="ND23" s="19"/>
      <c r="NE23" s="19"/>
      <c r="NF23" s="19"/>
      <c r="NG23" s="19"/>
      <c r="NI23" s="8"/>
      <c r="NJ23" s="7"/>
      <c r="NK23" s="19"/>
      <c r="NL23" s="19"/>
      <c r="NM23" s="19"/>
      <c r="NN23" s="19"/>
      <c r="NP23" s="8"/>
      <c r="NQ23" s="7"/>
      <c r="NR23" s="19"/>
      <c r="NS23" s="19"/>
      <c r="NT23" s="19"/>
      <c r="NU23" s="19"/>
      <c r="NW23" s="8"/>
      <c r="NX23" s="7"/>
      <c r="NY23" s="19"/>
      <c r="NZ23" s="19"/>
      <c r="OA23" s="19"/>
      <c r="OB23" s="19"/>
      <c r="OD23" s="8"/>
      <c r="OE23" s="7"/>
      <c r="OF23" s="19"/>
      <c r="OG23" s="19"/>
      <c r="OH23" s="19"/>
      <c r="OI23" s="19"/>
      <c r="OK23" s="8"/>
      <c r="OL23" s="7"/>
      <c r="OM23" s="19"/>
      <c r="ON23" s="19"/>
      <c r="OO23" s="19"/>
      <c r="OP23" s="19"/>
      <c r="OR23" s="8"/>
      <c r="OS23" s="7"/>
      <c r="OT23" s="19"/>
      <c r="OU23" s="19"/>
      <c r="OV23" s="19"/>
      <c r="OW23" s="19"/>
      <c r="OY23" s="8"/>
      <c r="OZ23" s="7"/>
      <c r="PA23" s="19"/>
      <c r="PB23" s="19"/>
      <c r="PC23" s="19"/>
      <c r="PD23" s="19"/>
      <c r="PF23" s="8"/>
      <c r="PG23" s="7"/>
      <c r="PH23" s="19"/>
      <c r="PI23" s="19"/>
      <c r="PJ23" s="19"/>
      <c r="PK23" s="19"/>
      <c r="PM23" s="8"/>
    </row>
    <row r="24" spans="1:429" s="1" customFormat="1" ht="26" customHeight="1" outlineLevel="1">
      <c r="B24" s="471"/>
      <c r="C24" s="7"/>
      <c r="D24" s="19"/>
      <c r="E24" s="19"/>
      <c r="F24" s="19"/>
      <c r="G24" s="19"/>
      <c r="I24" s="8"/>
      <c r="J24" s="7"/>
      <c r="K24" s="19"/>
      <c r="L24" s="19"/>
      <c r="M24" s="19"/>
      <c r="N24" s="19"/>
      <c r="P24" s="8"/>
      <c r="Q24" s="7"/>
      <c r="R24" s="19"/>
      <c r="S24" s="19"/>
      <c r="T24" s="19"/>
      <c r="U24" s="19"/>
      <c r="W24" s="8"/>
      <c r="X24" s="7"/>
      <c r="Y24" s="19"/>
      <c r="Z24" s="19"/>
      <c r="AA24" s="19"/>
      <c r="AB24" s="19"/>
      <c r="AD24" s="8"/>
      <c r="AE24" s="7"/>
      <c r="AF24" s="19"/>
      <c r="AG24" s="19"/>
      <c r="AH24" s="19"/>
      <c r="AI24" s="19"/>
      <c r="AK24" s="8"/>
      <c r="AL24" s="7"/>
      <c r="AM24" s="19"/>
      <c r="AN24" s="19"/>
      <c r="AO24" s="19"/>
      <c r="AP24" s="19"/>
      <c r="AR24" s="8"/>
      <c r="AS24" s="7"/>
      <c r="AT24" s="19"/>
      <c r="AU24" s="19"/>
      <c r="AV24" s="19"/>
      <c r="AW24" s="19"/>
      <c r="AY24" s="8"/>
      <c r="AZ24" s="7"/>
      <c r="BA24" s="19"/>
      <c r="BB24" s="19"/>
      <c r="BC24" s="19"/>
      <c r="BD24" s="19"/>
      <c r="BF24" s="8"/>
      <c r="BG24" s="7"/>
      <c r="BH24" s="19"/>
      <c r="BI24" s="19"/>
      <c r="BJ24" s="19"/>
      <c r="BK24" s="19"/>
      <c r="BM24" s="8"/>
      <c r="BN24" s="7"/>
      <c r="BO24" s="19"/>
      <c r="BP24" s="19"/>
      <c r="BQ24" s="19"/>
      <c r="BR24" s="19"/>
      <c r="BT24" s="8"/>
      <c r="BU24" s="7" t="s">
        <v>54</v>
      </c>
      <c r="BV24" s="19" t="s">
        <v>145</v>
      </c>
      <c r="BW24" s="19"/>
      <c r="BX24" s="19"/>
      <c r="BY24" s="19"/>
      <c r="BZ24" s="1" t="s">
        <v>118</v>
      </c>
      <c r="CA24" s="8">
        <v>10</v>
      </c>
      <c r="CB24" s="7"/>
      <c r="CC24" s="19"/>
      <c r="CD24" s="19"/>
      <c r="CE24" s="19"/>
      <c r="CF24" s="19"/>
      <c r="CH24" s="8"/>
      <c r="CI24" s="7"/>
      <c r="CJ24" s="19"/>
      <c r="CK24" s="19"/>
      <c r="CL24" s="19"/>
      <c r="CM24" s="19"/>
      <c r="CO24" s="8"/>
      <c r="CP24" s="7"/>
      <c r="CQ24" s="19"/>
      <c r="CR24" s="19"/>
      <c r="CS24" s="19"/>
      <c r="CT24" s="19"/>
      <c r="CV24" s="8"/>
      <c r="CW24" s="7"/>
      <c r="CX24" s="19"/>
      <c r="CY24" s="19"/>
      <c r="CZ24" s="19"/>
      <c r="DA24" s="19"/>
      <c r="DC24" s="8"/>
      <c r="DD24" s="7"/>
      <c r="DE24" s="19"/>
      <c r="DF24" s="19"/>
      <c r="DG24" s="19"/>
      <c r="DH24" s="19"/>
      <c r="DJ24" s="8"/>
      <c r="DK24" s="7" t="s">
        <v>109</v>
      </c>
      <c r="DL24" s="19" t="s">
        <v>119</v>
      </c>
      <c r="DM24" s="19"/>
      <c r="DN24" s="19"/>
      <c r="DO24" s="19"/>
      <c r="DQ24" s="9">
        <v>8.3333333333333329E-2</v>
      </c>
      <c r="DR24" s="7" t="s">
        <v>109</v>
      </c>
      <c r="DS24" s="19" t="s">
        <v>119</v>
      </c>
      <c r="DT24" s="19"/>
      <c r="DU24" s="19"/>
      <c r="DV24" s="19"/>
      <c r="DX24" s="9">
        <v>0.10416666666666667</v>
      </c>
      <c r="DY24" s="7" t="s">
        <v>109</v>
      </c>
      <c r="DZ24" s="19" t="s">
        <v>119</v>
      </c>
      <c r="EA24" s="19"/>
      <c r="EB24" s="19"/>
      <c r="EC24" s="19"/>
      <c r="EE24" s="9">
        <v>0.125</v>
      </c>
      <c r="EF24" s="7" t="s">
        <v>109</v>
      </c>
      <c r="EG24" s="19" t="s">
        <v>427</v>
      </c>
      <c r="EH24" s="19"/>
      <c r="EI24" s="19"/>
      <c r="EJ24" s="19"/>
      <c r="EL24" s="8">
        <v>15</v>
      </c>
      <c r="EM24" s="7" t="s">
        <v>109</v>
      </c>
      <c r="EN24" s="19" t="s">
        <v>427</v>
      </c>
      <c r="EO24" s="19"/>
      <c r="EP24" s="19"/>
      <c r="EQ24" s="19"/>
      <c r="ES24" s="8">
        <v>20</v>
      </c>
      <c r="ET24" s="7" t="s">
        <v>109</v>
      </c>
      <c r="EU24" s="19" t="s">
        <v>434</v>
      </c>
      <c r="EV24" s="19"/>
      <c r="EW24" s="19"/>
      <c r="EX24" s="19"/>
      <c r="EZ24" s="8">
        <v>20</v>
      </c>
      <c r="FA24" s="7"/>
      <c r="FB24" s="19"/>
      <c r="FC24" s="19"/>
      <c r="FD24" s="19"/>
      <c r="FE24" s="19"/>
      <c r="FG24" s="8"/>
      <c r="FH24" s="7"/>
      <c r="FI24" s="19"/>
      <c r="FJ24" s="19"/>
      <c r="FK24" s="19"/>
      <c r="FL24" s="19"/>
      <c r="FN24" s="8"/>
      <c r="FO24" s="7"/>
      <c r="FP24" s="19"/>
      <c r="FQ24" s="19"/>
      <c r="FR24" s="19"/>
      <c r="FS24" s="19"/>
      <c r="FU24" s="8"/>
      <c r="FV24" s="7"/>
      <c r="FW24" s="19"/>
      <c r="FX24" s="19"/>
      <c r="FY24" s="19"/>
      <c r="FZ24" s="19"/>
      <c r="GB24" s="8"/>
      <c r="GC24" s="7"/>
      <c r="GD24" s="19"/>
      <c r="GE24" s="19"/>
      <c r="GF24" s="19"/>
      <c r="GG24" s="19"/>
      <c r="GI24" s="8"/>
      <c r="GJ24" s="7"/>
      <c r="GK24" s="19"/>
      <c r="GL24" s="19"/>
      <c r="GM24" s="19"/>
      <c r="GN24" s="19"/>
      <c r="GP24" s="8"/>
      <c r="GQ24" s="7"/>
      <c r="GR24" s="19"/>
      <c r="GS24" s="19"/>
      <c r="GT24" s="19"/>
      <c r="GU24" s="19"/>
      <c r="GW24" s="8"/>
      <c r="GX24" s="7"/>
      <c r="GY24" s="19"/>
      <c r="GZ24" s="19"/>
      <c r="HA24" s="19"/>
      <c r="HB24" s="19"/>
      <c r="HD24" s="8"/>
      <c r="HE24" s="7"/>
      <c r="HF24" s="19"/>
      <c r="HG24" s="19"/>
      <c r="HH24" s="19"/>
      <c r="HI24" s="19"/>
      <c r="HK24" s="8"/>
      <c r="HL24" s="7"/>
      <c r="HM24" s="19"/>
      <c r="HN24" s="19"/>
      <c r="HO24" s="19"/>
      <c r="HP24" s="19"/>
      <c r="HR24" s="8"/>
      <c r="HS24" s="7"/>
      <c r="HT24" s="19"/>
      <c r="HU24" s="19"/>
      <c r="HV24" s="19"/>
      <c r="HW24" s="19"/>
      <c r="HY24" s="8"/>
      <c r="HZ24" s="7"/>
      <c r="IA24" s="19"/>
      <c r="IB24" s="19"/>
      <c r="IC24" s="19"/>
      <c r="ID24" s="19"/>
      <c r="IF24" s="8"/>
      <c r="IG24" s="7"/>
      <c r="IH24" s="19"/>
      <c r="II24" s="19"/>
      <c r="IJ24" s="19"/>
      <c r="IK24" s="19"/>
      <c r="IM24" s="8"/>
      <c r="IN24" s="7"/>
      <c r="IO24" s="19"/>
      <c r="IP24" s="19"/>
      <c r="IQ24" s="19"/>
      <c r="IR24" s="19"/>
      <c r="IT24" s="8"/>
      <c r="IU24" s="7"/>
      <c r="IV24" s="19"/>
      <c r="IW24" s="19"/>
      <c r="IX24" s="19"/>
      <c r="IY24" s="19"/>
      <c r="JA24" s="8"/>
      <c r="JB24" s="7"/>
      <c r="JC24" s="19"/>
      <c r="JD24" s="19"/>
      <c r="JE24" s="19"/>
      <c r="JF24" s="19"/>
      <c r="JH24" s="8"/>
      <c r="JI24" s="7"/>
      <c r="JJ24" s="19"/>
      <c r="JK24" s="19"/>
      <c r="JL24" s="19"/>
      <c r="JM24" s="19"/>
      <c r="JO24" s="8"/>
      <c r="JP24" s="7"/>
      <c r="JQ24" s="19"/>
      <c r="JR24" s="19"/>
      <c r="JS24" s="19"/>
      <c r="JT24" s="19"/>
      <c r="JV24" s="8"/>
      <c r="JW24" s="7"/>
      <c r="JX24" s="19"/>
      <c r="JY24" s="19"/>
      <c r="JZ24" s="19"/>
      <c r="KA24" s="19"/>
      <c r="KC24" s="8"/>
      <c r="KD24" s="7"/>
      <c r="KE24" s="19"/>
      <c r="KF24" s="19"/>
      <c r="KG24" s="19"/>
      <c r="KH24" s="19"/>
      <c r="KJ24" s="8"/>
      <c r="KK24" s="7"/>
      <c r="KL24" s="19"/>
      <c r="KM24" s="19"/>
      <c r="KN24" s="19"/>
      <c r="KO24" s="19"/>
      <c r="KQ24" s="8"/>
      <c r="KR24" s="7"/>
      <c r="KS24" s="19"/>
      <c r="KT24" s="19"/>
      <c r="KU24" s="19"/>
      <c r="KV24" s="19"/>
      <c r="KX24" s="8"/>
      <c r="KY24" s="7"/>
      <c r="KZ24" s="19"/>
      <c r="LA24" s="19"/>
      <c r="LB24" s="19"/>
      <c r="LC24" s="19"/>
      <c r="LE24" s="8"/>
      <c r="LF24" s="7"/>
      <c r="LG24" s="19"/>
      <c r="LH24" s="19"/>
      <c r="LI24" s="19"/>
      <c r="LJ24" s="19"/>
      <c r="LL24" s="8"/>
      <c r="LM24" s="7"/>
      <c r="LN24" s="19"/>
      <c r="LO24" s="19"/>
      <c r="LP24" s="19"/>
      <c r="LQ24" s="19"/>
      <c r="LS24" s="8"/>
      <c r="LT24" s="7"/>
      <c r="LU24" s="19"/>
      <c r="LV24" s="19"/>
      <c r="LW24" s="19"/>
      <c r="LX24" s="19"/>
      <c r="LZ24" s="8"/>
      <c r="MA24" s="7"/>
      <c r="MB24" s="19"/>
      <c r="MC24" s="19"/>
      <c r="MD24" s="19"/>
      <c r="ME24" s="19"/>
      <c r="MG24" s="8"/>
      <c r="MH24" s="7"/>
      <c r="MI24" s="19"/>
      <c r="MJ24" s="19"/>
      <c r="MK24" s="19"/>
      <c r="ML24" s="19"/>
      <c r="MN24" s="8"/>
      <c r="MO24" s="7"/>
      <c r="MP24" s="19"/>
      <c r="MQ24" s="19"/>
      <c r="MR24" s="19"/>
      <c r="MS24" s="19"/>
      <c r="MU24" s="8"/>
      <c r="MV24" s="7"/>
      <c r="MW24" s="19"/>
      <c r="MX24" s="19"/>
      <c r="MY24" s="19"/>
      <c r="MZ24" s="19"/>
      <c r="NB24" s="8"/>
      <c r="NC24" s="7"/>
      <c r="ND24" s="19"/>
      <c r="NE24" s="19"/>
      <c r="NF24" s="19"/>
      <c r="NG24" s="19"/>
      <c r="NI24" s="8"/>
      <c r="NJ24" s="7"/>
      <c r="NK24" s="19"/>
      <c r="NL24" s="19"/>
      <c r="NM24" s="19"/>
      <c r="NN24" s="19"/>
      <c r="NP24" s="8"/>
      <c r="NQ24" s="7"/>
      <c r="NR24" s="19"/>
      <c r="NS24" s="19"/>
      <c r="NT24" s="19"/>
      <c r="NU24" s="19"/>
      <c r="NW24" s="8"/>
      <c r="NX24" s="7"/>
      <c r="NY24" s="19"/>
      <c r="NZ24" s="19"/>
      <c r="OA24" s="19"/>
      <c r="OB24" s="19"/>
      <c r="OD24" s="8"/>
      <c r="OE24" s="7"/>
      <c r="OF24" s="19"/>
      <c r="OG24" s="19"/>
      <c r="OH24" s="19"/>
      <c r="OI24" s="19"/>
      <c r="OK24" s="8"/>
      <c r="OL24" s="7"/>
      <c r="OM24" s="19"/>
      <c r="ON24" s="19"/>
      <c r="OO24" s="19"/>
      <c r="OP24" s="19"/>
      <c r="OR24" s="8"/>
      <c r="OS24" s="7"/>
      <c r="OT24" s="19"/>
      <c r="OU24" s="19"/>
      <c r="OV24" s="19"/>
      <c r="OW24" s="19"/>
      <c r="OY24" s="8"/>
      <c r="OZ24" s="7"/>
      <c r="PA24" s="19"/>
      <c r="PB24" s="19"/>
      <c r="PC24" s="19"/>
      <c r="PD24" s="19"/>
      <c r="PF24" s="8"/>
      <c r="PG24" s="7"/>
      <c r="PH24" s="19"/>
      <c r="PI24" s="19"/>
      <c r="PJ24" s="19"/>
      <c r="PK24" s="19"/>
      <c r="PM24" s="8"/>
    </row>
    <row r="25" spans="1:429" s="1" customFormat="1" ht="26" customHeight="1" outlineLevel="1">
      <c r="B25" s="471"/>
      <c r="C25" s="7"/>
      <c r="D25" s="19"/>
      <c r="E25" s="19"/>
      <c r="F25" s="19"/>
      <c r="G25" s="19"/>
      <c r="I25" s="8"/>
      <c r="J25" s="7"/>
      <c r="K25" s="19"/>
      <c r="L25" s="19"/>
      <c r="M25" s="19"/>
      <c r="N25" s="19"/>
      <c r="P25" s="8"/>
      <c r="Q25" s="7"/>
      <c r="R25" s="19"/>
      <c r="S25" s="19"/>
      <c r="T25" s="19"/>
      <c r="U25" s="19"/>
      <c r="W25" s="8"/>
      <c r="X25" s="7"/>
      <c r="Y25" s="19"/>
      <c r="Z25" s="19"/>
      <c r="AA25" s="19"/>
      <c r="AB25" s="19"/>
      <c r="AD25" s="8"/>
      <c r="AE25" s="7"/>
      <c r="AF25" s="19"/>
      <c r="AG25" s="19"/>
      <c r="AH25" s="19"/>
      <c r="AI25" s="19"/>
      <c r="AK25" s="8"/>
      <c r="AL25" s="7"/>
      <c r="AM25" s="19"/>
      <c r="AN25" s="19"/>
      <c r="AO25" s="19"/>
      <c r="AP25" s="19"/>
      <c r="AR25" s="8"/>
      <c r="AS25" s="7"/>
      <c r="AT25" s="19"/>
      <c r="AU25" s="19"/>
      <c r="AV25" s="19"/>
      <c r="AW25" s="19"/>
      <c r="AY25" s="8"/>
      <c r="AZ25" s="7"/>
      <c r="BA25" s="19"/>
      <c r="BB25" s="19"/>
      <c r="BC25" s="19"/>
      <c r="BD25" s="19"/>
      <c r="BF25" s="8"/>
      <c r="BG25" s="7"/>
      <c r="BH25" s="19"/>
      <c r="BI25" s="19"/>
      <c r="BJ25" s="19"/>
      <c r="BK25" s="19"/>
      <c r="BM25" s="8"/>
      <c r="BN25" s="7"/>
      <c r="BO25" s="19"/>
      <c r="BP25" s="19"/>
      <c r="BQ25" s="19"/>
      <c r="BR25" s="19"/>
      <c r="BT25" s="8"/>
      <c r="BU25" s="7" t="s">
        <v>127</v>
      </c>
      <c r="BV25" s="19" t="s">
        <v>144</v>
      </c>
      <c r="BW25" s="19"/>
      <c r="BX25" s="19"/>
      <c r="BY25" s="19"/>
      <c r="CA25" s="8">
        <v>10</v>
      </c>
      <c r="CB25" s="7"/>
      <c r="CC25" s="19"/>
      <c r="CD25" s="19"/>
      <c r="CE25" s="19"/>
      <c r="CF25" s="19"/>
      <c r="CH25" s="8"/>
      <c r="CI25" s="7"/>
      <c r="CJ25" s="19"/>
      <c r="CK25" s="19"/>
      <c r="CL25" s="19"/>
      <c r="CM25" s="19"/>
      <c r="CO25" s="8"/>
      <c r="CP25" s="7"/>
      <c r="CQ25" s="19"/>
      <c r="CR25" s="19"/>
      <c r="CS25" s="19"/>
      <c r="CT25" s="19"/>
      <c r="CV25" s="8"/>
      <c r="CW25" s="7"/>
      <c r="CX25" s="19"/>
      <c r="CY25" s="19"/>
      <c r="CZ25" s="19"/>
      <c r="DA25" s="19"/>
      <c r="DC25" s="8"/>
      <c r="DD25" s="7"/>
      <c r="DE25" s="19"/>
      <c r="DF25" s="19"/>
      <c r="DG25" s="19"/>
      <c r="DH25" s="19"/>
      <c r="DJ25" s="8"/>
      <c r="DK25" s="7" t="s">
        <v>110</v>
      </c>
      <c r="DL25" s="19" t="s">
        <v>121</v>
      </c>
      <c r="DM25" s="19"/>
      <c r="DN25" s="19"/>
      <c r="DO25" s="19"/>
      <c r="DQ25" s="8">
        <v>4</v>
      </c>
      <c r="DR25" s="7" t="s">
        <v>110</v>
      </c>
      <c r="DS25" s="19" t="s">
        <v>121</v>
      </c>
      <c r="DT25" s="19"/>
      <c r="DU25" s="19"/>
      <c r="DV25" s="19"/>
      <c r="DX25" s="8">
        <v>5</v>
      </c>
      <c r="DY25" s="7" t="s">
        <v>110</v>
      </c>
      <c r="DZ25" s="19" t="s">
        <v>121</v>
      </c>
      <c r="EA25" s="19"/>
      <c r="EB25" s="19"/>
      <c r="EC25" s="19"/>
      <c r="EE25" s="8">
        <v>6</v>
      </c>
      <c r="EF25" s="7" t="s">
        <v>110</v>
      </c>
      <c r="EG25" s="19" t="s">
        <v>211</v>
      </c>
      <c r="EH25" s="19"/>
      <c r="EI25" s="19"/>
      <c r="EJ25" s="19"/>
      <c r="EL25" s="8" t="s">
        <v>432</v>
      </c>
      <c r="EM25" s="7" t="s">
        <v>110</v>
      </c>
      <c r="EN25" s="19" t="s">
        <v>211</v>
      </c>
      <c r="EO25" s="19"/>
      <c r="EP25" s="19"/>
      <c r="EQ25" s="19"/>
      <c r="ES25" s="8" t="s">
        <v>435</v>
      </c>
      <c r="ET25" s="7" t="s">
        <v>110</v>
      </c>
      <c r="EU25" s="19" t="s">
        <v>211</v>
      </c>
      <c r="EV25" s="19"/>
      <c r="EW25" s="19"/>
      <c r="EX25" s="19"/>
      <c r="EZ25" s="8" t="s">
        <v>436</v>
      </c>
      <c r="FA25" s="7"/>
      <c r="FB25" s="19"/>
      <c r="FC25" s="19"/>
      <c r="FD25" s="19"/>
      <c r="FE25" s="19"/>
      <c r="FG25" s="8"/>
      <c r="FH25" s="7"/>
      <c r="FI25" s="19"/>
      <c r="FJ25" s="19"/>
      <c r="FK25" s="19"/>
      <c r="FL25" s="19"/>
      <c r="FN25" s="8"/>
      <c r="FO25" s="7"/>
      <c r="FP25" s="19"/>
      <c r="FQ25" s="19"/>
      <c r="FR25" s="19"/>
      <c r="FS25" s="19"/>
      <c r="FU25" s="8"/>
      <c r="FV25" s="7"/>
      <c r="FW25" s="19"/>
      <c r="FX25" s="19"/>
      <c r="FY25" s="19"/>
      <c r="FZ25" s="19"/>
      <c r="GB25" s="8"/>
      <c r="GC25" s="7"/>
      <c r="GD25" s="19"/>
      <c r="GE25" s="19"/>
      <c r="GF25" s="19"/>
      <c r="GG25" s="19"/>
      <c r="GI25" s="8"/>
      <c r="GJ25" s="7"/>
      <c r="GK25" s="19"/>
      <c r="GL25" s="19"/>
      <c r="GM25" s="19"/>
      <c r="GN25" s="19"/>
      <c r="GP25" s="8"/>
      <c r="GQ25" s="7"/>
      <c r="GR25" s="19"/>
      <c r="GS25" s="19"/>
      <c r="GT25" s="19"/>
      <c r="GU25" s="19"/>
      <c r="GW25" s="8"/>
      <c r="GX25" s="7"/>
      <c r="GY25" s="19"/>
      <c r="GZ25" s="19"/>
      <c r="HA25" s="19"/>
      <c r="HB25" s="19"/>
      <c r="HD25" s="8"/>
      <c r="HE25" s="7"/>
      <c r="HF25" s="19"/>
      <c r="HG25" s="19"/>
      <c r="HH25" s="19"/>
      <c r="HI25" s="19"/>
      <c r="HK25" s="8"/>
      <c r="HL25" s="7"/>
      <c r="HM25" s="19"/>
      <c r="HN25" s="19"/>
      <c r="HO25" s="19"/>
      <c r="HP25" s="19"/>
      <c r="HR25" s="8"/>
      <c r="HS25" s="7"/>
      <c r="HT25" s="19"/>
      <c r="HU25" s="19"/>
      <c r="HV25" s="19"/>
      <c r="HW25" s="19"/>
      <c r="HY25" s="8"/>
      <c r="HZ25" s="7"/>
      <c r="IA25" s="19"/>
      <c r="IB25" s="19"/>
      <c r="IC25" s="19"/>
      <c r="ID25" s="19"/>
      <c r="IF25" s="8"/>
      <c r="IG25" s="7"/>
      <c r="IH25" s="19"/>
      <c r="II25" s="19"/>
      <c r="IJ25" s="19"/>
      <c r="IK25" s="19"/>
      <c r="IM25" s="8"/>
      <c r="IN25" s="7"/>
      <c r="IO25" s="19"/>
      <c r="IP25" s="19"/>
      <c r="IQ25" s="19"/>
      <c r="IR25" s="19"/>
      <c r="IT25" s="8"/>
      <c r="IU25" s="7"/>
      <c r="IV25" s="19"/>
      <c r="IW25" s="19"/>
      <c r="IX25" s="19"/>
      <c r="IY25" s="19"/>
      <c r="JA25" s="8"/>
      <c r="JB25" s="7"/>
      <c r="JC25" s="19"/>
      <c r="JD25" s="19"/>
      <c r="JE25" s="19"/>
      <c r="JF25" s="19"/>
      <c r="JH25" s="8"/>
      <c r="JI25" s="7"/>
      <c r="JJ25" s="19"/>
      <c r="JK25" s="19"/>
      <c r="JL25" s="19"/>
      <c r="JM25" s="19"/>
      <c r="JO25" s="8"/>
      <c r="JP25" s="7"/>
      <c r="JQ25" s="19"/>
      <c r="JR25" s="19"/>
      <c r="JS25" s="19"/>
      <c r="JT25" s="19"/>
      <c r="JV25" s="8"/>
      <c r="JW25" s="7"/>
      <c r="JX25" s="19"/>
      <c r="JY25" s="19"/>
      <c r="JZ25" s="19"/>
      <c r="KA25" s="19"/>
      <c r="KC25" s="8"/>
      <c r="KD25" s="7"/>
      <c r="KE25" s="19"/>
      <c r="KF25" s="19"/>
      <c r="KG25" s="19"/>
      <c r="KH25" s="19"/>
      <c r="KJ25" s="8"/>
      <c r="KK25" s="7"/>
      <c r="KL25" s="19"/>
      <c r="KM25" s="19"/>
      <c r="KN25" s="19"/>
      <c r="KO25" s="19"/>
      <c r="KQ25" s="8"/>
      <c r="KR25" s="7"/>
      <c r="KS25" s="19"/>
      <c r="KT25" s="19"/>
      <c r="KU25" s="19"/>
      <c r="KV25" s="19"/>
      <c r="KX25" s="8"/>
      <c r="KY25" s="7"/>
      <c r="KZ25" s="19"/>
      <c r="LA25" s="19"/>
      <c r="LB25" s="19"/>
      <c r="LC25" s="19"/>
      <c r="LE25" s="8"/>
      <c r="LF25" s="7"/>
      <c r="LG25" s="19"/>
      <c r="LH25" s="19"/>
      <c r="LI25" s="19"/>
      <c r="LJ25" s="19"/>
      <c r="LL25" s="8"/>
      <c r="LM25" s="7"/>
      <c r="LN25" s="19"/>
      <c r="LO25" s="19"/>
      <c r="LP25" s="19"/>
      <c r="LQ25" s="19"/>
      <c r="LS25" s="8"/>
      <c r="LT25" s="7"/>
      <c r="LU25" s="19"/>
      <c r="LV25" s="19"/>
      <c r="LW25" s="19"/>
      <c r="LX25" s="19"/>
      <c r="LZ25" s="8"/>
      <c r="MA25" s="7"/>
      <c r="MB25" s="19"/>
      <c r="MC25" s="19"/>
      <c r="MD25" s="19"/>
      <c r="ME25" s="19"/>
      <c r="MG25" s="8"/>
      <c r="MH25" s="7"/>
      <c r="MI25" s="19"/>
      <c r="MJ25" s="19"/>
      <c r="MK25" s="19"/>
      <c r="ML25" s="19"/>
      <c r="MN25" s="8"/>
      <c r="MO25" s="7"/>
      <c r="MP25" s="19"/>
      <c r="MQ25" s="19"/>
      <c r="MR25" s="19"/>
      <c r="MS25" s="19"/>
      <c r="MU25" s="8"/>
      <c r="MV25" s="7"/>
      <c r="MW25" s="19"/>
      <c r="MX25" s="19"/>
      <c r="MY25" s="19"/>
      <c r="MZ25" s="19"/>
      <c r="NB25" s="8"/>
      <c r="NC25" s="7"/>
      <c r="ND25" s="19"/>
      <c r="NE25" s="19"/>
      <c r="NF25" s="19"/>
      <c r="NG25" s="19"/>
      <c r="NI25" s="8"/>
      <c r="NJ25" s="7"/>
      <c r="NK25" s="19"/>
      <c r="NL25" s="19"/>
      <c r="NM25" s="19"/>
      <c r="NN25" s="19"/>
      <c r="NP25" s="8"/>
      <c r="NQ25" s="7"/>
      <c r="NR25" s="19"/>
      <c r="NS25" s="19"/>
      <c r="NT25" s="19"/>
      <c r="NU25" s="19"/>
      <c r="NW25" s="8"/>
      <c r="NX25" s="7"/>
      <c r="NY25" s="19"/>
      <c r="NZ25" s="19"/>
      <c r="OA25" s="19"/>
      <c r="OB25" s="19"/>
      <c r="OD25" s="8"/>
      <c r="OE25" s="7"/>
      <c r="OF25" s="19"/>
      <c r="OG25" s="19"/>
      <c r="OH25" s="19"/>
      <c r="OI25" s="19"/>
      <c r="OK25" s="8"/>
      <c r="OL25" s="7"/>
      <c r="OM25" s="19"/>
      <c r="ON25" s="19"/>
      <c r="OO25" s="19"/>
      <c r="OP25" s="19"/>
      <c r="OR25" s="8"/>
      <c r="OS25" s="7"/>
      <c r="OT25" s="19"/>
      <c r="OU25" s="19"/>
      <c r="OV25" s="19"/>
      <c r="OW25" s="19"/>
      <c r="OY25" s="8"/>
      <c r="OZ25" s="7"/>
      <c r="PA25" s="19"/>
      <c r="PB25" s="19"/>
      <c r="PC25" s="19"/>
      <c r="PD25" s="19"/>
      <c r="PF25" s="8"/>
      <c r="PG25" s="7"/>
      <c r="PH25" s="19"/>
      <c r="PI25" s="19"/>
      <c r="PJ25" s="19"/>
      <c r="PK25" s="19"/>
      <c r="PM25" s="8"/>
    </row>
    <row r="26" spans="1:429" s="1" customFormat="1" ht="26" customHeight="1" outlineLevel="1">
      <c r="B26" s="471"/>
      <c r="C26" s="7"/>
      <c r="D26" s="19"/>
      <c r="E26" s="19"/>
      <c r="F26" s="19"/>
      <c r="G26" s="19"/>
      <c r="I26" s="8"/>
      <c r="J26" s="7"/>
      <c r="K26" s="19"/>
      <c r="L26" s="19"/>
      <c r="M26" s="19"/>
      <c r="N26" s="19"/>
      <c r="P26" s="8"/>
      <c r="Q26" s="7"/>
      <c r="R26" s="19"/>
      <c r="S26" s="19"/>
      <c r="T26" s="19"/>
      <c r="U26" s="19"/>
      <c r="W26" s="8"/>
      <c r="X26" s="7"/>
      <c r="Y26" s="19"/>
      <c r="Z26" s="19"/>
      <c r="AA26" s="19"/>
      <c r="AB26" s="19"/>
      <c r="AD26" s="8"/>
      <c r="AE26" s="7"/>
      <c r="AF26" s="19"/>
      <c r="AG26" s="19"/>
      <c r="AH26" s="19"/>
      <c r="AI26" s="19"/>
      <c r="AK26" s="8"/>
      <c r="AL26" s="7"/>
      <c r="AM26" s="19"/>
      <c r="AN26" s="19"/>
      <c r="AO26" s="19"/>
      <c r="AP26" s="19"/>
      <c r="AR26" s="8"/>
      <c r="AS26" s="7"/>
      <c r="AT26" s="19"/>
      <c r="AU26" s="19"/>
      <c r="AV26" s="19"/>
      <c r="AW26" s="19"/>
      <c r="AY26" s="8"/>
      <c r="AZ26" s="7"/>
      <c r="BA26" s="19"/>
      <c r="BB26" s="19"/>
      <c r="BC26" s="19"/>
      <c r="BD26" s="19"/>
      <c r="BF26" s="8"/>
      <c r="BG26" s="7"/>
      <c r="BH26" s="19"/>
      <c r="BI26" s="19"/>
      <c r="BJ26" s="19"/>
      <c r="BK26" s="19"/>
      <c r="BM26" s="8"/>
      <c r="BN26" s="7"/>
      <c r="BO26" s="19"/>
      <c r="BP26" s="19"/>
      <c r="BQ26" s="19"/>
      <c r="BR26" s="19"/>
      <c r="BT26" s="8"/>
      <c r="BU26" s="7" t="s">
        <v>128</v>
      </c>
      <c r="BV26" s="19" t="s">
        <v>143</v>
      </c>
      <c r="BW26" s="19"/>
      <c r="BX26" s="19"/>
      <c r="BY26" s="19"/>
      <c r="CA26" s="8" t="s">
        <v>137</v>
      </c>
      <c r="CB26" s="7"/>
      <c r="CC26" s="19"/>
      <c r="CD26" s="19"/>
      <c r="CE26" s="19"/>
      <c r="CF26" s="19"/>
      <c r="CH26" s="8"/>
      <c r="CI26" s="7"/>
      <c r="CJ26" s="19"/>
      <c r="CK26" s="19"/>
      <c r="CL26" s="19"/>
      <c r="CM26" s="19"/>
      <c r="CO26" s="8"/>
      <c r="CP26" s="7"/>
      <c r="CQ26" s="19"/>
      <c r="CR26" s="19"/>
      <c r="CS26" s="19"/>
      <c r="CT26" s="19"/>
      <c r="CV26" s="8"/>
      <c r="CW26" s="7"/>
      <c r="CX26" s="19"/>
      <c r="CY26" s="19"/>
      <c r="CZ26" s="19"/>
      <c r="DA26" s="19"/>
      <c r="DC26" s="8"/>
      <c r="DD26" s="7"/>
      <c r="DE26" s="19"/>
      <c r="DF26" s="19"/>
      <c r="DG26" s="19"/>
      <c r="DH26" s="19"/>
      <c r="DJ26" s="8"/>
      <c r="DK26" s="7" t="s">
        <v>111</v>
      </c>
      <c r="DL26" s="19" t="s">
        <v>122</v>
      </c>
      <c r="DM26" s="19"/>
      <c r="DN26" s="19"/>
      <c r="DO26" s="19"/>
      <c r="DQ26" s="8">
        <v>8</v>
      </c>
      <c r="DR26" s="7" t="s">
        <v>111</v>
      </c>
      <c r="DS26" s="19" t="s">
        <v>122</v>
      </c>
      <c r="DT26" s="19"/>
      <c r="DU26" s="19"/>
      <c r="DV26" s="19"/>
      <c r="DX26" s="8">
        <v>10</v>
      </c>
      <c r="DY26" s="7" t="s">
        <v>111</v>
      </c>
      <c r="DZ26" s="19" t="s">
        <v>207</v>
      </c>
      <c r="EA26" s="19"/>
      <c r="EB26" s="19"/>
      <c r="EC26" s="19"/>
      <c r="EE26" s="8">
        <v>10</v>
      </c>
      <c r="EF26" s="7" t="s">
        <v>111</v>
      </c>
      <c r="EG26" s="19" t="s">
        <v>428</v>
      </c>
      <c r="EH26" s="19"/>
      <c r="EI26" s="19"/>
      <c r="EJ26" s="19"/>
      <c r="EL26" s="8" t="s">
        <v>282</v>
      </c>
      <c r="EM26" s="7" t="s">
        <v>111</v>
      </c>
      <c r="EN26" s="19" t="s">
        <v>428</v>
      </c>
      <c r="EO26" s="19"/>
      <c r="EP26" s="19"/>
      <c r="EQ26" s="19"/>
      <c r="ES26" s="8" t="s">
        <v>433</v>
      </c>
      <c r="ET26" s="7" t="s">
        <v>111</v>
      </c>
      <c r="EU26" s="19" t="s">
        <v>428</v>
      </c>
      <c r="EV26" s="19"/>
      <c r="EW26" s="19"/>
      <c r="EX26" s="19"/>
      <c r="EZ26" s="8" t="s">
        <v>172</v>
      </c>
      <c r="FA26" s="7"/>
      <c r="FB26" s="19"/>
      <c r="FC26" s="19"/>
      <c r="FD26" s="19"/>
      <c r="FE26" s="19"/>
      <c r="FG26" s="8"/>
      <c r="FH26" s="7"/>
      <c r="FI26" s="19"/>
      <c r="FJ26" s="19"/>
      <c r="FK26" s="19"/>
      <c r="FL26" s="19"/>
      <c r="FN26" s="8"/>
      <c r="FO26" s="7"/>
      <c r="FP26" s="19"/>
      <c r="FQ26" s="19"/>
      <c r="FR26" s="19"/>
      <c r="FS26" s="19"/>
      <c r="FU26" s="8"/>
      <c r="FV26" s="7"/>
      <c r="FW26" s="19"/>
      <c r="FX26" s="19"/>
      <c r="FY26" s="19"/>
      <c r="FZ26" s="19"/>
      <c r="GB26" s="8"/>
      <c r="GC26" s="7"/>
      <c r="GD26" s="19"/>
      <c r="GE26" s="19"/>
      <c r="GF26" s="19"/>
      <c r="GG26" s="19"/>
      <c r="GI26" s="8"/>
      <c r="GJ26" s="7"/>
      <c r="GK26" s="19"/>
      <c r="GL26" s="19"/>
      <c r="GM26" s="19"/>
      <c r="GN26" s="19"/>
      <c r="GP26" s="8"/>
      <c r="GQ26" s="7"/>
      <c r="GR26" s="19"/>
      <c r="GS26" s="19"/>
      <c r="GT26" s="19"/>
      <c r="GU26" s="19"/>
      <c r="GW26" s="8"/>
      <c r="GX26" s="7"/>
      <c r="GY26" s="19"/>
      <c r="GZ26" s="19"/>
      <c r="HA26" s="19"/>
      <c r="HB26" s="19"/>
      <c r="HD26" s="8"/>
      <c r="HE26" s="7"/>
      <c r="HF26" s="19"/>
      <c r="HG26" s="19"/>
      <c r="HH26" s="19"/>
      <c r="HI26" s="19"/>
      <c r="HK26" s="8"/>
      <c r="HL26" s="7"/>
      <c r="HM26" s="19"/>
      <c r="HN26" s="19"/>
      <c r="HO26" s="19"/>
      <c r="HP26" s="19"/>
      <c r="HR26" s="8"/>
      <c r="HS26" s="7"/>
      <c r="HT26" s="19"/>
      <c r="HU26" s="19"/>
      <c r="HV26" s="19"/>
      <c r="HW26" s="19"/>
      <c r="HY26" s="8"/>
      <c r="HZ26" s="7"/>
      <c r="IA26" s="19"/>
      <c r="IB26" s="19"/>
      <c r="IC26" s="19"/>
      <c r="ID26" s="19"/>
      <c r="IF26" s="8"/>
      <c r="IG26" s="7"/>
      <c r="IH26" s="19"/>
      <c r="II26" s="19"/>
      <c r="IJ26" s="19"/>
      <c r="IK26" s="19"/>
      <c r="IM26" s="8"/>
      <c r="IN26" s="7"/>
      <c r="IO26" s="19"/>
      <c r="IP26" s="19"/>
      <c r="IQ26" s="19"/>
      <c r="IR26" s="19"/>
      <c r="IT26" s="8"/>
      <c r="IU26" s="7"/>
      <c r="IV26" s="19"/>
      <c r="IW26" s="19"/>
      <c r="IX26" s="19"/>
      <c r="IY26" s="19"/>
      <c r="JA26" s="8"/>
      <c r="JB26" s="7"/>
      <c r="JC26" s="19"/>
      <c r="JD26" s="19"/>
      <c r="JE26" s="19"/>
      <c r="JF26" s="19"/>
      <c r="JH26" s="8"/>
      <c r="JI26" s="7"/>
      <c r="JJ26" s="19"/>
      <c r="JK26" s="19"/>
      <c r="JL26" s="19"/>
      <c r="JM26" s="19"/>
      <c r="JO26" s="8"/>
      <c r="JP26" s="7"/>
      <c r="JQ26" s="19"/>
      <c r="JR26" s="19"/>
      <c r="JS26" s="19"/>
      <c r="JT26" s="19"/>
      <c r="JV26" s="8"/>
      <c r="JW26" s="7"/>
      <c r="JX26" s="19"/>
      <c r="JY26" s="19"/>
      <c r="JZ26" s="19"/>
      <c r="KA26" s="19"/>
      <c r="KC26" s="8"/>
      <c r="KD26" s="7"/>
      <c r="KE26" s="19"/>
      <c r="KF26" s="19"/>
      <c r="KG26" s="19"/>
      <c r="KH26" s="19"/>
      <c r="KJ26" s="8"/>
      <c r="KK26" s="7"/>
      <c r="KL26" s="19"/>
      <c r="KM26" s="19"/>
      <c r="KN26" s="19"/>
      <c r="KO26" s="19"/>
      <c r="KQ26" s="8"/>
      <c r="KR26" s="7"/>
      <c r="KS26" s="19"/>
      <c r="KT26" s="19"/>
      <c r="KU26" s="19"/>
      <c r="KV26" s="19"/>
      <c r="KX26" s="8"/>
      <c r="KY26" s="7"/>
      <c r="KZ26" s="19"/>
      <c r="LA26" s="19"/>
      <c r="LB26" s="19"/>
      <c r="LC26" s="19"/>
      <c r="LE26" s="8"/>
      <c r="LF26" s="7"/>
      <c r="LG26" s="19"/>
      <c r="LH26" s="19"/>
      <c r="LI26" s="19"/>
      <c r="LJ26" s="19"/>
      <c r="LL26" s="8"/>
      <c r="LM26" s="7"/>
      <c r="LN26" s="19"/>
      <c r="LO26" s="19"/>
      <c r="LP26" s="19"/>
      <c r="LQ26" s="19"/>
      <c r="LS26" s="8"/>
      <c r="LT26" s="7"/>
      <c r="LU26" s="19"/>
      <c r="LV26" s="19"/>
      <c r="LW26" s="19"/>
      <c r="LX26" s="19"/>
      <c r="LZ26" s="8"/>
      <c r="MA26" s="7"/>
      <c r="MB26" s="19"/>
      <c r="MC26" s="19"/>
      <c r="MD26" s="19"/>
      <c r="ME26" s="19"/>
      <c r="MG26" s="8"/>
      <c r="MH26" s="7"/>
      <c r="MI26" s="19"/>
      <c r="MJ26" s="19"/>
      <c r="MK26" s="19"/>
      <c r="ML26" s="19"/>
      <c r="MN26" s="8"/>
      <c r="MO26" s="7"/>
      <c r="MP26" s="19"/>
      <c r="MQ26" s="19"/>
      <c r="MR26" s="19"/>
      <c r="MS26" s="19"/>
      <c r="MU26" s="8"/>
      <c r="MV26" s="7"/>
      <c r="MW26" s="19"/>
      <c r="MX26" s="19"/>
      <c r="MY26" s="19"/>
      <c r="MZ26" s="19"/>
      <c r="NB26" s="8"/>
      <c r="NC26" s="7"/>
      <c r="ND26" s="19"/>
      <c r="NE26" s="19"/>
      <c r="NF26" s="19"/>
      <c r="NG26" s="19"/>
      <c r="NI26" s="8"/>
      <c r="NJ26" s="7"/>
      <c r="NK26" s="19"/>
      <c r="NL26" s="19"/>
      <c r="NM26" s="19"/>
      <c r="NN26" s="19"/>
      <c r="NP26" s="8"/>
      <c r="NQ26" s="7"/>
      <c r="NR26" s="19"/>
      <c r="NS26" s="19"/>
      <c r="NT26" s="19"/>
      <c r="NU26" s="19"/>
      <c r="NW26" s="8"/>
      <c r="NX26" s="7"/>
      <c r="NY26" s="19"/>
      <c r="NZ26" s="19"/>
      <c r="OA26" s="19"/>
      <c r="OB26" s="19"/>
      <c r="OD26" s="8"/>
      <c r="OE26" s="7"/>
      <c r="OF26" s="19"/>
      <c r="OG26" s="19"/>
      <c r="OH26" s="19"/>
      <c r="OI26" s="19"/>
      <c r="OK26" s="8"/>
      <c r="OL26" s="7"/>
      <c r="OM26" s="19"/>
      <c r="ON26" s="19"/>
      <c r="OO26" s="19"/>
      <c r="OP26" s="19"/>
      <c r="OR26" s="8"/>
      <c r="OS26" s="7"/>
      <c r="OT26" s="19"/>
      <c r="OU26" s="19"/>
      <c r="OV26" s="19"/>
      <c r="OW26" s="19"/>
      <c r="OY26" s="8"/>
      <c r="OZ26" s="7"/>
      <c r="PA26" s="19"/>
      <c r="PB26" s="19"/>
      <c r="PC26" s="19"/>
      <c r="PD26" s="19"/>
      <c r="PF26" s="8"/>
      <c r="PG26" s="7"/>
      <c r="PH26" s="19"/>
      <c r="PI26" s="19"/>
      <c r="PJ26" s="19"/>
      <c r="PK26" s="19"/>
      <c r="PM26" s="8"/>
    </row>
    <row r="27" spans="1:429" s="1" customFormat="1" ht="26" customHeight="1" outlineLevel="1">
      <c r="B27" s="471"/>
      <c r="C27" s="7"/>
      <c r="D27" s="19"/>
      <c r="E27" s="19"/>
      <c r="F27" s="19"/>
      <c r="G27" s="19"/>
      <c r="I27" s="8"/>
      <c r="J27" s="7"/>
      <c r="K27" s="19"/>
      <c r="L27" s="19"/>
      <c r="M27" s="19"/>
      <c r="N27" s="19"/>
      <c r="P27" s="8"/>
      <c r="Q27" s="7"/>
      <c r="R27" s="19"/>
      <c r="S27" s="19"/>
      <c r="T27" s="19"/>
      <c r="U27" s="19"/>
      <c r="W27" s="8"/>
      <c r="X27" s="7"/>
      <c r="Y27" s="19"/>
      <c r="Z27" s="19"/>
      <c r="AA27" s="19"/>
      <c r="AB27" s="19"/>
      <c r="AD27" s="8"/>
      <c r="AE27" s="7"/>
      <c r="AF27" s="19"/>
      <c r="AG27" s="19"/>
      <c r="AH27" s="19"/>
      <c r="AI27" s="19"/>
      <c r="AK27" s="8"/>
      <c r="AL27" s="7"/>
      <c r="AM27" s="19"/>
      <c r="AN27" s="19"/>
      <c r="AO27" s="19"/>
      <c r="AP27" s="19"/>
      <c r="AR27" s="8"/>
      <c r="AS27" s="7"/>
      <c r="AT27" s="19"/>
      <c r="AU27" s="19"/>
      <c r="AV27" s="19"/>
      <c r="AW27" s="19"/>
      <c r="AY27" s="8"/>
      <c r="AZ27" s="7"/>
      <c r="BA27" s="19"/>
      <c r="BB27" s="19"/>
      <c r="BC27" s="19"/>
      <c r="BD27" s="19"/>
      <c r="BF27" s="8"/>
      <c r="BG27" s="7"/>
      <c r="BH27" s="19"/>
      <c r="BI27" s="19"/>
      <c r="BJ27" s="19"/>
      <c r="BK27" s="19"/>
      <c r="BM27" s="8"/>
      <c r="BN27" s="7"/>
      <c r="BO27" s="19"/>
      <c r="BP27" s="19"/>
      <c r="BQ27" s="19"/>
      <c r="BR27" s="19"/>
      <c r="BT27" s="8"/>
      <c r="BU27" s="7"/>
      <c r="BV27" s="19"/>
      <c r="BW27" s="19"/>
      <c r="BX27" s="19"/>
      <c r="BY27" s="19"/>
      <c r="CA27" s="8"/>
      <c r="CB27" s="7"/>
      <c r="CC27" s="19"/>
      <c r="CD27" s="19"/>
      <c r="CE27" s="19"/>
      <c r="CF27" s="19"/>
      <c r="CH27" s="8"/>
      <c r="CI27" s="7"/>
      <c r="CJ27" s="19"/>
      <c r="CK27" s="19"/>
      <c r="CL27" s="19"/>
      <c r="CM27" s="19"/>
      <c r="CO27" s="8"/>
      <c r="CP27" s="7"/>
      <c r="CQ27" s="19"/>
      <c r="CR27" s="19"/>
      <c r="CS27" s="19"/>
      <c r="CT27" s="19"/>
      <c r="CV27" s="8"/>
      <c r="CW27" s="7"/>
      <c r="CX27" s="19"/>
      <c r="CY27" s="19"/>
      <c r="CZ27" s="19"/>
      <c r="DA27" s="19"/>
      <c r="DC27" s="8"/>
      <c r="DD27" s="7"/>
      <c r="DE27" s="19"/>
      <c r="DF27" s="19"/>
      <c r="DG27" s="19"/>
      <c r="DH27" s="19"/>
      <c r="DJ27" s="8"/>
      <c r="DK27" s="7" t="s">
        <v>112</v>
      </c>
      <c r="DL27" s="19" t="s">
        <v>123</v>
      </c>
      <c r="DM27" s="19"/>
      <c r="DN27" s="19"/>
      <c r="DO27" s="19"/>
      <c r="DP27" s="1" t="s">
        <v>118</v>
      </c>
      <c r="DQ27" s="8">
        <v>6</v>
      </c>
      <c r="DR27" s="7" t="s">
        <v>112</v>
      </c>
      <c r="DS27" s="19" t="s">
        <v>123</v>
      </c>
      <c r="DT27" s="19"/>
      <c r="DU27" s="19"/>
      <c r="DV27" s="19"/>
      <c r="DW27" s="1" t="s">
        <v>118</v>
      </c>
      <c r="DX27" s="8">
        <v>8</v>
      </c>
      <c r="DY27" s="7" t="s">
        <v>112</v>
      </c>
      <c r="DZ27" s="19" t="s">
        <v>208</v>
      </c>
      <c r="EA27" s="19"/>
      <c r="EB27" s="19"/>
      <c r="EC27" s="19"/>
      <c r="ED27" s="1" t="s">
        <v>118</v>
      </c>
      <c r="EE27" s="8">
        <v>6</v>
      </c>
      <c r="EF27" s="7" t="s">
        <v>112</v>
      </c>
      <c r="EG27" s="19" t="s">
        <v>208</v>
      </c>
      <c r="EH27" s="19"/>
      <c r="EI27" s="19"/>
      <c r="EJ27" s="19"/>
      <c r="EK27" s="1" t="s">
        <v>118</v>
      </c>
      <c r="EL27" s="8">
        <v>6</v>
      </c>
      <c r="EM27" s="7" t="s">
        <v>112</v>
      </c>
      <c r="EN27" s="19" t="s">
        <v>208</v>
      </c>
      <c r="EO27" s="19"/>
      <c r="EP27" s="19"/>
      <c r="EQ27" s="19"/>
      <c r="ER27" s="1" t="s">
        <v>118</v>
      </c>
      <c r="ES27" s="8">
        <v>8</v>
      </c>
      <c r="ET27" s="7" t="s">
        <v>112</v>
      </c>
      <c r="EU27" s="19" t="s">
        <v>437</v>
      </c>
      <c r="EV27" s="19"/>
      <c r="EW27" s="19"/>
      <c r="EX27" s="19"/>
      <c r="EY27" s="1" t="s">
        <v>118</v>
      </c>
      <c r="EZ27" s="8">
        <v>6</v>
      </c>
      <c r="FA27" s="7"/>
      <c r="FB27" s="19"/>
      <c r="FC27" s="19"/>
      <c r="FD27" s="19"/>
      <c r="FE27" s="19"/>
      <c r="FG27" s="8"/>
      <c r="FH27" s="7"/>
      <c r="FI27" s="19"/>
      <c r="FJ27" s="19"/>
      <c r="FK27" s="19"/>
      <c r="FL27" s="19"/>
      <c r="FN27" s="8"/>
      <c r="FO27" s="7"/>
      <c r="FP27" s="19"/>
      <c r="FQ27" s="19"/>
      <c r="FR27" s="19"/>
      <c r="FS27" s="19"/>
      <c r="FU27" s="8"/>
      <c r="FV27" s="7"/>
      <c r="FW27" s="19"/>
      <c r="FX27" s="19"/>
      <c r="FY27" s="19"/>
      <c r="FZ27" s="19"/>
      <c r="GB27" s="8"/>
      <c r="GC27" s="7"/>
      <c r="GD27" s="19"/>
      <c r="GE27" s="19"/>
      <c r="GF27" s="19"/>
      <c r="GG27" s="19"/>
      <c r="GI27" s="8"/>
      <c r="GJ27" s="7"/>
      <c r="GK27" s="19"/>
      <c r="GL27" s="19"/>
      <c r="GM27" s="19"/>
      <c r="GN27" s="19"/>
      <c r="GP27" s="8"/>
      <c r="GQ27" s="7"/>
      <c r="GR27" s="19"/>
      <c r="GS27" s="19"/>
      <c r="GT27" s="19"/>
      <c r="GU27" s="19"/>
      <c r="GW27" s="8"/>
      <c r="GX27" s="7"/>
      <c r="GY27" s="19"/>
      <c r="GZ27" s="19"/>
      <c r="HA27" s="19"/>
      <c r="HB27" s="19"/>
      <c r="HD27" s="8"/>
      <c r="HE27" s="7"/>
      <c r="HF27" s="19"/>
      <c r="HG27" s="19"/>
      <c r="HH27" s="19"/>
      <c r="HI27" s="19"/>
      <c r="HK27" s="8"/>
      <c r="HL27" s="7"/>
      <c r="HM27" s="19"/>
      <c r="HN27" s="19"/>
      <c r="HO27" s="19"/>
      <c r="HP27" s="19"/>
      <c r="HR27" s="8"/>
      <c r="HS27" s="7"/>
      <c r="HT27" s="19"/>
      <c r="HU27" s="19"/>
      <c r="HV27" s="19"/>
      <c r="HW27" s="19"/>
      <c r="HY27" s="8"/>
      <c r="HZ27" s="7"/>
      <c r="IA27" s="19"/>
      <c r="IB27" s="19"/>
      <c r="IC27" s="19"/>
      <c r="ID27" s="19"/>
      <c r="IF27" s="8"/>
      <c r="IG27" s="7"/>
      <c r="IH27" s="19"/>
      <c r="II27" s="19"/>
      <c r="IJ27" s="19"/>
      <c r="IK27" s="19"/>
      <c r="IM27" s="8"/>
      <c r="IN27" s="7"/>
      <c r="IO27" s="19"/>
      <c r="IP27" s="19"/>
      <c r="IQ27" s="19"/>
      <c r="IR27" s="19"/>
      <c r="IT27" s="8"/>
      <c r="IU27" s="7"/>
      <c r="IV27" s="19"/>
      <c r="IW27" s="19"/>
      <c r="IX27" s="19"/>
      <c r="IY27" s="19"/>
      <c r="JA27" s="8"/>
      <c r="JB27" s="7"/>
      <c r="JC27" s="19"/>
      <c r="JD27" s="19"/>
      <c r="JE27" s="19"/>
      <c r="JF27" s="19"/>
      <c r="JH27" s="8"/>
      <c r="JI27" s="7"/>
      <c r="JJ27" s="19"/>
      <c r="JK27" s="19"/>
      <c r="JL27" s="19"/>
      <c r="JM27" s="19"/>
      <c r="JO27" s="8"/>
      <c r="JP27" s="7"/>
      <c r="JQ27" s="19"/>
      <c r="JR27" s="19"/>
      <c r="JS27" s="19"/>
      <c r="JT27" s="19"/>
      <c r="JV27" s="8"/>
      <c r="JW27" s="7"/>
      <c r="JX27" s="19"/>
      <c r="JY27" s="19"/>
      <c r="JZ27" s="19"/>
      <c r="KA27" s="19"/>
      <c r="KC27" s="8"/>
      <c r="KD27" s="7"/>
      <c r="KE27" s="19"/>
      <c r="KF27" s="19"/>
      <c r="KG27" s="19"/>
      <c r="KH27" s="19"/>
      <c r="KJ27" s="8"/>
      <c r="KK27" s="7"/>
      <c r="KL27" s="19"/>
      <c r="KM27" s="19"/>
      <c r="KN27" s="19"/>
      <c r="KO27" s="19"/>
      <c r="KQ27" s="8"/>
      <c r="KR27" s="7"/>
      <c r="KS27" s="19"/>
      <c r="KT27" s="19"/>
      <c r="KU27" s="19"/>
      <c r="KV27" s="19"/>
      <c r="KX27" s="8"/>
      <c r="KY27" s="7"/>
      <c r="KZ27" s="19"/>
      <c r="LA27" s="19"/>
      <c r="LB27" s="19"/>
      <c r="LC27" s="19"/>
      <c r="LE27" s="8"/>
      <c r="LF27" s="7"/>
      <c r="LG27" s="19"/>
      <c r="LH27" s="19"/>
      <c r="LI27" s="19"/>
      <c r="LJ27" s="19"/>
      <c r="LL27" s="8"/>
      <c r="LM27" s="7"/>
      <c r="LN27" s="19"/>
      <c r="LO27" s="19"/>
      <c r="LP27" s="19"/>
      <c r="LQ27" s="19"/>
      <c r="LS27" s="8"/>
      <c r="LT27" s="7"/>
      <c r="LU27" s="19"/>
      <c r="LV27" s="19"/>
      <c r="LW27" s="19"/>
      <c r="LX27" s="19"/>
      <c r="LZ27" s="8"/>
      <c r="MA27" s="7"/>
      <c r="MB27" s="19"/>
      <c r="MC27" s="19"/>
      <c r="MD27" s="19"/>
      <c r="ME27" s="19"/>
      <c r="MG27" s="8"/>
      <c r="MH27" s="7"/>
      <c r="MI27" s="19"/>
      <c r="MJ27" s="19"/>
      <c r="MK27" s="19"/>
      <c r="ML27" s="19"/>
      <c r="MN27" s="8"/>
      <c r="MO27" s="7"/>
      <c r="MP27" s="19"/>
      <c r="MQ27" s="19"/>
      <c r="MR27" s="19"/>
      <c r="MS27" s="19"/>
      <c r="MU27" s="8"/>
      <c r="MV27" s="7"/>
      <c r="MW27" s="19"/>
      <c r="MX27" s="19"/>
      <c r="MY27" s="19"/>
      <c r="MZ27" s="19"/>
      <c r="NB27" s="8"/>
      <c r="NC27" s="7"/>
      <c r="ND27" s="19"/>
      <c r="NE27" s="19"/>
      <c r="NF27" s="19"/>
      <c r="NG27" s="19"/>
      <c r="NI27" s="8"/>
      <c r="NJ27" s="7"/>
      <c r="NK27" s="19"/>
      <c r="NL27" s="19"/>
      <c r="NM27" s="19"/>
      <c r="NN27" s="19"/>
      <c r="NP27" s="8"/>
      <c r="NQ27" s="7"/>
      <c r="NR27" s="19"/>
      <c r="NS27" s="19"/>
      <c r="NT27" s="19"/>
      <c r="NU27" s="19"/>
      <c r="NW27" s="8"/>
      <c r="NX27" s="7"/>
      <c r="NY27" s="19"/>
      <c r="NZ27" s="19"/>
      <c r="OA27" s="19"/>
      <c r="OB27" s="19"/>
      <c r="OD27" s="8"/>
      <c r="OE27" s="7"/>
      <c r="OF27" s="19"/>
      <c r="OG27" s="19"/>
      <c r="OH27" s="19"/>
      <c r="OI27" s="19"/>
      <c r="OK27" s="8"/>
      <c r="OL27" s="7"/>
      <c r="OM27" s="19"/>
      <c r="ON27" s="19"/>
      <c r="OO27" s="19"/>
      <c r="OP27" s="19"/>
      <c r="OR27" s="8"/>
      <c r="OS27" s="7"/>
      <c r="OT27" s="19"/>
      <c r="OU27" s="19"/>
      <c r="OV27" s="19"/>
      <c r="OW27" s="19"/>
      <c r="OY27" s="8"/>
      <c r="OZ27" s="7"/>
      <c r="PA27" s="19"/>
      <c r="PB27" s="19"/>
      <c r="PC27" s="19"/>
      <c r="PD27" s="19"/>
      <c r="PF27" s="8"/>
      <c r="PG27" s="7"/>
      <c r="PH27" s="19"/>
      <c r="PI27" s="19"/>
      <c r="PJ27" s="19"/>
      <c r="PK27" s="19"/>
      <c r="PM27" s="8"/>
    </row>
    <row r="28" spans="1:429" s="1" customFormat="1" ht="26" customHeight="1" outlineLevel="1">
      <c r="B28" s="471"/>
      <c r="C28" s="7"/>
      <c r="D28" s="19"/>
      <c r="E28" s="19"/>
      <c r="F28" s="19"/>
      <c r="G28" s="19"/>
      <c r="I28" s="8"/>
      <c r="J28" s="7"/>
      <c r="K28" s="19"/>
      <c r="L28" s="19"/>
      <c r="M28" s="19"/>
      <c r="N28" s="19"/>
      <c r="P28" s="8"/>
      <c r="Q28" s="7"/>
      <c r="R28" s="19"/>
      <c r="S28" s="19"/>
      <c r="T28" s="19"/>
      <c r="U28" s="19"/>
      <c r="W28" s="8"/>
      <c r="X28" s="7"/>
      <c r="Y28" s="19"/>
      <c r="Z28" s="19"/>
      <c r="AA28" s="19"/>
      <c r="AB28" s="19"/>
      <c r="AD28" s="8"/>
      <c r="AE28" s="7"/>
      <c r="AF28" s="19"/>
      <c r="AG28" s="19"/>
      <c r="AH28" s="19"/>
      <c r="AI28" s="19"/>
      <c r="AK28" s="8"/>
      <c r="AL28" s="7"/>
      <c r="AM28" s="19"/>
      <c r="AN28" s="19"/>
      <c r="AO28" s="19"/>
      <c r="AP28" s="19"/>
      <c r="AR28" s="8"/>
      <c r="AS28" s="7"/>
      <c r="AT28" s="19"/>
      <c r="AU28" s="19"/>
      <c r="AV28" s="19"/>
      <c r="AW28" s="19"/>
      <c r="AY28" s="8"/>
      <c r="AZ28" s="7"/>
      <c r="BA28" s="19"/>
      <c r="BB28" s="19"/>
      <c r="BC28" s="19"/>
      <c r="BD28" s="19"/>
      <c r="BF28" s="8"/>
      <c r="BG28" s="7"/>
      <c r="BH28" s="19"/>
      <c r="BI28" s="19"/>
      <c r="BJ28" s="19"/>
      <c r="BK28" s="19"/>
      <c r="BM28" s="8"/>
      <c r="BN28" s="7"/>
      <c r="BO28" s="19"/>
      <c r="BP28" s="19"/>
      <c r="BQ28" s="19"/>
      <c r="BR28" s="19"/>
      <c r="BT28" s="8"/>
      <c r="BU28" s="7"/>
      <c r="BV28" s="19"/>
      <c r="BW28" s="19"/>
      <c r="BX28" s="19"/>
      <c r="BY28" s="19"/>
      <c r="CA28" s="8"/>
      <c r="CB28" s="7"/>
      <c r="CC28" s="19"/>
      <c r="CD28" s="19"/>
      <c r="CE28" s="19"/>
      <c r="CF28" s="19"/>
      <c r="CH28" s="8"/>
      <c r="CI28" s="7"/>
      <c r="CJ28" s="19"/>
      <c r="CK28" s="19"/>
      <c r="CL28" s="19"/>
      <c r="CM28" s="19"/>
      <c r="CO28" s="8"/>
      <c r="CP28" s="7"/>
      <c r="CQ28" s="19"/>
      <c r="CR28" s="19"/>
      <c r="CS28" s="19"/>
      <c r="CT28" s="19"/>
      <c r="CV28" s="8"/>
      <c r="CW28" s="7"/>
      <c r="CX28" s="19"/>
      <c r="CY28" s="19"/>
      <c r="CZ28" s="19"/>
      <c r="DA28" s="19"/>
      <c r="DC28" s="8"/>
      <c r="DD28" s="7"/>
      <c r="DE28" s="19"/>
      <c r="DF28" s="19"/>
      <c r="DG28" s="19"/>
      <c r="DH28" s="19"/>
      <c r="DJ28" s="8"/>
      <c r="DK28" s="7" t="s">
        <v>113</v>
      </c>
      <c r="DL28" s="19" t="s">
        <v>124</v>
      </c>
      <c r="DM28" s="19"/>
      <c r="DN28" s="19"/>
      <c r="DO28" s="19"/>
      <c r="DP28" s="1" t="s">
        <v>106</v>
      </c>
      <c r="DQ28" s="8">
        <v>3</v>
      </c>
      <c r="DR28" s="7" t="s">
        <v>113</v>
      </c>
      <c r="DS28" s="19" t="s">
        <v>124</v>
      </c>
      <c r="DT28" s="19"/>
      <c r="DU28" s="19"/>
      <c r="DV28" s="19"/>
      <c r="DW28" s="1" t="s">
        <v>106</v>
      </c>
      <c r="DX28" s="8">
        <v>4</v>
      </c>
      <c r="DY28" s="7" t="s">
        <v>113</v>
      </c>
      <c r="DZ28" s="19" t="s">
        <v>210</v>
      </c>
      <c r="EA28" s="19"/>
      <c r="EB28" s="19"/>
      <c r="EC28" s="19"/>
      <c r="ED28" s="1" t="s">
        <v>209</v>
      </c>
      <c r="EE28" s="8">
        <v>2</v>
      </c>
      <c r="EF28" s="7" t="s">
        <v>113</v>
      </c>
      <c r="EG28" s="19" t="s">
        <v>429</v>
      </c>
      <c r="EH28" s="19"/>
      <c r="EI28" s="19"/>
      <c r="EJ28" s="19"/>
      <c r="EL28" s="8">
        <v>8</v>
      </c>
      <c r="EM28" s="7" t="s">
        <v>113</v>
      </c>
      <c r="EN28" s="19" t="s">
        <v>429</v>
      </c>
      <c r="EO28" s="19"/>
      <c r="EP28" s="19"/>
      <c r="EQ28" s="19"/>
      <c r="ES28" s="8">
        <v>10</v>
      </c>
      <c r="ET28" s="7" t="s">
        <v>113</v>
      </c>
      <c r="EU28" s="19" t="s">
        <v>429</v>
      </c>
      <c r="EV28" s="19"/>
      <c r="EW28" s="19"/>
      <c r="EX28" s="19"/>
      <c r="EZ28" s="8">
        <v>12</v>
      </c>
      <c r="FA28" s="7"/>
      <c r="FB28" s="19"/>
      <c r="FC28" s="19"/>
      <c r="FD28" s="19"/>
      <c r="FE28" s="19"/>
      <c r="FG28" s="8"/>
      <c r="FH28" s="7"/>
      <c r="FI28" s="19"/>
      <c r="FJ28" s="19"/>
      <c r="FK28" s="19"/>
      <c r="FL28" s="19"/>
      <c r="FN28" s="8"/>
      <c r="FO28" s="7"/>
      <c r="FP28" s="19"/>
      <c r="FQ28" s="19"/>
      <c r="FR28" s="19"/>
      <c r="FS28" s="19"/>
      <c r="FU28" s="8"/>
      <c r="FV28" s="7"/>
      <c r="FW28" s="19"/>
      <c r="FX28" s="19"/>
      <c r="FY28" s="19"/>
      <c r="FZ28" s="19"/>
      <c r="GB28" s="8"/>
      <c r="GC28" s="7"/>
      <c r="GD28" s="19"/>
      <c r="GE28" s="19"/>
      <c r="GF28" s="19"/>
      <c r="GG28" s="19"/>
      <c r="GI28" s="8"/>
      <c r="GJ28" s="7"/>
      <c r="GK28" s="19"/>
      <c r="GL28" s="19"/>
      <c r="GM28" s="19"/>
      <c r="GN28" s="19"/>
      <c r="GP28" s="8"/>
      <c r="GQ28" s="7"/>
      <c r="GR28" s="19"/>
      <c r="GS28" s="19"/>
      <c r="GT28" s="19"/>
      <c r="GU28" s="19"/>
      <c r="GW28" s="8"/>
      <c r="GX28" s="7"/>
      <c r="GY28" s="19"/>
      <c r="GZ28" s="19"/>
      <c r="HA28" s="19"/>
      <c r="HB28" s="19"/>
      <c r="HD28" s="8"/>
      <c r="HE28" s="7"/>
      <c r="HF28" s="19"/>
      <c r="HG28" s="19"/>
      <c r="HH28" s="19"/>
      <c r="HI28" s="19"/>
      <c r="HK28" s="8"/>
      <c r="HL28" s="7"/>
      <c r="HM28" s="19"/>
      <c r="HN28" s="19"/>
      <c r="HO28" s="19"/>
      <c r="HP28" s="19"/>
      <c r="HR28" s="8"/>
      <c r="HS28" s="7"/>
      <c r="HT28" s="19"/>
      <c r="HU28" s="19"/>
      <c r="HV28" s="19"/>
      <c r="HW28" s="19"/>
      <c r="HY28" s="8"/>
      <c r="HZ28" s="7"/>
      <c r="IA28" s="19"/>
      <c r="IB28" s="19"/>
      <c r="IC28" s="19"/>
      <c r="ID28" s="19"/>
      <c r="IF28" s="8"/>
      <c r="IG28" s="7"/>
      <c r="IH28" s="19"/>
      <c r="II28" s="19"/>
      <c r="IJ28" s="19"/>
      <c r="IK28" s="19"/>
      <c r="IM28" s="8"/>
      <c r="IN28" s="7"/>
      <c r="IO28" s="19"/>
      <c r="IP28" s="19"/>
      <c r="IQ28" s="19"/>
      <c r="IR28" s="19"/>
      <c r="IT28" s="8"/>
      <c r="IU28" s="7"/>
      <c r="IV28" s="19"/>
      <c r="IW28" s="19"/>
      <c r="IX28" s="19"/>
      <c r="IY28" s="19"/>
      <c r="JA28" s="8"/>
      <c r="JB28" s="7"/>
      <c r="JC28" s="19"/>
      <c r="JD28" s="19"/>
      <c r="JE28" s="19"/>
      <c r="JF28" s="19"/>
      <c r="JH28" s="8"/>
      <c r="JI28" s="7"/>
      <c r="JJ28" s="19"/>
      <c r="JK28" s="19"/>
      <c r="JL28" s="19"/>
      <c r="JM28" s="19"/>
      <c r="JO28" s="8"/>
      <c r="JP28" s="7"/>
      <c r="JQ28" s="19"/>
      <c r="JR28" s="19"/>
      <c r="JS28" s="19"/>
      <c r="JT28" s="19"/>
      <c r="JV28" s="8"/>
      <c r="JW28" s="7"/>
      <c r="JX28" s="19"/>
      <c r="JY28" s="19"/>
      <c r="JZ28" s="19"/>
      <c r="KA28" s="19"/>
      <c r="KC28" s="8"/>
      <c r="KD28" s="7"/>
      <c r="KE28" s="19"/>
      <c r="KF28" s="19"/>
      <c r="KG28" s="19"/>
      <c r="KH28" s="19"/>
      <c r="KJ28" s="8"/>
      <c r="KK28" s="7"/>
      <c r="KL28" s="19"/>
      <c r="KM28" s="19"/>
      <c r="KN28" s="19"/>
      <c r="KO28" s="19"/>
      <c r="KQ28" s="8"/>
      <c r="KR28" s="7"/>
      <c r="KS28" s="19"/>
      <c r="KT28" s="19"/>
      <c r="KU28" s="19"/>
      <c r="KV28" s="19"/>
      <c r="KX28" s="8"/>
      <c r="KY28" s="7"/>
      <c r="KZ28" s="19"/>
      <c r="LA28" s="19"/>
      <c r="LB28" s="19"/>
      <c r="LC28" s="19"/>
      <c r="LE28" s="8"/>
      <c r="LF28" s="7"/>
      <c r="LG28" s="19"/>
      <c r="LH28" s="19"/>
      <c r="LI28" s="19"/>
      <c r="LJ28" s="19"/>
      <c r="LL28" s="8"/>
      <c r="LM28" s="7"/>
      <c r="LN28" s="19"/>
      <c r="LO28" s="19"/>
      <c r="LP28" s="19"/>
      <c r="LQ28" s="19"/>
      <c r="LS28" s="8"/>
      <c r="LT28" s="7"/>
      <c r="LU28" s="19"/>
      <c r="LV28" s="19"/>
      <c r="LW28" s="19"/>
      <c r="LX28" s="19"/>
      <c r="LZ28" s="8"/>
      <c r="MA28" s="7"/>
      <c r="MB28" s="19"/>
      <c r="MC28" s="19"/>
      <c r="MD28" s="19"/>
      <c r="ME28" s="19"/>
      <c r="MG28" s="8"/>
      <c r="MH28" s="7"/>
      <c r="MI28" s="19"/>
      <c r="MJ28" s="19"/>
      <c r="MK28" s="19"/>
      <c r="ML28" s="19"/>
      <c r="MN28" s="8"/>
      <c r="MO28" s="7"/>
      <c r="MP28" s="19"/>
      <c r="MQ28" s="19"/>
      <c r="MR28" s="19"/>
      <c r="MS28" s="19"/>
      <c r="MU28" s="8"/>
      <c r="MV28" s="7"/>
      <c r="MW28" s="19"/>
      <c r="MX28" s="19"/>
      <c r="MY28" s="19"/>
      <c r="MZ28" s="19"/>
      <c r="NB28" s="8"/>
      <c r="NC28" s="7"/>
      <c r="ND28" s="19"/>
      <c r="NE28" s="19"/>
      <c r="NF28" s="19"/>
      <c r="NG28" s="19"/>
      <c r="NI28" s="8"/>
      <c r="NJ28" s="7"/>
      <c r="NK28" s="19"/>
      <c r="NL28" s="19"/>
      <c r="NM28" s="19"/>
      <c r="NN28" s="19"/>
      <c r="NP28" s="8"/>
      <c r="NQ28" s="7"/>
      <c r="NR28" s="19"/>
      <c r="NS28" s="19"/>
      <c r="NT28" s="19"/>
      <c r="NU28" s="19"/>
      <c r="NW28" s="8"/>
      <c r="NX28" s="7"/>
      <c r="NY28" s="19"/>
      <c r="NZ28" s="19"/>
      <c r="OA28" s="19"/>
      <c r="OB28" s="19"/>
      <c r="OD28" s="8"/>
      <c r="OE28" s="7"/>
      <c r="OF28" s="19"/>
      <c r="OG28" s="19"/>
      <c r="OH28" s="19"/>
      <c r="OI28" s="19"/>
      <c r="OK28" s="8"/>
      <c r="OL28" s="7"/>
      <c r="OM28" s="19"/>
      <c r="ON28" s="19"/>
      <c r="OO28" s="19"/>
      <c r="OP28" s="19"/>
      <c r="OR28" s="8"/>
      <c r="OS28" s="7"/>
      <c r="OT28" s="19"/>
      <c r="OU28" s="19"/>
      <c r="OV28" s="19"/>
      <c r="OW28" s="19"/>
      <c r="OY28" s="8"/>
      <c r="OZ28" s="7"/>
      <c r="PA28" s="19"/>
      <c r="PB28" s="19"/>
      <c r="PC28" s="19"/>
      <c r="PD28" s="19"/>
      <c r="PF28" s="8"/>
      <c r="PG28" s="7"/>
      <c r="PH28" s="19"/>
      <c r="PI28" s="19"/>
      <c r="PJ28" s="19"/>
      <c r="PK28" s="19"/>
      <c r="PM28" s="8"/>
    </row>
    <row r="29" spans="1:429" s="1" customFormat="1" ht="26" customHeight="1" outlineLevel="1">
      <c r="B29" s="471"/>
      <c r="C29" s="7"/>
      <c r="D29" s="19"/>
      <c r="E29" s="19"/>
      <c r="F29" s="19"/>
      <c r="G29" s="19"/>
      <c r="I29" s="8"/>
      <c r="J29" s="7"/>
      <c r="K29" s="19"/>
      <c r="L29" s="19"/>
      <c r="M29" s="19"/>
      <c r="N29" s="19"/>
      <c r="P29" s="8"/>
      <c r="Q29" s="7"/>
      <c r="R29" s="19"/>
      <c r="S29" s="19"/>
      <c r="T29" s="19"/>
      <c r="U29" s="19"/>
      <c r="W29" s="8"/>
      <c r="X29" s="7"/>
      <c r="Y29" s="19"/>
      <c r="Z29" s="19"/>
      <c r="AA29" s="19"/>
      <c r="AB29" s="19"/>
      <c r="AD29" s="8"/>
      <c r="AE29" s="7"/>
      <c r="AF29" s="19"/>
      <c r="AG29" s="19"/>
      <c r="AH29" s="19"/>
      <c r="AI29" s="19"/>
      <c r="AK29" s="8"/>
      <c r="AL29" s="7"/>
      <c r="AM29" s="19"/>
      <c r="AN29" s="19"/>
      <c r="AO29" s="19"/>
      <c r="AP29" s="19"/>
      <c r="AR29" s="8"/>
      <c r="AS29" s="7"/>
      <c r="AT29" s="19"/>
      <c r="AU29" s="19"/>
      <c r="AV29" s="19"/>
      <c r="AW29" s="19"/>
      <c r="AY29" s="8"/>
      <c r="AZ29" s="7"/>
      <c r="BA29" s="19"/>
      <c r="BB29" s="19"/>
      <c r="BC29" s="19"/>
      <c r="BD29" s="19"/>
      <c r="BF29" s="8"/>
      <c r="BG29" s="7"/>
      <c r="BH29" s="19"/>
      <c r="BI29" s="19"/>
      <c r="BJ29" s="19"/>
      <c r="BK29" s="19"/>
      <c r="BM29" s="8"/>
      <c r="BN29" s="7"/>
      <c r="BO29" s="19"/>
      <c r="BP29" s="19"/>
      <c r="BQ29" s="19"/>
      <c r="BR29" s="19"/>
      <c r="BT29" s="8"/>
      <c r="BU29" s="7"/>
      <c r="BV29" s="19"/>
      <c r="BW29" s="19"/>
      <c r="BX29" s="19"/>
      <c r="BY29" s="19"/>
      <c r="CA29" s="8"/>
      <c r="CB29" s="7"/>
      <c r="CC29" s="19"/>
      <c r="CD29" s="19"/>
      <c r="CE29" s="19"/>
      <c r="CF29" s="19"/>
      <c r="CH29" s="8"/>
      <c r="CI29" s="7"/>
      <c r="CJ29" s="19"/>
      <c r="CK29" s="19"/>
      <c r="CL29" s="19"/>
      <c r="CM29" s="19"/>
      <c r="CO29" s="8"/>
      <c r="CP29" s="7"/>
      <c r="CQ29" s="19"/>
      <c r="CR29" s="19"/>
      <c r="CS29" s="19"/>
      <c r="CT29" s="19"/>
      <c r="CV29" s="8"/>
      <c r="CW29" s="7"/>
      <c r="CX29" s="19"/>
      <c r="CY29" s="19"/>
      <c r="CZ29" s="19"/>
      <c r="DA29" s="19"/>
      <c r="DC29" s="8"/>
      <c r="DD29" s="7"/>
      <c r="DE29" s="19"/>
      <c r="DF29" s="19"/>
      <c r="DG29" s="19"/>
      <c r="DH29" s="19"/>
      <c r="DJ29" s="8"/>
      <c r="DK29" s="7" t="s">
        <v>114</v>
      </c>
      <c r="DL29" s="19" t="s">
        <v>125</v>
      </c>
      <c r="DM29" s="19"/>
      <c r="DN29" s="19"/>
      <c r="DO29" s="19"/>
      <c r="DQ29" s="8">
        <v>10</v>
      </c>
      <c r="DR29" s="7" t="s">
        <v>114</v>
      </c>
      <c r="DS29" s="19" t="s">
        <v>125</v>
      </c>
      <c r="DT29" s="19"/>
      <c r="DU29" s="19"/>
      <c r="DV29" s="19"/>
      <c r="DX29" s="8">
        <v>10</v>
      </c>
      <c r="DY29" s="7" t="s">
        <v>114</v>
      </c>
      <c r="DZ29" s="19" t="s">
        <v>125</v>
      </c>
      <c r="EA29" s="19"/>
      <c r="EB29" s="19"/>
      <c r="EC29" s="19"/>
      <c r="EE29" s="8">
        <v>10</v>
      </c>
      <c r="EF29" s="7" t="s">
        <v>114</v>
      </c>
      <c r="EG29" s="19" t="s">
        <v>430</v>
      </c>
      <c r="EH29" s="19"/>
      <c r="EI29" s="19"/>
      <c r="EJ29" s="19"/>
      <c r="EK29" s="1" t="s">
        <v>105</v>
      </c>
      <c r="EL29" s="8">
        <v>3</v>
      </c>
      <c r="EM29" s="7" t="s">
        <v>114</v>
      </c>
      <c r="EN29" s="19" t="s">
        <v>430</v>
      </c>
      <c r="EO29" s="19"/>
      <c r="EP29" s="19"/>
      <c r="EQ29" s="19"/>
      <c r="ER29" s="1" t="s">
        <v>105</v>
      </c>
      <c r="ES29" s="8">
        <v>4</v>
      </c>
      <c r="ET29" s="7" t="s">
        <v>114</v>
      </c>
      <c r="EU29" s="19" t="s">
        <v>430</v>
      </c>
      <c r="EV29" s="19"/>
      <c r="EW29" s="19"/>
      <c r="EX29" s="19"/>
      <c r="EY29" s="1" t="s">
        <v>105</v>
      </c>
      <c r="EZ29" s="8">
        <v>5</v>
      </c>
      <c r="FA29" s="7"/>
      <c r="FB29" s="19"/>
      <c r="FC29" s="19"/>
      <c r="FD29" s="19"/>
      <c r="FE29" s="19"/>
      <c r="FG29" s="8"/>
      <c r="FH29" s="7"/>
      <c r="FI29" s="19"/>
      <c r="FJ29" s="19"/>
      <c r="FK29" s="19"/>
      <c r="FL29" s="19"/>
      <c r="FN29" s="8"/>
      <c r="FO29" s="7"/>
      <c r="FP29" s="19"/>
      <c r="FQ29" s="19"/>
      <c r="FR29" s="19"/>
      <c r="FS29" s="19"/>
      <c r="FU29" s="8"/>
      <c r="FV29" s="7"/>
      <c r="FW29" s="19"/>
      <c r="FX29" s="19"/>
      <c r="FY29" s="19"/>
      <c r="FZ29" s="19"/>
      <c r="GB29" s="8"/>
      <c r="GC29" s="7"/>
      <c r="GD29" s="19"/>
      <c r="GE29" s="19"/>
      <c r="GF29" s="19"/>
      <c r="GG29" s="19"/>
      <c r="GI29" s="8"/>
      <c r="GJ29" s="7"/>
      <c r="GK29" s="19"/>
      <c r="GL29" s="19"/>
      <c r="GM29" s="19"/>
      <c r="GN29" s="19"/>
      <c r="GP29" s="8"/>
      <c r="GQ29" s="7"/>
      <c r="GR29" s="19"/>
      <c r="GS29" s="19"/>
      <c r="GT29" s="19"/>
      <c r="GU29" s="19"/>
      <c r="GW29" s="8"/>
      <c r="GX29" s="7"/>
      <c r="GY29" s="19"/>
      <c r="GZ29" s="19"/>
      <c r="HA29" s="19"/>
      <c r="HB29" s="19"/>
      <c r="HD29" s="8"/>
      <c r="HE29" s="7"/>
      <c r="HF29" s="19"/>
      <c r="HG29" s="19"/>
      <c r="HH29" s="19"/>
      <c r="HI29" s="19"/>
      <c r="HK29" s="8"/>
      <c r="HL29" s="7"/>
      <c r="HM29" s="19"/>
      <c r="HN29" s="19"/>
      <c r="HO29" s="19"/>
      <c r="HP29" s="19"/>
      <c r="HR29" s="8"/>
      <c r="HS29" s="7"/>
      <c r="HT29" s="19"/>
      <c r="HU29" s="19"/>
      <c r="HV29" s="19"/>
      <c r="HW29" s="19"/>
      <c r="HY29" s="8"/>
      <c r="HZ29" s="7"/>
      <c r="IA29" s="19"/>
      <c r="IB29" s="19"/>
      <c r="IC29" s="19"/>
      <c r="ID29" s="19"/>
      <c r="IF29" s="8"/>
      <c r="IG29" s="7"/>
      <c r="IH29" s="19"/>
      <c r="II29" s="19"/>
      <c r="IJ29" s="19"/>
      <c r="IK29" s="19"/>
      <c r="IM29" s="8"/>
      <c r="IN29" s="7"/>
      <c r="IO29" s="19"/>
      <c r="IP29" s="19"/>
      <c r="IQ29" s="19"/>
      <c r="IR29" s="19"/>
      <c r="IT29" s="8"/>
      <c r="IU29" s="7"/>
      <c r="IV29" s="19"/>
      <c r="IW29" s="19"/>
      <c r="IX29" s="19"/>
      <c r="IY29" s="19"/>
      <c r="JA29" s="8"/>
      <c r="JB29" s="7"/>
      <c r="JC29" s="19"/>
      <c r="JD29" s="19"/>
      <c r="JE29" s="19"/>
      <c r="JF29" s="19"/>
      <c r="JH29" s="8"/>
      <c r="JI29" s="7"/>
      <c r="JJ29" s="19"/>
      <c r="JK29" s="19"/>
      <c r="JL29" s="19"/>
      <c r="JM29" s="19"/>
      <c r="JO29" s="8"/>
      <c r="JP29" s="7"/>
      <c r="JQ29" s="19"/>
      <c r="JR29" s="19"/>
      <c r="JS29" s="19"/>
      <c r="JT29" s="19"/>
      <c r="JV29" s="8"/>
      <c r="JW29" s="7"/>
      <c r="JX29" s="19"/>
      <c r="JY29" s="19"/>
      <c r="JZ29" s="19"/>
      <c r="KA29" s="19"/>
      <c r="KC29" s="8"/>
      <c r="KD29" s="7"/>
      <c r="KE29" s="19"/>
      <c r="KF29" s="19"/>
      <c r="KG29" s="19"/>
      <c r="KH29" s="19"/>
      <c r="KJ29" s="8"/>
      <c r="KK29" s="7"/>
      <c r="KL29" s="19"/>
      <c r="KM29" s="19"/>
      <c r="KN29" s="19"/>
      <c r="KO29" s="19"/>
      <c r="KQ29" s="8"/>
      <c r="KR29" s="7"/>
      <c r="KS29" s="19"/>
      <c r="KT29" s="19"/>
      <c r="KU29" s="19"/>
      <c r="KV29" s="19"/>
      <c r="KX29" s="8"/>
      <c r="KY29" s="7"/>
      <c r="KZ29" s="19"/>
      <c r="LA29" s="19"/>
      <c r="LB29" s="19"/>
      <c r="LC29" s="19"/>
      <c r="LE29" s="8"/>
      <c r="LF29" s="7"/>
      <c r="LG29" s="19"/>
      <c r="LH29" s="19"/>
      <c r="LI29" s="19"/>
      <c r="LJ29" s="19"/>
      <c r="LL29" s="8"/>
      <c r="LM29" s="7"/>
      <c r="LN29" s="19"/>
      <c r="LO29" s="19"/>
      <c r="LP29" s="19"/>
      <c r="LQ29" s="19"/>
      <c r="LS29" s="8"/>
      <c r="LT29" s="7"/>
      <c r="LU29" s="19"/>
      <c r="LV29" s="19"/>
      <c r="LW29" s="19"/>
      <c r="LX29" s="19"/>
      <c r="LZ29" s="8"/>
      <c r="MA29" s="7"/>
      <c r="MB29" s="19"/>
      <c r="MC29" s="19"/>
      <c r="MD29" s="19"/>
      <c r="ME29" s="19"/>
      <c r="MG29" s="8"/>
      <c r="MH29" s="7"/>
      <c r="MI29" s="19"/>
      <c r="MJ29" s="19"/>
      <c r="MK29" s="19"/>
      <c r="ML29" s="19"/>
      <c r="MN29" s="8"/>
      <c r="MO29" s="7"/>
      <c r="MP29" s="19"/>
      <c r="MQ29" s="19"/>
      <c r="MR29" s="19"/>
      <c r="MS29" s="19"/>
      <c r="MU29" s="8"/>
      <c r="MV29" s="7"/>
      <c r="MW29" s="19"/>
      <c r="MX29" s="19"/>
      <c r="MY29" s="19"/>
      <c r="MZ29" s="19"/>
      <c r="NB29" s="8"/>
      <c r="NC29" s="7"/>
      <c r="ND29" s="19"/>
      <c r="NE29" s="19"/>
      <c r="NF29" s="19"/>
      <c r="NG29" s="19"/>
      <c r="NI29" s="8"/>
      <c r="NJ29" s="7"/>
      <c r="NK29" s="19"/>
      <c r="NL29" s="19"/>
      <c r="NM29" s="19"/>
      <c r="NN29" s="19"/>
      <c r="NP29" s="8"/>
      <c r="NQ29" s="7"/>
      <c r="NR29" s="19"/>
      <c r="NS29" s="19"/>
      <c r="NT29" s="19"/>
      <c r="NU29" s="19"/>
      <c r="NW29" s="8"/>
      <c r="NX29" s="7"/>
      <c r="NY29" s="19"/>
      <c r="NZ29" s="19"/>
      <c r="OA29" s="19"/>
      <c r="OB29" s="19"/>
      <c r="OD29" s="8"/>
      <c r="OE29" s="7"/>
      <c r="OF29" s="19"/>
      <c r="OG29" s="19"/>
      <c r="OH29" s="19"/>
      <c r="OI29" s="19"/>
      <c r="OK29" s="8"/>
      <c r="OL29" s="7"/>
      <c r="OM29" s="19"/>
      <c r="ON29" s="19"/>
      <c r="OO29" s="19"/>
      <c r="OP29" s="19"/>
      <c r="OR29" s="8"/>
      <c r="OS29" s="7"/>
      <c r="OT29" s="19"/>
      <c r="OU29" s="19"/>
      <c r="OV29" s="19"/>
      <c r="OW29" s="19"/>
      <c r="OY29" s="8"/>
      <c r="OZ29" s="7"/>
      <c r="PA29" s="19"/>
      <c r="PB29" s="19"/>
      <c r="PC29" s="19"/>
      <c r="PD29" s="19"/>
      <c r="PF29" s="8"/>
      <c r="PG29" s="7"/>
      <c r="PH29" s="19"/>
      <c r="PI29" s="19"/>
      <c r="PJ29" s="19"/>
      <c r="PK29" s="19"/>
      <c r="PM29" s="8"/>
    </row>
    <row r="30" spans="1:429" s="1" customFormat="1" ht="26" customHeight="1" outlineLevel="1">
      <c r="B30" s="471"/>
      <c r="C30" s="7"/>
      <c r="D30" s="19"/>
      <c r="E30" s="19"/>
      <c r="F30" s="19"/>
      <c r="G30" s="19"/>
      <c r="I30" s="8"/>
      <c r="J30" s="7"/>
      <c r="K30" s="19"/>
      <c r="L30" s="19"/>
      <c r="M30" s="19"/>
      <c r="N30" s="19"/>
      <c r="P30" s="8"/>
      <c r="Q30" s="7"/>
      <c r="R30" s="19"/>
      <c r="S30" s="19"/>
      <c r="T30" s="19"/>
      <c r="U30" s="19"/>
      <c r="W30" s="8"/>
      <c r="X30" s="7"/>
      <c r="Y30" s="19"/>
      <c r="Z30" s="19"/>
      <c r="AA30" s="19"/>
      <c r="AB30" s="19"/>
      <c r="AD30" s="8"/>
      <c r="AE30" s="7"/>
      <c r="AF30" s="19"/>
      <c r="AG30" s="19"/>
      <c r="AH30" s="19"/>
      <c r="AI30" s="19"/>
      <c r="AK30" s="8"/>
      <c r="AL30" s="7"/>
      <c r="AM30" s="19"/>
      <c r="AN30" s="19"/>
      <c r="AO30" s="19"/>
      <c r="AP30" s="19"/>
      <c r="AR30" s="8"/>
      <c r="AS30" s="7"/>
      <c r="AT30" s="19"/>
      <c r="AU30" s="19"/>
      <c r="AV30" s="19"/>
      <c r="AW30" s="19"/>
      <c r="AY30" s="8"/>
      <c r="AZ30" s="7"/>
      <c r="BA30" s="19"/>
      <c r="BB30" s="19"/>
      <c r="BC30" s="19"/>
      <c r="BD30" s="19"/>
      <c r="BF30" s="8"/>
      <c r="BG30" s="7"/>
      <c r="BH30" s="19"/>
      <c r="BI30" s="19"/>
      <c r="BJ30" s="19"/>
      <c r="BK30" s="19"/>
      <c r="BM30" s="8"/>
      <c r="BN30" s="7"/>
      <c r="BO30" s="19"/>
      <c r="BP30" s="19"/>
      <c r="BQ30" s="19"/>
      <c r="BR30" s="19"/>
      <c r="BT30" s="8"/>
      <c r="BU30" s="7"/>
      <c r="BV30" s="19"/>
      <c r="BW30" s="19"/>
      <c r="BX30" s="19"/>
      <c r="BY30" s="19"/>
      <c r="CA30" s="8"/>
      <c r="CB30" s="7"/>
      <c r="CC30" s="19"/>
      <c r="CD30" s="19"/>
      <c r="CE30" s="19"/>
      <c r="CF30" s="19"/>
      <c r="CH30" s="8"/>
      <c r="CI30" s="7"/>
      <c r="CJ30" s="19"/>
      <c r="CK30" s="19"/>
      <c r="CL30" s="19"/>
      <c r="CM30" s="19"/>
      <c r="CO30" s="8"/>
      <c r="CP30" s="7"/>
      <c r="CQ30" s="19"/>
      <c r="CR30" s="19"/>
      <c r="CS30" s="19"/>
      <c r="CT30" s="19"/>
      <c r="CV30" s="8"/>
      <c r="CW30" s="7"/>
      <c r="CX30" s="19"/>
      <c r="CY30" s="19"/>
      <c r="CZ30" s="19"/>
      <c r="DA30" s="19"/>
      <c r="DC30" s="8"/>
      <c r="DD30" s="7"/>
      <c r="DE30" s="19"/>
      <c r="DF30" s="19"/>
      <c r="DG30" s="19"/>
      <c r="DH30" s="19"/>
      <c r="DJ30" s="8"/>
      <c r="DK30" s="7" t="s">
        <v>115</v>
      </c>
      <c r="DL30" s="19" t="s">
        <v>126</v>
      </c>
      <c r="DM30" s="19"/>
      <c r="DN30" s="19"/>
      <c r="DO30" s="19"/>
      <c r="DQ30" s="8">
        <v>8</v>
      </c>
      <c r="DR30" s="7" t="s">
        <v>115</v>
      </c>
      <c r="DS30" s="19" t="s">
        <v>126</v>
      </c>
      <c r="DT30" s="19"/>
      <c r="DU30" s="19"/>
      <c r="DV30" s="19"/>
      <c r="DX30" s="8">
        <v>10</v>
      </c>
      <c r="DY30" s="7" t="s">
        <v>115</v>
      </c>
      <c r="DZ30" s="19" t="s">
        <v>126</v>
      </c>
      <c r="EA30" s="19"/>
      <c r="EB30" s="19"/>
      <c r="EC30" s="19"/>
      <c r="EE30" s="8">
        <v>10</v>
      </c>
      <c r="EF30" s="7" t="s">
        <v>115</v>
      </c>
      <c r="EG30" s="19" t="s">
        <v>431</v>
      </c>
      <c r="EH30" s="19"/>
      <c r="EI30" s="19"/>
      <c r="EJ30" s="19"/>
      <c r="EL30" s="8">
        <v>7</v>
      </c>
      <c r="EM30" s="7" t="s">
        <v>115</v>
      </c>
      <c r="EN30" s="19" t="s">
        <v>431</v>
      </c>
      <c r="EO30" s="19"/>
      <c r="EP30" s="19"/>
      <c r="EQ30" s="19"/>
      <c r="ES30" s="8">
        <v>8</v>
      </c>
      <c r="ET30" s="7" t="s">
        <v>115</v>
      </c>
      <c r="EU30" s="19" t="s">
        <v>438</v>
      </c>
      <c r="EV30" s="19"/>
      <c r="EW30" s="19"/>
      <c r="EX30" s="19"/>
      <c r="EZ30" s="8">
        <v>7</v>
      </c>
      <c r="FA30" s="7"/>
      <c r="FB30" s="19"/>
      <c r="FC30" s="19"/>
      <c r="FD30" s="19"/>
      <c r="FE30" s="19"/>
      <c r="FG30" s="8"/>
      <c r="FH30" s="7"/>
      <c r="FI30" s="19"/>
      <c r="FJ30" s="19"/>
      <c r="FK30" s="19"/>
      <c r="FL30" s="19"/>
      <c r="FN30" s="8"/>
      <c r="FO30" s="7"/>
      <c r="FP30" s="19"/>
      <c r="FQ30" s="19"/>
      <c r="FR30" s="19"/>
      <c r="FS30" s="19"/>
      <c r="FU30" s="8"/>
      <c r="FV30" s="7"/>
      <c r="FW30" s="19"/>
      <c r="FX30" s="19"/>
      <c r="FY30" s="19"/>
      <c r="FZ30" s="19"/>
      <c r="GB30" s="8"/>
      <c r="GC30" s="7"/>
      <c r="GD30" s="19"/>
      <c r="GE30" s="19"/>
      <c r="GF30" s="19"/>
      <c r="GG30" s="19"/>
      <c r="GI30" s="8"/>
      <c r="GJ30" s="7"/>
      <c r="GK30" s="19"/>
      <c r="GL30" s="19"/>
      <c r="GM30" s="19"/>
      <c r="GN30" s="19"/>
      <c r="GP30" s="8"/>
      <c r="GQ30" s="7"/>
      <c r="GR30" s="19"/>
      <c r="GS30" s="19"/>
      <c r="GT30" s="19"/>
      <c r="GU30" s="19"/>
      <c r="GW30" s="8"/>
      <c r="GX30" s="7"/>
      <c r="GY30" s="19"/>
      <c r="GZ30" s="19"/>
      <c r="HA30" s="19"/>
      <c r="HB30" s="19"/>
      <c r="HD30" s="8"/>
      <c r="HE30" s="7"/>
      <c r="HF30" s="19"/>
      <c r="HG30" s="19"/>
      <c r="HH30" s="19"/>
      <c r="HI30" s="19"/>
      <c r="HK30" s="8"/>
      <c r="HL30" s="7"/>
      <c r="HM30" s="19"/>
      <c r="HN30" s="19"/>
      <c r="HO30" s="19"/>
      <c r="HP30" s="19"/>
      <c r="HR30" s="8"/>
      <c r="HS30" s="7"/>
      <c r="HT30" s="19"/>
      <c r="HU30" s="19"/>
      <c r="HV30" s="19"/>
      <c r="HW30" s="19"/>
      <c r="HY30" s="8"/>
      <c r="HZ30" s="7"/>
      <c r="IA30" s="19"/>
      <c r="IB30" s="19"/>
      <c r="IC30" s="19"/>
      <c r="ID30" s="19"/>
      <c r="IF30" s="8"/>
      <c r="IG30" s="7"/>
      <c r="IH30" s="19"/>
      <c r="II30" s="19"/>
      <c r="IJ30" s="19"/>
      <c r="IK30" s="19"/>
      <c r="IM30" s="8"/>
      <c r="IN30" s="7"/>
      <c r="IO30" s="19"/>
      <c r="IP30" s="19"/>
      <c r="IQ30" s="19"/>
      <c r="IR30" s="19"/>
      <c r="IT30" s="8"/>
      <c r="IU30" s="7"/>
      <c r="IV30" s="19"/>
      <c r="IW30" s="19"/>
      <c r="IX30" s="19"/>
      <c r="IY30" s="19"/>
      <c r="JA30" s="8"/>
      <c r="JB30" s="7"/>
      <c r="JC30" s="19"/>
      <c r="JD30" s="19"/>
      <c r="JE30" s="19"/>
      <c r="JF30" s="19"/>
      <c r="JH30" s="8"/>
      <c r="JI30" s="7"/>
      <c r="JJ30" s="19"/>
      <c r="JK30" s="19"/>
      <c r="JL30" s="19"/>
      <c r="JM30" s="19"/>
      <c r="JO30" s="8"/>
      <c r="JP30" s="7"/>
      <c r="JQ30" s="19"/>
      <c r="JR30" s="19"/>
      <c r="JS30" s="19"/>
      <c r="JT30" s="19"/>
      <c r="JV30" s="8"/>
      <c r="JW30" s="7"/>
      <c r="JX30" s="19"/>
      <c r="JY30" s="19"/>
      <c r="JZ30" s="19"/>
      <c r="KA30" s="19"/>
      <c r="KC30" s="8"/>
      <c r="KD30" s="7"/>
      <c r="KE30" s="19"/>
      <c r="KF30" s="19"/>
      <c r="KG30" s="19"/>
      <c r="KH30" s="19"/>
      <c r="KJ30" s="8"/>
      <c r="KK30" s="7"/>
      <c r="KL30" s="19"/>
      <c r="KM30" s="19"/>
      <c r="KN30" s="19"/>
      <c r="KO30" s="19"/>
      <c r="KQ30" s="8"/>
      <c r="KR30" s="7"/>
      <c r="KS30" s="19"/>
      <c r="KT30" s="19"/>
      <c r="KU30" s="19"/>
      <c r="KV30" s="19"/>
      <c r="KX30" s="8"/>
      <c r="KY30" s="7"/>
      <c r="KZ30" s="19"/>
      <c r="LA30" s="19"/>
      <c r="LB30" s="19"/>
      <c r="LC30" s="19"/>
      <c r="LE30" s="8"/>
      <c r="LF30" s="7"/>
      <c r="LG30" s="19"/>
      <c r="LH30" s="19"/>
      <c r="LI30" s="19"/>
      <c r="LJ30" s="19"/>
      <c r="LL30" s="8"/>
      <c r="LM30" s="7"/>
      <c r="LN30" s="19"/>
      <c r="LO30" s="19"/>
      <c r="LP30" s="19"/>
      <c r="LQ30" s="19"/>
      <c r="LS30" s="8"/>
      <c r="LT30" s="7"/>
      <c r="LU30" s="19"/>
      <c r="LV30" s="19"/>
      <c r="LW30" s="19"/>
      <c r="LX30" s="19"/>
      <c r="LZ30" s="8"/>
      <c r="MA30" s="7"/>
      <c r="MB30" s="19"/>
      <c r="MC30" s="19"/>
      <c r="MD30" s="19"/>
      <c r="ME30" s="19"/>
      <c r="MG30" s="8"/>
      <c r="MH30" s="7"/>
      <c r="MI30" s="19"/>
      <c r="MJ30" s="19"/>
      <c r="MK30" s="19"/>
      <c r="ML30" s="19"/>
      <c r="MN30" s="8"/>
      <c r="MO30" s="7"/>
      <c r="MP30" s="19"/>
      <c r="MQ30" s="19"/>
      <c r="MR30" s="19"/>
      <c r="MS30" s="19"/>
      <c r="MU30" s="8"/>
      <c r="MV30" s="7"/>
      <c r="MW30" s="19"/>
      <c r="MX30" s="19"/>
      <c r="MY30" s="19"/>
      <c r="MZ30" s="19"/>
      <c r="NB30" s="8"/>
      <c r="NC30" s="7"/>
      <c r="ND30" s="19"/>
      <c r="NE30" s="19"/>
      <c r="NF30" s="19"/>
      <c r="NG30" s="19"/>
      <c r="NI30" s="8"/>
      <c r="NJ30" s="7"/>
      <c r="NK30" s="19"/>
      <c r="NL30" s="19"/>
      <c r="NM30" s="19"/>
      <c r="NN30" s="19"/>
      <c r="NP30" s="8"/>
      <c r="NQ30" s="7"/>
      <c r="NR30" s="19"/>
      <c r="NS30" s="19"/>
      <c r="NT30" s="19"/>
      <c r="NU30" s="19"/>
      <c r="NW30" s="8"/>
      <c r="NX30" s="7"/>
      <c r="NY30" s="19"/>
      <c r="NZ30" s="19"/>
      <c r="OA30" s="19"/>
      <c r="OB30" s="19"/>
      <c r="OD30" s="8"/>
      <c r="OE30" s="7"/>
      <c r="OF30" s="19"/>
      <c r="OG30" s="19"/>
      <c r="OH30" s="19"/>
      <c r="OI30" s="19"/>
      <c r="OK30" s="8"/>
      <c r="OL30" s="7"/>
      <c r="OM30" s="19"/>
      <c r="ON30" s="19"/>
      <c r="OO30" s="19"/>
      <c r="OP30" s="19"/>
      <c r="OR30" s="8"/>
      <c r="OS30" s="7"/>
      <c r="OT30" s="19"/>
      <c r="OU30" s="19"/>
      <c r="OV30" s="19"/>
      <c r="OW30" s="19"/>
      <c r="OY30" s="8"/>
      <c r="OZ30" s="7"/>
      <c r="PA30" s="19"/>
      <c r="PB30" s="19"/>
      <c r="PC30" s="19"/>
      <c r="PD30" s="19"/>
      <c r="PF30" s="8"/>
      <c r="PG30" s="7"/>
      <c r="PH30" s="19"/>
      <c r="PI30" s="19"/>
      <c r="PJ30" s="19"/>
      <c r="PK30" s="19"/>
      <c r="PM30" s="8"/>
    </row>
    <row r="31" spans="1:429" s="1" customFormat="1" ht="26" customHeight="1" outlineLevel="1">
      <c r="B31" s="471"/>
      <c r="C31" s="7"/>
      <c r="D31" s="19"/>
      <c r="E31" s="19"/>
      <c r="F31" s="19"/>
      <c r="G31" s="19"/>
      <c r="I31" s="8"/>
      <c r="J31" s="7"/>
      <c r="K31" s="19"/>
      <c r="L31" s="19"/>
      <c r="M31" s="19"/>
      <c r="N31" s="19"/>
      <c r="P31" s="8"/>
      <c r="Q31" s="7"/>
      <c r="R31" s="19"/>
      <c r="S31" s="19"/>
      <c r="T31" s="19"/>
      <c r="U31" s="19"/>
      <c r="W31" s="8"/>
      <c r="X31" s="7"/>
      <c r="Y31" s="19"/>
      <c r="Z31" s="19"/>
      <c r="AA31" s="19"/>
      <c r="AB31" s="19"/>
      <c r="AD31" s="8"/>
      <c r="AE31" s="7"/>
      <c r="AF31" s="19"/>
      <c r="AG31" s="19"/>
      <c r="AH31" s="19"/>
      <c r="AI31" s="19"/>
      <c r="AK31" s="8"/>
      <c r="AL31" s="7"/>
      <c r="AM31" s="19"/>
      <c r="AN31" s="19"/>
      <c r="AO31" s="19"/>
      <c r="AP31" s="19"/>
      <c r="AR31" s="8"/>
      <c r="AS31" s="7"/>
      <c r="AT31" s="19"/>
      <c r="AU31" s="19"/>
      <c r="AV31" s="19"/>
      <c r="AW31" s="19"/>
      <c r="AY31" s="8"/>
      <c r="AZ31" s="7"/>
      <c r="BA31" s="19"/>
      <c r="BB31" s="19"/>
      <c r="BC31" s="19"/>
      <c r="BD31" s="19"/>
      <c r="BF31" s="8"/>
      <c r="BG31" s="7"/>
      <c r="BH31" s="19"/>
      <c r="BI31" s="19"/>
      <c r="BJ31" s="19"/>
      <c r="BK31" s="19"/>
      <c r="BM31" s="8"/>
      <c r="BN31" s="7"/>
      <c r="BO31" s="19"/>
      <c r="BP31" s="19"/>
      <c r="BQ31" s="19"/>
      <c r="BR31" s="19"/>
      <c r="BT31" s="8"/>
      <c r="BU31" s="7"/>
      <c r="BV31" s="19"/>
      <c r="BW31" s="19"/>
      <c r="BX31" s="19"/>
      <c r="BY31" s="19"/>
      <c r="CA31" s="8"/>
      <c r="CB31" s="7"/>
      <c r="CC31" s="19"/>
      <c r="CD31" s="19"/>
      <c r="CE31" s="19"/>
      <c r="CF31" s="19"/>
      <c r="CH31" s="8"/>
      <c r="CI31" s="7"/>
      <c r="CJ31" s="19"/>
      <c r="CK31" s="19"/>
      <c r="CL31" s="19"/>
      <c r="CM31" s="19"/>
      <c r="CO31" s="8"/>
      <c r="CP31" s="7"/>
      <c r="CQ31" s="19"/>
      <c r="CR31" s="19"/>
      <c r="CS31" s="19"/>
      <c r="CT31" s="19"/>
      <c r="CV31" s="8"/>
      <c r="CW31" s="7"/>
      <c r="CX31" s="19"/>
      <c r="CY31" s="19"/>
      <c r="CZ31" s="19"/>
      <c r="DA31" s="19"/>
      <c r="DC31" s="8"/>
      <c r="DD31" s="7"/>
      <c r="DE31" s="19"/>
      <c r="DF31" s="19"/>
      <c r="DG31" s="19"/>
      <c r="DH31" s="19"/>
      <c r="DJ31" s="8"/>
      <c r="DK31" s="7"/>
      <c r="DL31" s="19"/>
      <c r="DM31" s="19"/>
      <c r="DN31" s="19"/>
      <c r="DO31" s="19"/>
      <c r="DQ31" s="8"/>
      <c r="DR31" s="7"/>
      <c r="DS31" s="19"/>
      <c r="DT31" s="19"/>
      <c r="DU31" s="19"/>
      <c r="DV31" s="19"/>
      <c r="DX31" s="8"/>
      <c r="DY31" s="7"/>
      <c r="DZ31" s="19"/>
      <c r="EA31" s="19"/>
      <c r="EB31" s="19"/>
      <c r="EC31" s="19"/>
      <c r="EE31" s="8"/>
      <c r="EF31" s="7"/>
      <c r="EG31" s="19"/>
      <c r="EH31" s="19"/>
      <c r="EI31" s="19"/>
      <c r="EJ31" s="19"/>
      <c r="EL31" s="8"/>
      <c r="EM31" s="7"/>
      <c r="EN31" s="19"/>
      <c r="EO31" s="19"/>
      <c r="EP31" s="19"/>
      <c r="EQ31" s="19"/>
      <c r="ES31" s="8"/>
      <c r="ET31" s="7"/>
      <c r="EU31" s="19"/>
      <c r="EV31" s="19"/>
      <c r="EW31" s="19"/>
      <c r="EX31" s="19"/>
      <c r="EZ31" s="8"/>
      <c r="FA31" s="7"/>
      <c r="FB31" s="19"/>
      <c r="FC31" s="19"/>
      <c r="FD31" s="19"/>
      <c r="FE31" s="19"/>
      <c r="FG31" s="8"/>
      <c r="FH31" s="7"/>
      <c r="FI31" s="19"/>
      <c r="FJ31" s="19"/>
      <c r="FK31" s="19"/>
      <c r="FL31" s="19"/>
      <c r="FN31" s="8"/>
      <c r="FO31" s="7"/>
      <c r="FP31" s="19"/>
      <c r="FQ31" s="19"/>
      <c r="FR31" s="19"/>
      <c r="FS31" s="19"/>
      <c r="FU31" s="8"/>
      <c r="FV31" s="7"/>
      <c r="FW31" s="19"/>
      <c r="FX31" s="19"/>
      <c r="FY31" s="19"/>
      <c r="FZ31" s="19"/>
      <c r="GB31" s="8"/>
      <c r="GC31" s="7"/>
      <c r="GD31" s="19"/>
      <c r="GE31" s="19"/>
      <c r="GF31" s="19"/>
      <c r="GG31" s="19"/>
      <c r="GI31" s="8"/>
      <c r="GJ31" s="7"/>
      <c r="GK31" s="19"/>
      <c r="GL31" s="19"/>
      <c r="GM31" s="19"/>
      <c r="GN31" s="19"/>
      <c r="GP31" s="8"/>
      <c r="GQ31" s="7"/>
      <c r="GR31" s="19"/>
      <c r="GS31" s="19"/>
      <c r="GT31" s="19"/>
      <c r="GU31" s="19"/>
      <c r="GW31" s="8"/>
      <c r="GX31" s="7"/>
      <c r="GY31" s="19"/>
      <c r="GZ31" s="19"/>
      <c r="HA31" s="19"/>
      <c r="HB31" s="19"/>
      <c r="HD31" s="8"/>
      <c r="HE31" s="7"/>
      <c r="HF31" s="19"/>
      <c r="HG31" s="19"/>
      <c r="HH31" s="19"/>
      <c r="HI31" s="19"/>
      <c r="HK31" s="8"/>
      <c r="HL31" s="7"/>
      <c r="HM31" s="19"/>
      <c r="HN31" s="19"/>
      <c r="HO31" s="19"/>
      <c r="HP31" s="19"/>
      <c r="HR31" s="8"/>
      <c r="HS31" s="7"/>
      <c r="HT31" s="19"/>
      <c r="HU31" s="19"/>
      <c r="HV31" s="19"/>
      <c r="HW31" s="19"/>
      <c r="HY31" s="8"/>
      <c r="HZ31" s="7"/>
      <c r="IA31" s="19"/>
      <c r="IB31" s="19"/>
      <c r="IC31" s="19"/>
      <c r="ID31" s="19"/>
      <c r="IF31" s="8"/>
      <c r="IG31" s="7"/>
      <c r="IH31" s="19"/>
      <c r="II31" s="19"/>
      <c r="IJ31" s="19"/>
      <c r="IK31" s="19"/>
      <c r="IM31" s="8"/>
      <c r="IN31" s="7"/>
      <c r="IO31" s="19"/>
      <c r="IP31" s="19"/>
      <c r="IQ31" s="19"/>
      <c r="IR31" s="19"/>
      <c r="IT31" s="8"/>
      <c r="IU31" s="7"/>
      <c r="IV31" s="19"/>
      <c r="IW31" s="19"/>
      <c r="IX31" s="19"/>
      <c r="IY31" s="19"/>
      <c r="JA31" s="8"/>
      <c r="JB31" s="7"/>
      <c r="JC31" s="19"/>
      <c r="JD31" s="19"/>
      <c r="JE31" s="19"/>
      <c r="JF31" s="19"/>
      <c r="JH31" s="8"/>
      <c r="JI31" s="7"/>
      <c r="JJ31" s="19"/>
      <c r="JK31" s="19"/>
      <c r="JL31" s="19"/>
      <c r="JM31" s="19"/>
      <c r="JO31" s="8"/>
      <c r="JP31" s="7"/>
      <c r="JQ31" s="19"/>
      <c r="JR31" s="19"/>
      <c r="JS31" s="19"/>
      <c r="JT31" s="19"/>
      <c r="JV31" s="8"/>
      <c r="JW31" s="7"/>
      <c r="JX31" s="19"/>
      <c r="JY31" s="19"/>
      <c r="JZ31" s="19"/>
      <c r="KA31" s="19"/>
      <c r="KC31" s="8"/>
      <c r="KD31" s="7"/>
      <c r="KE31" s="19"/>
      <c r="KF31" s="19"/>
      <c r="KG31" s="19"/>
      <c r="KH31" s="19"/>
      <c r="KJ31" s="8"/>
      <c r="KK31" s="7"/>
      <c r="KL31" s="19"/>
      <c r="KM31" s="19"/>
      <c r="KN31" s="19"/>
      <c r="KO31" s="19"/>
      <c r="KQ31" s="8"/>
      <c r="KR31" s="7"/>
      <c r="KS31" s="19"/>
      <c r="KT31" s="19"/>
      <c r="KU31" s="19"/>
      <c r="KV31" s="19"/>
      <c r="KX31" s="8"/>
      <c r="KY31" s="7"/>
      <c r="KZ31" s="19"/>
      <c r="LA31" s="19"/>
      <c r="LB31" s="19"/>
      <c r="LC31" s="19"/>
      <c r="LE31" s="8"/>
      <c r="LF31" s="7"/>
      <c r="LG31" s="19"/>
      <c r="LH31" s="19"/>
      <c r="LI31" s="19"/>
      <c r="LJ31" s="19"/>
      <c r="LL31" s="8"/>
      <c r="LM31" s="7"/>
      <c r="LN31" s="19"/>
      <c r="LO31" s="19"/>
      <c r="LP31" s="19"/>
      <c r="LQ31" s="19"/>
      <c r="LS31" s="8"/>
      <c r="LT31" s="7"/>
      <c r="LU31" s="19"/>
      <c r="LV31" s="19"/>
      <c r="LW31" s="19"/>
      <c r="LX31" s="19"/>
      <c r="LZ31" s="8"/>
      <c r="MA31" s="7"/>
      <c r="MB31" s="19"/>
      <c r="MC31" s="19"/>
      <c r="MD31" s="19"/>
      <c r="ME31" s="19"/>
      <c r="MG31" s="8"/>
      <c r="MH31" s="7"/>
      <c r="MI31" s="19"/>
      <c r="MJ31" s="19"/>
      <c r="MK31" s="19"/>
      <c r="ML31" s="19"/>
      <c r="MN31" s="8"/>
      <c r="MO31" s="7"/>
      <c r="MP31" s="19"/>
      <c r="MQ31" s="19"/>
      <c r="MR31" s="19"/>
      <c r="MS31" s="19"/>
      <c r="MU31" s="8"/>
      <c r="MV31" s="7"/>
      <c r="MW31" s="19"/>
      <c r="MX31" s="19"/>
      <c r="MY31" s="19"/>
      <c r="MZ31" s="19"/>
      <c r="NB31" s="8"/>
      <c r="NC31" s="7"/>
      <c r="ND31" s="19"/>
      <c r="NE31" s="19"/>
      <c r="NF31" s="19"/>
      <c r="NG31" s="19"/>
      <c r="NI31" s="8"/>
      <c r="NJ31" s="7"/>
      <c r="NK31" s="19"/>
      <c r="NL31" s="19"/>
      <c r="NM31" s="19"/>
      <c r="NN31" s="19"/>
      <c r="NP31" s="8"/>
      <c r="NQ31" s="7"/>
      <c r="NR31" s="19"/>
      <c r="NS31" s="19"/>
      <c r="NT31" s="19"/>
      <c r="NU31" s="19"/>
      <c r="NW31" s="8"/>
      <c r="NX31" s="7"/>
      <c r="NY31" s="19"/>
      <c r="NZ31" s="19"/>
      <c r="OA31" s="19"/>
      <c r="OB31" s="19"/>
      <c r="OD31" s="8"/>
      <c r="OE31" s="7"/>
      <c r="OF31" s="19"/>
      <c r="OG31" s="19"/>
      <c r="OH31" s="19"/>
      <c r="OI31" s="19"/>
      <c r="OK31" s="8"/>
      <c r="OL31" s="7"/>
      <c r="OM31" s="19"/>
      <c r="ON31" s="19"/>
      <c r="OO31" s="19"/>
      <c r="OP31" s="19"/>
      <c r="OR31" s="8"/>
      <c r="OS31" s="7"/>
      <c r="OT31" s="19"/>
      <c r="OU31" s="19"/>
      <c r="OV31" s="19"/>
      <c r="OW31" s="19"/>
      <c r="OY31" s="8"/>
      <c r="OZ31" s="7"/>
      <c r="PA31" s="19"/>
      <c r="PB31" s="19"/>
      <c r="PC31" s="19"/>
      <c r="PD31" s="19"/>
      <c r="PF31" s="8"/>
      <c r="PG31" s="7"/>
      <c r="PH31" s="19"/>
      <c r="PI31" s="19"/>
      <c r="PJ31" s="19"/>
      <c r="PK31" s="19"/>
      <c r="PM31" s="8"/>
    </row>
    <row r="32" spans="1:429" s="475" customFormat="1" ht="19" customHeight="1">
      <c r="A32" s="6" t="s">
        <v>441</v>
      </c>
      <c r="B32" s="472"/>
      <c r="C32" s="10"/>
      <c r="D32" s="20"/>
      <c r="E32" s="20"/>
      <c r="F32" s="20"/>
      <c r="G32" s="20"/>
      <c r="H32" s="10"/>
      <c r="I32" s="10"/>
      <c r="J32" s="10"/>
      <c r="K32" s="20"/>
      <c r="L32" s="20"/>
      <c r="M32" s="20"/>
      <c r="N32" s="20"/>
      <c r="O32" s="10"/>
      <c r="P32" s="10"/>
      <c r="Q32" s="10"/>
      <c r="R32" s="20"/>
      <c r="S32" s="20"/>
      <c r="T32" s="20"/>
      <c r="U32" s="20"/>
      <c r="V32" s="10"/>
      <c r="W32" s="10"/>
      <c r="X32" s="10"/>
      <c r="Y32" s="20"/>
      <c r="Z32" s="20"/>
      <c r="AA32" s="20"/>
      <c r="AB32" s="20"/>
      <c r="AC32" s="10"/>
      <c r="AD32" s="10"/>
      <c r="AE32" s="10"/>
      <c r="AF32" s="20"/>
      <c r="AG32" s="20"/>
      <c r="AH32" s="20"/>
      <c r="AI32" s="20"/>
      <c r="AJ32" s="10"/>
      <c r="AK32" s="10"/>
      <c r="AL32" s="10"/>
      <c r="AM32" s="20"/>
      <c r="AN32" s="20"/>
      <c r="AO32" s="20"/>
      <c r="AP32" s="20"/>
      <c r="AQ32" s="10"/>
      <c r="AR32" s="10"/>
      <c r="AS32" s="10"/>
      <c r="AT32" s="20"/>
      <c r="AU32" s="20"/>
      <c r="AV32" s="20"/>
      <c r="AW32" s="20"/>
      <c r="AX32" s="10"/>
      <c r="AY32" s="10"/>
      <c r="AZ32" s="10"/>
      <c r="BA32" s="20"/>
      <c r="BB32" s="20"/>
      <c r="BC32" s="20"/>
      <c r="BD32" s="20"/>
      <c r="BE32" s="10"/>
      <c r="BF32" s="10"/>
      <c r="BG32" s="10"/>
      <c r="BH32" s="20"/>
      <c r="BI32" s="20"/>
      <c r="BJ32" s="20"/>
      <c r="BK32" s="20"/>
      <c r="BL32" s="10"/>
      <c r="BM32" s="10"/>
      <c r="BN32" s="10"/>
      <c r="BO32" s="20"/>
      <c r="BP32" s="20"/>
      <c r="BQ32" s="20"/>
      <c r="BR32" s="20"/>
      <c r="BS32" s="10"/>
      <c r="BT32" s="10"/>
      <c r="BU32" s="26"/>
      <c r="BV32" s="26"/>
      <c r="BW32" s="26"/>
      <c r="BX32" s="26"/>
      <c r="BY32" s="26"/>
      <c r="BZ32" s="26"/>
      <c r="CA32" s="26"/>
      <c r="CB32" s="10"/>
      <c r="CC32" s="20"/>
      <c r="CD32" s="20"/>
      <c r="CE32" s="20"/>
      <c r="CF32" s="20"/>
      <c r="CG32" s="10"/>
      <c r="CH32" s="10"/>
      <c r="CI32" s="10"/>
      <c r="CJ32" s="20"/>
      <c r="CK32" s="20"/>
      <c r="CL32" s="20"/>
      <c r="CM32" s="20"/>
      <c r="CN32" s="10"/>
      <c r="CO32" s="10"/>
      <c r="CP32" s="10"/>
      <c r="CQ32" s="20"/>
      <c r="CR32" s="20"/>
      <c r="CS32" s="20"/>
      <c r="CT32" s="20"/>
      <c r="CU32" s="10"/>
      <c r="CV32" s="10"/>
      <c r="CW32" s="10"/>
      <c r="CX32" s="20"/>
      <c r="CY32" s="20"/>
      <c r="CZ32" s="20"/>
      <c r="DA32" s="20"/>
      <c r="DB32" s="10"/>
      <c r="DC32" s="10"/>
      <c r="DD32" s="10"/>
      <c r="DE32" s="20"/>
      <c r="DF32" s="20"/>
      <c r="DG32" s="20"/>
      <c r="DH32" s="20"/>
      <c r="DI32" s="10"/>
      <c r="DJ32" s="10"/>
      <c r="DK32" s="10"/>
      <c r="DL32" s="20"/>
      <c r="DM32" s="20"/>
      <c r="DN32" s="20"/>
      <c r="DO32" s="20"/>
      <c r="DP32" s="10"/>
      <c r="DQ32" s="10" t="s">
        <v>120</v>
      </c>
      <c r="DR32" s="10"/>
      <c r="DS32" s="20"/>
      <c r="DT32" s="20"/>
      <c r="DU32" s="20"/>
      <c r="DV32" s="20"/>
      <c r="DW32" s="10"/>
      <c r="DX32" s="10" t="s">
        <v>120</v>
      </c>
      <c r="DY32" s="10"/>
      <c r="DZ32" s="20"/>
      <c r="EA32" s="20"/>
      <c r="EB32" s="20"/>
      <c r="EC32" s="20"/>
      <c r="ED32" s="10"/>
      <c r="EE32" s="10" t="s">
        <v>120</v>
      </c>
      <c r="EF32" s="10"/>
      <c r="EG32" s="20"/>
      <c r="EH32" s="20"/>
      <c r="EI32" s="20"/>
      <c r="EJ32" s="20"/>
      <c r="EK32" s="10"/>
      <c r="EL32" s="10" t="s">
        <v>120</v>
      </c>
      <c r="EM32" s="10"/>
      <c r="EN32" s="20"/>
      <c r="EO32" s="20"/>
      <c r="EP32" s="20"/>
      <c r="EQ32" s="20"/>
      <c r="ER32" s="10"/>
      <c r="ES32" s="10" t="s">
        <v>120</v>
      </c>
      <c r="ET32" s="10"/>
      <c r="EU32" s="20"/>
      <c r="EV32" s="20"/>
      <c r="EW32" s="20"/>
      <c r="EX32" s="20"/>
      <c r="EY32" s="10"/>
      <c r="EZ32" s="10" t="s">
        <v>120</v>
      </c>
      <c r="FA32" s="10"/>
      <c r="FB32" s="20"/>
      <c r="FC32" s="20"/>
      <c r="FD32" s="20"/>
      <c r="FE32" s="20"/>
      <c r="FF32" s="10"/>
      <c r="FG32" s="10"/>
      <c r="FH32" s="10"/>
      <c r="FI32" s="20"/>
      <c r="FJ32" s="20"/>
      <c r="FK32" s="20"/>
      <c r="FL32" s="20"/>
      <c r="FM32" s="10"/>
      <c r="FN32" s="10"/>
      <c r="FO32" s="10"/>
      <c r="FP32" s="20"/>
      <c r="FQ32" s="20"/>
      <c r="FR32" s="20"/>
      <c r="FS32" s="20"/>
      <c r="FT32" s="10"/>
      <c r="FU32" s="10"/>
      <c r="FV32" s="10"/>
      <c r="FW32" s="20"/>
      <c r="FX32" s="20"/>
      <c r="FY32" s="20"/>
      <c r="FZ32" s="20"/>
      <c r="GA32" s="10"/>
      <c r="GB32" s="10"/>
      <c r="GC32" s="10"/>
      <c r="GD32" s="20"/>
      <c r="GE32" s="20"/>
      <c r="GF32" s="20"/>
      <c r="GG32" s="20"/>
      <c r="GH32" s="10"/>
      <c r="GI32" s="10"/>
      <c r="GJ32" s="10"/>
      <c r="GK32" s="20"/>
      <c r="GL32" s="20"/>
      <c r="GM32" s="20"/>
      <c r="GN32" s="20"/>
      <c r="GO32" s="10"/>
      <c r="GP32" s="10"/>
      <c r="GQ32" s="10"/>
      <c r="GR32" s="20"/>
      <c r="GS32" s="20"/>
      <c r="GT32" s="20"/>
      <c r="GU32" s="20"/>
      <c r="GV32" s="10"/>
      <c r="GW32" s="10"/>
      <c r="GX32" s="10"/>
      <c r="GY32" s="20"/>
      <c r="GZ32" s="20"/>
      <c r="HA32" s="20"/>
      <c r="HB32" s="20"/>
      <c r="HC32" s="10"/>
      <c r="HD32" s="10"/>
      <c r="HE32" s="10"/>
      <c r="HF32" s="20"/>
      <c r="HG32" s="20"/>
      <c r="HH32" s="20"/>
      <c r="HI32" s="20"/>
      <c r="HJ32" s="10"/>
      <c r="HK32" s="10"/>
      <c r="HL32" s="10"/>
      <c r="HM32" s="20"/>
      <c r="HN32" s="20"/>
      <c r="HO32" s="20"/>
      <c r="HP32" s="20"/>
      <c r="HQ32" s="10"/>
      <c r="HR32" s="10"/>
      <c r="HS32" s="10"/>
      <c r="HT32" s="20"/>
      <c r="HU32" s="20"/>
      <c r="HV32" s="20"/>
      <c r="HW32" s="20"/>
      <c r="HX32" s="10"/>
      <c r="HY32" s="10"/>
      <c r="HZ32" s="10"/>
      <c r="IA32" s="20"/>
      <c r="IB32" s="20"/>
      <c r="IC32" s="20"/>
      <c r="ID32" s="20"/>
      <c r="IE32" s="10"/>
      <c r="IF32" s="10"/>
      <c r="IG32" s="10"/>
      <c r="IH32" s="20"/>
      <c r="II32" s="20"/>
      <c r="IJ32" s="20"/>
      <c r="IK32" s="20"/>
      <c r="IL32" s="10"/>
      <c r="IM32" s="10"/>
      <c r="IN32" s="10"/>
      <c r="IO32" s="20"/>
      <c r="IP32" s="20"/>
      <c r="IQ32" s="20"/>
      <c r="IR32" s="20"/>
      <c r="IS32" s="10"/>
      <c r="IT32" s="10"/>
      <c r="IU32" s="10"/>
      <c r="IV32" s="20"/>
      <c r="IW32" s="20"/>
      <c r="IX32" s="20"/>
      <c r="IY32" s="20"/>
      <c r="IZ32" s="10"/>
      <c r="JA32" s="10"/>
      <c r="JB32" s="10"/>
      <c r="JC32" s="20"/>
      <c r="JD32" s="20"/>
      <c r="JE32" s="20"/>
      <c r="JF32" s="20"/>
      <c r="JG32" s="10"/>
      <c r="JH32" s="10"/>
      <c r="JI32" s="10"/>
      <c r="JJ32" s="20"/>
      <c r="JK32" s="20"/>
      <c r="JL32" s="20"/>
      <c r="JM32" s="20"/>
      <c r="JN32" s="10"/>
      <c r="JO32" s="10"/>
      <c r="JP32" s="10"/>
      <c r="JQ32" s="20"/>
      <c r="JR32" s="20"/>
      <c r="JS32" s="20"/>
      <c r="JT32" s="20"/>
      <c r="JU32" s="10"/>
      <c r="JV32" s="10"/>
      <c r="JW32" s="10"/>
      <c r="JX32" s="20"/>
      <c r="JY32" s="20"/>
      <c r="JZ32" s="20"/>
      <c r="KA32" s="20"/>
      <c r="KB32" s="10"/>
      <c r="KC32" s="10"/>
      <c r="KD32" s="10"/>
      <c r="KE32" s="20"/>
      <c r="KF32" s="20"/>
      <c r="KG32" s="20"/>
      <c r="KH32" s="20"/>
      <c r="KI32" s="10"/>
      <c r="KJ32" s="10"/>
      <c r="KK32" s="10"/>
      <c r="KL32" s="20"/>
      <c r="KM32" s="20"/>
      <c r="KN32" s="20"/>
      <c r="KO32" s="20"/>
      <c r="KP32" s="10"/>
      <c r="KQ32" s="10"/>
      <c r="KR32" s="10"/>
      <c r="KS32" s="20"/>
      <c r="KT32" s="20"/>
      <c r="KU32" s="20"/>
      <c r="KV32" s="20"/>
      <c r="KW32" s="10"/>
      <c r="KX32" s="10"/>
      <c r="KY32" s="10"/>
      <c r="KZ32" s="20"/>
      <c r="LA32" s="20"/>
      <c r="LB32" s="20"/>
      <c r="LC32" s="20"/>
      <c r="LD32" s="10"/>
      <c r="LE32" s="10"/>
      <c r="LF32" s="10"/>
      <c r="LG32" s="20"/>
      <c r="LH32" s="20"/>
      <c r="LI32" s="20"/>
      <c r="LJ32" s="20"/>
      <c r="LK32" s="10"/>
      <c r="LL32" s="10"/>
      <c r="LM32" s="10"/>
      <c r="LN32" s="20"/>
      <c r="LO32" s="20"/>
      <c r="LP32" s="20"/>
      <c r="LQ32" s="20"/>
      <c r="LR32" s="10"/>
      <c r="LS32" s="10"/>
      <c r="LT32" s="10"/>
      <c r="LU32" s="20"/>
      <c r="LV32" s="20"/>
      <c r="LW32" s="20"/>
      <c r="LX32" s="20"/>
      <c r="LY32" s="10"/>
      <c r="LZ32" s="10"/>
      <c r="MA32" s="10"/>
      <c r="MB32" s="20"/>
      <c r="MC32" s="20"/>
      <c r="MD32" s="20"/>
      <c r="ME32" s="20"/>
      <c r="MF32" s="10"/>
      <c r="MG32" s="10"/>
      <c r="MH32" s="10"/>
      <c r="MI32" s="20"/>
      <c r="MJ32" s="20"/>
      <c r="MK32" s="20"/>
      <c r="ML32" s="20"/>
      <c r="MM32" s="10"/>
      <c r="MN32" s="10"/>
      <c r="MO32" s="10"/>
      <c r="MP32" s="20"/>
      <c r="MQ32" s="20"/>
      <c r="MR32" s="20"/>
      <c r="MS32" s="20"/>
      <c r="MT32" s="10"/>
      <c r="MU32" s="10"/>
      <c r="MV32" s="10"/>
      <c r="MW32" s="20"/>
      <c r="MX32" s="20"/>
      <c r="MY32" s="20"/>
      <c r="MZ32" s="20"/>
      <c r="NA32" s="10"/>
      <c r="NB32" s="10"/>
      <c r="NC32" s="10"/>
      <c r="ND32" s="20"/>
      <c r="NE32" s="20"/>
      <c r="NF32" s="20"/>
      <c r="NG32" s="20"/>
      <c r="NH32" s="10"/>
      <c r="NI32" s="10"/>
      <c r="NJ32" s="10"/>
      <c r="NK32" s="20"/>
      <c r="NL32" s="20"/>
      <c r="NM32" s="20"/>
      <c r="NN32" s="20"/>
      <c r="NO32" s="10"/>
      <c r="NP32" s="10"/>
      <c r="NQ32" s="10"/>
      <c r="NR32" s="20"/>
      <c r="NS32" s="20"/>
      <c r="NT32" s="20"/>
      <c r="NU32" s="20"/>
      <c r="NV32" s="10"/>
      <c r="NW32" s="10"/>
      <c r="NX32" s="10"/>
      <c r="NY32" s="20"/>
      <c r="NZ32" s="20"/>
      <c r="OA32" s="20"/>
      <c r="OB32" s="20"/>
      <c r="OC32" s="10"/>
      <c r="OD32" s="10"/>
      <c r="OE32" s="10"/>
      <c r="OF32" s="20"/>
      <c r="OG32" s="20"/>
      <c r="OH32" s="20"/>
      <c r="OI32" s="20"/>
      <c r="OJ32" s="10"/>
      <c r="OK32" s="10"/>
      <c r="OL32" s="10"/>
      <c r="OM32" s="20"/>
      <c r="ON32" s="20"/>
      <c r="OO32" s="20"/>
      <c r="OP32" s="20"/>
      <c r="OQ32" s="10"/>
      <c r="OR32" s="10"/>
      <c r="OS32" s="10"/>
      <c r="OT32" s="20"/>
      <c r="OU32" s="20"/>
      <c r="OV32" s="20"/>
      <c r="OW32" s="20"/>
      <c r="OX32" s="10"/>
      <c r="OY32" s="10"/>
      <c r="OZ32" s="10"/>
      <c r="PA32" s="20"/>
      <c r="PB32" s="20"/>
      <c r="PC32" s="20"/>
      <c r="PD32" s="20"/>
      <c r="PE32" s="10"/>
      <c r="PF32" s="10"/>
      <c r="PG32" s="10"/>
      <c r="PH32" s="20"/>
      <c r="PI32" s="20"/>
      <c r="PJ32" s="20"/>
      <c r="PK32" s="20"/>
      <c r="PL32" s="10"/>
      <c r="PM32" s="10"/>
    </row>
    <row r="33" spans="1:429" s="1" customFormat="1" ht="26" customHeight="1" outlineLevel="1">
      <c r="B33" s="471"/>
      <c r="C33" s="7"/>
      <c r="D33" s="19"/>
      <c r="E33" s="19"/>
      <c r="F33" s="19"/>
      <c r="G33" s="19"/>
      <c r="I33" s="8"/>
      <c r="J33" s="7"/>
      <c r="K33" s="19"/>
      <c r="L33" s="19"/>
      <c r="M33" s="19"/>
      <c r="N33" s="19"/>
      <c r="P33" s="8"/>
      <c r="Q33" s="7"/>
      <c r="R33" s="19"/>
      <c r="S33" s="19"/>
      <c r="T33" s="19"/>
      <c r="U33" s="19"/>
      <c r="W33" s="8"/>
      <c r="X33" s="7"/>
      <c r="Y33" s="19"/>
      <c r="Z33" s="19"/>
      <c r="AA33" s="19"/>
      <c r="AB33" s="19"/>
      <c r="AD33" s="8"/>
      <c r="AE33" s="7"/>
      <c r="AF33" s="19"/>
      <c r="AG33" s="19"/>
      <c r="AH33" s="19"/>
      <c r="AI33" s="19"/>
      <c r="AK33" s="8"/>
      <c r="AL33" s="7"/>
      <c r="AM33" s="19"/>
      <c r="AN33" s="19"/>
      <c r="AO33" s="19"/>
      <c r="AP33" s="19"/>
      <c r="AR33" s="8"/>
      <c r="AS33" s="7"/>
      <c r="AT33" s="19"/>
      <c r="AU33" s="19"/>
      <c r="AV33" s="19"/>
      <c r="AW33" s="19"/>
      <c r="AY33" s="8"/>
      <c r="AZ33" s="7"/>
      <c r="BA33" s="19"/>
      <c r="BB33" s="19"/>
      <c r="BC33" s="19"/>
      <c r="BD33" s="19"/>
      <c r="BF33" s="8"/>
      <c r="BG33" s="7"/>
      <c r="BH33" s="19"/>
      <c r="BI33" s="19"/>
      <c r="BJ33" s="19"/>
      <c r="BK33" s="19"/>
      <c r="BM33" s="8"/>
      <c r="BN33" s="7"/>
      <c r="BO33" s="19"/>
      <c r="BP33" s="19"/>
      <c r="BQ33" s="19"/>
      <c r="BR33" s="19"/>
      <c r="BT33" s="8"/>
      <c r="BU33" s="7"/>
      <c r="BV33" s="19"/>
      <c r="BW33" s="19"/>
      <c r="BX33" s="19"/>
      <c r="BY33" s="19"/>
      <c r="CA33" s="8"/>
      <c r="CB33" s="7"/>
      <c r="CC33" s="19"/>
      <c r="CD33" s="19"/>
      <c r="CE33" s="19"/>
      <c r="CF33" s="19"/>
      <c r="CH33" s="8"/>
      <c r="CI33" s="7"/>
      <c r="CJ33" s="19"/>
      <c r="CK33" s="19"/>
      <c r="CL33" s="19"/>
      <c r="CM33" s="19"/>
      <c r="CO33" s="8"/>
      <c r="CP33" s="7"/>
      <c r="CQ33" s="19"/>
      <c r="CR33" s="19"/>
      <c r="CS33" s="19"/>
      <c r="CT33" s="19"/>
      <c r="CV33" s="8"/>
      <c r="CW33" s="7"/>
      <c r="CX33" s="19"/>
      <c r="CY33" s="19"/>
      <c r="CZ33" s="19"/>
      <c r="DA33" s="19"/>
      <c r="DC33" s="8"/>
      <c r="DD33" s="7"/>
      <c r="DE33" s="19"/>
      <c r="DF33" s="19"/>
      <c r="DG33" s="19"/>
      <c r="DH33" s="19"/>
      <c r="DJ33" s="8"/>
      <c r="DK33" s="7" t="s">
        <v>107</v>
      </c>
      <c r="DL33" s="19" t="s">
        <v>164</v>
      </c>
      <c r="DM33" s="19"/>
      <c r="DN33" s="19"/>
      <c r="DO33" s="19"/>
      <c r="DQ33" s="8">
        <v>8</v>
      </c>
      <c r="DR33" s="7" t="s">
        <v>107</v>
      </c>
      <c r="DS33" s="19" t="s">
        <v>171</v>
      </c>
      <c r="DT33" s="19"/>
      <c r="DU33" s="19"/>
      <c r="DV33" s="19"/>
      <c r="DX33" s="8">
        <v>10</v>
      </c>
      <c r="DY33" s="7" t="s">
        <v>107</v>
      </c>
      <c r="DZ33" s="19" t="s">
        <v>211</v>
      </c>
      <c r="EA33" s="19"/>
      <c r="EB33" s="19"/>
      <c r="EC33" s="19"/>
      <c r="EE33" s="8" t="s">
        <v>172</v>
      </c>
      <c r="EF33" s="7" t="s">
        <v>107</v>
      </c>
      <c r="EG33" s="19" t="s">
        <v>439</v>
      </c>
      <c r="EH33" s="19"/>
      <c r="EI33" s="19"/>
      <c r="EJ33" s="19"/>
      <c r="EL33" s="8">
        <v>3</v>
      </c>
      <c r="EM33" s="7" t="s">
        <v>107</v>
      </c>
      <c r="EN33" s="19" t="s">
        <v>439</v>
      </c>
      <c r="EO33" s="19"/>
      <c r="EP33" s="19"/>
      <c r="EQ33" s="19"/>
      <c r="ES33" s="8">
        <v>4</v>
      </c>
      <c r="ET33" s="7" t="s">
        <v>107</v>
      </c>
      <c r="EU33" s="19" t="s">
        <v>439</v>
      </c>
      <c r="EV33" s="19"/>
      <c r="EW33" s="19"/>
      <c r="EX33" s="19"/>
      <c r="EZ33" s="8">
        <v>5</v>
      </c>
      <c r="FA33" s="7"/>
      <c r="FB33" s="19"/>
      <c r="FC33" s="19"/>
      <c r="FD33" s="19"/>
      <c r="FE33" s="19"/>
      <c r="FG33" s="8"/>
      <c r="FH33" s="7"/>
      <c r="FI33" s="19"/>
      <c r="FJ33" s="19"/>
      <c r="FK33" s="19"/>
      <c r="FL33" s="19"/>
      <c r="FN33" s="8"/>
      <c r="FO33" s="7"/>
      <c r="FP33" s="19"/>
      <c r="FQ33" s="19"/>
      <c r="FR33" s="19"/>
      <c r="FS33" s="19"/>
      <c r="FU33" s="8"/>
      <c r="FV33" s="7"/>
      <c r="FW33" s="19"/>
      <c r="FX33" s="19"/>
      <c r="FY33" s="19"/>
      <c r="FZ33" s="19"/>
      <c r="GB33" s="8"/>
      <c r="GC33" s="7"/>
      <c r="GD33" s="19"/>
      <c r="GE33" s="19"/>
      <c r="GF33" s="19"/>
      <c r="GG33" s="19"/>
      <c r="GI33" s="8"/>
      <c r="GJ33" s="7"/>
      <c r="GK33" s="19"/>
      <c r="GL33" s="19"/>
      <c r="GM33" s="19"/>
      <c r="GN33" s="19"/>
      <c r="GP33" s="8"/>
      <c r="GQ33" s="7"/>
      <c r="GR33" s="19"/>
      <c r="GS33" s="19"/>
      <c r="GT33" s="19"/>
      <c r="GU33" s="19"/>
      <c r="GW33" s="8"/>
      <c r="GX33" s="7"/>
      <c r="GY33" s="19"/>
      <c r="GZ33" s="19"/>
      <c r="HA33" s="19"/>
      <c r="HB33" s="19"/>
      <c r="HD33" s="8"/>
      <c r="HE33" s="7"/>
      <c r="HF33" s="19"/>
      <c r="HG33" s="19"/>
      <c r="HH33" s="19"/>
      <c r="HI33" s="19"/>
      <c r="HK33" s="8"/>
      <c r="HL33" s="7"/>
      <c r="HM33" s="19"/>
      <c r="HN33" s="19"/>
      <c r="HO33" s="19"/>
      <c r="HP33" s="19"/>
      <c r="HR33" s="8"/>
      <c r="HS33" s="7"/>
      <c r="HT33" s="19"/>
      <c r="HU33" s="19"/>
      <c r="HV33" s="19"/>
      <c r="HW33" s="19"/>
      <c r="HY33" s="8"/>
      <c r="HZ33" s="7"/>
      <c r="IA33" s="19"/>
      <c r="IB33" s="19"/>
      <c r="IC33" s="19"/>
      <c r="ID33" s="19"/>
      <c r="IF33" s="8"/>
      <c r="IG33" s="7"/>
      <c r="IH33" s="19"/>
      <c r="II33" s="19"/>
      <c r="IJ33" s="19"/>
      <c r="IK33" s="19"/>
      <c r="IM33" s="8"/>
      <c r="IN33" s="7"/>
      <c r="IO33" s="19"/>
      <c r="IP33" s="19"/>
      <c r="IQ33" s="19"/>
      <c r="IR33" s="19"/>
      <c r="IT33" s="8"/>
      <c r="IU33" s="7"/>
      <c r="IV33" s="19"/>
      <c r="IW33" s="19"/>
      <c r="IX33" s="19"/>
      <c r="IY33" s="19"/>
      <c r="JA33" s="8"/>
      <c r="JB33" s="7"/>
      <c r="JC33" s="19"/>
      <c r="JD33" s="19"/>
      <c r="JE33" s="19"/>
      <c r="JF33" s="19"/>
      <c r="JH33" s="8"/>
      <c r="JI33" s="7"/>
      <c r="JJ33" s="19"/>
      <c r="JK33" s="19"/>
      <c r="JL33" s="19"/>
      <c r="JM33" s="19"/>
      <c r="JO33" s="8"/>
      <c r="JP33" s="7"/>
      <c r="JQ33" s="19"/>
      <c r="JR33" s="19"/>
      <c r="JS33" s="19"/>
      <c r="JT33" s="19"/>
      <c r="JV33" s="8"/>
      <c r="JW33" s="7"/>
      <c r="JX33" s="19"/>
      <c r="JY33" s="19"/>
      <c r="JZ33" s="19"/>
      <c r="KA33" s="19"/>
      <c r="KC33" s="8"/>
      <c r="KD33" s="7"/>
      <c r="KE33" s="19"/>
      <c r="KF33" s="19"/>
      <c r="KG33" s="19"/>
      <c r="KH33" s="19"/>
      <c r="KJ33" s="8"/>
      <c r="KK33" s="7"/>
      <c r="KL33" s="19"/>
      <c r="KM33" s="19"/>
      <c r="KN33" s="19"/>
      <c r="KO33" s="19"/>
      <c r="KQ33" s="8"/>
      <c r="KR33" s="7"/>
      <c r="KS33" s="19"/>
      <c r="KT33" s="19"/>
      <c r="KU33" s="19"/>
      <c r="KV33" s="19"/>
      <c r="KX33" s="8"/>
      <c r="KY33" s="7"/>
      <c r="KZ33" s="19"/>
      <c r="LA33" s="19"/>
      <c r="LB33" s="19"/>
      <c r="LC33" s="19"/>
      <c r="LE33" s="8"/>
      <c r="LF33" s="7"/>
      <c r="LG33" s="19"/>
      <c r="LH33" s="19"/>
      <c r="LI33" s="19"/>
      <c r="LJ33" s="19"/>
      <c r="LL33" s="8"/>
      <c r="LM33" s="7"/>
      <c r="LN33" s="19"/>
      <c r="LO33" s="19"/>
      <c r="LP33" s="19"/>
      <c r="LQ33" s="19"/>
      <c r="LS33" s="8"/>
      <c r="LT33" s="7"/>
      <c r="LU33" s="19"/>
      <c r="LV33" s="19"/>
      <c r="LW33" s="19"/>
      <c r="LX33" s="19"/>
      <c r="LZ33" s="8"/>
      <c r="MA33" s="7"/>
      <c r="MB33" s="19"/>
      <c r="MC33" s="19"/>
      <c r="MD33" s="19"/>
      <c r="ME33" s="19"/>
      <c r="MG33" s="8"/>
      <c r="MH33" s="7"/>
      <c r="MI33" s="19"/>
      <c r="MJ33" s="19"/>
      <c r="MK33" s="19"/>
      <c r="ML33" s="19"/>
      <c r="MN33" s="8"/>
      <c r="MO33" s="7"/>
      <c r="MP33" s="19"/>
      <c r="MQ33" s="19"/>
      <c r="MR33" s="19"/>
      <c r="MS33" s="19"/>
      <c r="MU33" s="8"/>
      <c r="MV33" s="7"/>
      <c r="MW33" s="19"/>
      <c r="MX33" s="19"/>
      <c r="MY33" s="19"/>
      <c r="MZ33" s="19"/>
      <c r="NB33" s="8"/>
      <c r="NC33" s="7"/>
      <c r="ND33" s="19"/>
      <c r="NE33" s="19"/>
      <c r="NF33" s="19"/>
      <c r="NG33" s="19"/>
      <c r="NI33" s="8"/>
      <c r="NJ33" s="7"/>
      <c r="NK33" s="19"/>
      <c r="NL33" s="19"/>
      <c r="NM33" s="19"/>
      <c r="NN33" s="19"/>
      <c r="NP33" s="8"/>
      <c r="NQ33" s="7"/>
      <c r="NR33" s="19"/>
      <c r="NS33" s="19"/>
      <c r="NT33" s="19"/>
      <c r="NU33" s="19"/>
      <c r="NW33" s="8"/>
      <c r="NX33" s="7"/>
      <c r="NY33" s="19"/>
      <c r="NZ33" s="19"/>
      <c r="OA33" s="19"/>
      <c r="OB33" s="19"/>
      <c r="OD33" s="8"/>
      <c r="OE33" s="7"/>
      <c r="OF33" s="19"/>
      <c r="OG33" s="19"/>
      <c r="OH33" s="19"/>
      <c r="OI33" s="19"/>
      <c r="OK33" s="8"/>
      <c r="OL33" s="7"/>
      <c r="OM33" s="19"/>
      <c r="ON33" s="19"/>
      <c r="OO33" s="19"/>
      <c r="OP33" s="19"/>
      <c r="OR33" s="8"/>
      <c r="OS33" s="7"/>
      <c r="OT33" s="19"/>
      <c r="OU33" s="19"/>
      <c r="OV33" s="19"/>
      <c r="OW33" s="19"/>
      <c r="OY33" s="8"/>
      <c r="OZ33" s="7"/>
      <c r="PA33" s="19"/>
      <c r="PB33" s="19"/>
      <c r="PC33" s="19"/>
      <c r="PD33" s="19"/>
      <c r="PF33" s="8"/>
      <c r="PG33" s="7"/>
      <c r="PH33" s="19"/>
      <c r="PI33" s="19"/>
      <c r="PJ33" s="19"/>
      <c r="PK33" s="19"/>
      <c r="PM33" s="8"/>
    </row>
    <row r="34" spans="1:429" s="1" customFormat="1" ht="26" customHeight="1" outlineLevel="1">
      <c r="B34" s="471"/>
      <c r="C34" s="7"/>
      <c r="D34" s="19"/>
      <c r="E34" s="19"/>
      <c r="F34" s="19"/>
      <c r="G34" s="19"/>
      <c r="I34" s="8"/>
      <c r="J34" s="7"/>
      <c r="K34" s="19"/>
      <c r="L34" s="19"/>
      <c r="M34" s="19"/>
      <c r="N34" s="19"/>
      <c r="P34" s="8"/>
      <c r="Q34" s="7"/>
      <c r="R34" s="19"/>
      <c r="S34" s="19"/>
      <c r="T34" s="19"/>
      <c r="U34" s="19"/>
      <c r="W34" s="8"/>
      <c r="X34" s="7"/>
      <c r="Y34" s="19"/>
      <c r="Z34" s="19"/>
      <c r="AA34" s="19"/>
      <c r="AB34" s="19"/>
      <c r="AD34" s="8"/>
      <c r="AE34" s="7"/>
      <c r="AF34" s="19"/>
      <c r="AG34" s="19"/>
      <c r="AH34" s="19"/>
      <c r="AI34" s="19"/>
      <c r="AK34" s="8"/>
      <c r="AL34" s="7"/>
      <c r="AM34" s="19"/>
      <c r="AN34" s="19"/>
      <c r="AO34" s="19"/>
      <c r="AP34" s="19"/>
      <c r="AR34" s="8"/>
      <c r="AS34" s="7"/>
      <c r="AT34" s="19"/>
      <c r="AU34" s="19"/>
      <c r="AV34" s="19"/>
      <c r="AW34" s="19"/>
      <c r="AY34" s="8"/>
      <c r="AZ34" s="7"/>
      <c r="BA34" s="19"/>
      <c r="BB34" s="19"/>
      <c r="BC34" s="19"/>
      <c r="BD34" s="19"/>
      <c r="BF34" s="8"/>
      <c r="BG34" s="7"/>
      <c r="BH34" s="19"/>
      <c r="BI34" s="19"/>
      <c r="BJ34" s="19"/>
      <c r="BK34" s="19"/>
      <c r="BM34" s="8"/>
      <c r="BN34" s="7"/>
      <c r="BO34" s="19"/>
      <c r="BP34" s="19"/>
      <c r="BQ34" s="19"/>
      <c r="BR34" s="19"/>
      <c r="BT34" s="8"/>
      <c r="BU34" s="7"/>
      <c r="BV34" s="19"/>
      <c r="BW34" s="19"/>
      <c r="BX34" s="19"/>
      <c r="BY34" s="19"/>
      <c r="CA34" s="8"/>
      <c r="CB34" s="7"/>
      <c r="CC34" s="19"/>
      <c r="CD34" s="19"/>
      <c r="CE34" s="19"/>
      <c r="CF34" s="19"/>
      <c r="CH34" s="8"/>
      <c r="CI34" s="7"/>
      <c r="CJ34" s="19"/>
      <c r="CK34" s="19"/>
      <c r="CL34" s="19"/>
      <c r="CM34" s="19"/>
      <c r="CO34" s="8"/>
      <c r="CP34" s="7"/>
      <c r="CQ34" s="19"/>
      <c r="CR34" s="19"/>
      <c r="CS34" s="19"/>
      <c r="CT34" s="19"/>
      <c r="CV34" s="8"/>
      <c r="CW34" s="7"/>
      <c r="CX34" s="19"/>
      <c r="CY34" s="19"/>
      <c r="CZ34" s="19"/>
      <c r="DA34" s="19"/>
      <c r="DC34" s="8"/>
      <c r="DD34" s="7"/>
      <c r="DE34" s="19"/>
      <c r="DF34" s="19"/>
      <c r="DG34" s="19"/>
      <c r="DH34" s="19"/>
      <c r="DJ34" s="8"/>
      <c r="DK34" s="7" t="s">
        <v>108</v>
      </c>
      <c r="DL34" s="19" t="s">
        <v>143</v>
      </c>
      <c r="DM34" s="19"/>
      <c r="DN34" s="19"/>
      <c r="DO34" s="19"/>
      <c r="DQ34" s="8" t="s">
        <v>137</v>
      </c>
      <c r="DR34" s="7" t="s">
        <v>108</v>
      </c>
      <c r="DS34" s="19" t="s">
        <v>170</v>
      </c>
      <c r="DT34" s="19"/>
      <c r="DU34" s="19"/>
      <c r="DV34" s="19"/>
      <c r="DX34" s="8" t="s">
        <v>137</v>
      </c>
      <c r="DY34" s="7" t="s">
        <v>108</v>
      </c>
      <c r="DZ34" s="19" t="s">
        <v>212</v>
      </c>
      <c r="EA34" s="19"/>
      <c r="EB34" s="19"/>
      <c r="EC34" s="19"/>
      <c r="EE34" s="8">
        <v>8</v>
      </c>
      <c r="EF34" s="7" t="s">
        <v>108</v>
      </c>
      <c r="EG34" s="19" t="s">
        <v>440</v>
      </c>
      <c r="EH34" s="19"/>
      <c r="EI34" s="19"/>
      <c r="EJ34" s="19"/>
      <c r="EL34" s="8" t="s">
        <v>282</v>
      </c>
      <c r="EM34" s="7" t="s">
        <v>108</v>
      </c>
      <c r="EN34" s="19" t="s">
        <v>440</v>
      </c>
      <c r="EO34" s="19"/>
      <c r="EP34" s="19"/>
      <c r="EQ34" s="19"/>
      <c r="ES34" s="8" t="s">
        <v>433</v>
      </c>
      <c r="ET34" s="7" t="s">
        <v>108</v>
      </c>
      <c r="EU34" s="19" t="s">
        <v>440</v>
      </c>
      <c r="EV34" s="19"/>
      <c r="EW34" s="19"/>
      <c r="EX34" s="19"/>
      <c r="EZ34" s="8" t="s">
        <v>172</v>
      </c>
      <c r="FA34" s="7"/>
      <c r="FB34" s="19"/>
      <c r="FC34" s="19"/>
      <c r="FD34" s="19"/>
      <c r="FE34" s="19"/>
      <c r="FG34" s="8"/>
      <c r="FH34" s="7"/>
      <c r="FI34" s="19"/>
      <c r="FJ34" s="19"/>
      <c r="FK34" s="19"/>
      <c r="FL34" s="19"/>
      <c r="FN34" s="8"/>
      <c r="FO34" s="7"/>
      <c r="FP34" s="19"/>
      <c r="FQ34" s="19"/>
      <c r="FR34" s="19"/>
      <c r="FS34" s="19"/>
      <c r="FU34" s="8"/>
      <c r="FV34" s="7"/>
      <c r="FW34" s="19"/>
      <c r="FX34" s="19"/>
      <c r="FY34" s="19"/>
      <c r="FZ34" s="19"/>
      <c r="GB34" s="8"/>
      <c r="GC34" s="7"/>
      <c r="GD34" s="19"/>
      <c r="GE34" s="19"/>
      <c r="GF34" s="19"/>
      <c r="GG34" s="19"/>
      <c r="GI34" s="8"/>
      <c r="GJ34" s="7"/>
      <c r="GK34" s="19"/>
      <c r="GL34" s="19"/>
      <c r="GM34" s="19"/>
      <c r="GN34" s="19"/>
      <c r="GP34" s="8"/>
      <c r="GQ34" s="7"/>
      <c r="GR34" s="19"/>
      <c r="GS34" s="19"/>
      <c r="GT34" s="19"/>
      <c r="GU34" s="19"/>
      <c r="GW34" s="8"/>
      <c r="GX34" s="7"/>
      <c r="GY34" s="19"/>
      <c r="GZ34" s="19"/>
      <c r="HA34" s="19"/>
      <c r="HB34" s="19"/>
      <c r="HD34" s="8"/>
      <c r="HE34" s="7"/>
      <c r="HF34" s="19"/>
      <c r="HG34" s="19"/>
      <c r="HH34" s="19"/>
      <c r="HI34" s="19"/>
      <c r="HK34" s="8"/>
      <c r="HL34" s="7"/>
      <c r="HM34" s="19"/>
      <c r="HN34" s="19"/>
      <c r="HO34" s="19"/>
      <c r="HP34" s="19"/>
      <c r="HR34" s="8"/>
      <c r="HS34" s="7"/>
      <c r="HT34" s="19"/>
      <c r="HU34" s="19"/>
      <c r="HV34" s="19"/>
      <c r="HW34" s="19"/>
      <c r="HY34" s="8"/>
      <c r="HZ34" s="7"/>
      <c r="IA34" s="19"/>
      <c r="IB34" s="19"/>
      <c r="IC34" s="19"/>
      <c r="ID34" s="19"/>
      <c r="IF34" s="8"/>
      <c r="IG34" s="7"/>
      <c r="IH34" s="19"/>
      <c r="II34" s="19"/>
      <c r="IJ34" s="19"/>
      <c r="IK34" s="19"/>
      <c r="IM34" s="8"/>
      <c r="IN34" s="7"/>
      <c r="IO34" s="19"/>
      <c r="IP34" s="19"/>
      <c r="IQ34" s="19"/>
      <c r="IR34" s="19"/>
      <c r="IT34" s="8"/>
      <c r="IU34" s="7"/>
      <c r="IV34" s="19"/>
      <c r="IW34" s="19"/>
      <c r="IX34" s="19"/>
      <c r="IY34" s="19"/>
      <c r="JA34" s="8"/>
      <c r="JB34" s="7"/>
      <c r="JC34" s="19"/>
      <c r="JD34" s="19"/>
      <c r="JE34" s="19"/>
      <c r="JF34" s="19"/>
      <c r="JH34" s="8"/>
      <c r="JI34" s="7"/>
      <c r="JJ34" s="19"/>
      <c r="JK34" s="19"/>
      <c r="JL34" s="19"/>
      <c r="JM34" s="19"/>
      <c r="JO34" s="8"/>
      <c r="JP34" s="7"/>
      <c r="JQ34" s="19"/>
      <c r="JR34" s="19"/>
      <c r="JS34" s="19"/>
      <c r="JT34" s="19"/>
      <c r="JV34" s="8"/>
      <c r="JW34" s="7"/>
      <c r="JX34" s="19"/>
      <c r="JY34" s="19"/>
      <c r="JZ34" s="19"/>
      <c r="KA34" s="19"/>
      <c r="KC34" s="8"/>
      <c r="KD34" s="7"/>
      <c r="KE34" s="19"/>
      <c r="KF34" s="19"/>
      <c r="KG34" s="19"/>
      <c r="KH34" s="19"/>
      <c r="KJ34" s="8"/>
      <c r="KK34" s="7"/>
      <c r="KL34" s="19"/>
      <c r="KM34" s="19"/>
      <c r="KN34" s="19"/>
      <c r="KO34" s="19"/>
      <c r="KQ34" s="8"/>
      <c r="KR34" s="7"/>
      <c r="KS34" s="19"/>
      <c r="KT34" s="19"/>
      <c r="KU34" s="19"/>
      <c r="KV34" s="19"/>
      <c r="KX34" s="8"/>
      <c r="KY34" s="7"/>
      <c r="KZ34" s="19"/>
      <c r="LA34" s="19"/>
      <c r="LB34" s="19"/>
      <c r="LC34" s="19"/>
      <c r="LE34" s="8"/>
      <c r="LF34" s="7"/>
      <c r="LG34" s="19"/>
      <c r="LH34" s="19"/>
      <c r="LI34" s="19"/>
      <c r="LJ34" s="19"/>
      <c r="LL34" s="8"/>
      <c r="LM34" s="7"/>
      <c r="LN34" s="19"/>
      <c r="LO34" s="19"/>
      <c r="LP34" s="19"/>
      <c r="LQ34" s="19"/>
      <c r="LS34" s="8"/>
      <c r="LT34" s="7"/>
      <c r="LU34" s="19"/>
      <c r="LV34" s="19"/>
      <c r="LW34" s="19"/>
      <c r="LX34" s="19"/>
      <c r="LZ34" s="8"/>
      <c r="MA34" s="7"/>
      <c r="MB34" s="19"/>
      <c r="MC34" s="19"/>
      <c r="MD34" s="19"/>
      <c r="ME34" s="19"/>
      <c r="MG34" s="8"/>
      <c r="MH34" s="7"/>
      <c r="MI34" s="19"/>
      <c r="MJ34" s="19"/>
      <c r="MK34" s="19"/>
      <c r="ML34" s="19"/>
      <c r="MN34" s="8"/>
      <c r="MO34" s="7"/>
      <c r="MP34" s="19"/>
      <c r="MQ34" s="19"/>
      <c r="MR34" s="19"/>
      <c r="MS34" s="19"/>
      <c r="MU34" s="8"/>
      <c r="MV34" s="7"/>
      <c r="MW34" s="19"/>
      <c r="MX34" s="19"/>
      <c r="MY34" s="19"/>
      <c r="MZ34" s="19"/>
      <c r="NB34" s="8"/>
      <c r="NC34" s="7"/>
      <c r="ND34" s="19"/>
      <c r="NE34" s="19"/>
      <c r="NF34" s="19"/>
      <c r="NG34" s="19"/>
      <c r="NI34" s="8"/>
      <c r="NJ34" s="7"/>
      <c r="NK34" s="19"/>
      <c r="NL34" s="19"/>
      <c r="NM34" s="19"/>
      <c r="NN34" s="19"/>
      <c r="NP34" s="8"/>
      <c r="NQ34" s="7"/>
      <c r="NR34" s="19"/>
      <c r="NS34" s="19"/>
      <c r="NT34" s="19"/>
      <c r="NU34" s="19"/>
      <c r="NW34" s="8"/>
      <c r="NX34" s="7"/>
      <c r="NY34" s="19"/>
      <c r="NZ34" s="19"/>
      <c r="OA34" s="19"/>
      <c r="OB34" s="19"/>
      <c r="OD34" s="8"/>
      <c r="OE34" s="7"/>
      <c r="OF34" s="19"/>
      <c r="OG34" s="19"/>
      <c r="OH34" s="19"/>
      <c r="OI34" s="19"/>
      <c r="OK34" s="8"/>
      <c r="OL34" s="7"/>
      <c r="OM34" s="19"/>
      <c r="ON34" s="19"/>
      <c r="OO34" s="19"/>
      <c r="OP34" s="19"/>
      <c r="OR34" s="8"/>
      <c r="OS34" s="7"/>
      <c r="OT34" s="19"/>
      <c r="OU34" s="19"/>
      <c r="OV34" s="19"/>
      <c r="OW34" s="19"/>
      <c r="OY34" s="8"/>
      <c r="OZ34" s="7"/>
      <c r="PA34" s="19"/>
      <c r="PB34" s="19"/>
      <c r="PC34" s="19"/>
      <c r="PD34" s="19"/>
      <c r="PF34" s="8"/>
      <c r="PG34" s="7"/>
      <c r="PH34" s="19"/>
      <c r="PI34" s="19"/>
      <c r="PJ34" s="19"/>
      <c r="PK34" s="19"/>
      <c r="PM34" s="8"/>
    </row>
    <row r="35" spans="1:429" s="1" customFormat="1" ht="26" customHeight="1" outlineLevel="1">
      <c r="B35" s="471"/>
      <c r="C35" s="7"/>
      <c r="D35" s="19"/>
      <c r="E35" s="19"/>
      <c r="F35" s="19"/>
      <c r="G35" s="19"/>
      <c r="I35" s="8"/>
      <c r="J35" s="7"/>
      <c r="K35" s="19"/>
      <c r="L35" s="19"/>
      <c r="M35" s="19"/>
      <c r="N35" s="19"/>
      <c r="P35" s="8"/>
      <c r="Q35" s="7"/>
      <c r="R35" s="19"/>
      <c r="S35" s="19"/>
      <c r="T35" s="19"/>
      <c r="U35" s="19"/>
      <c r="W35" s="8"/>
      <c r="X35" s="7"/>
      <c r="Y35" s="19"/>
      <c r="Z35" s="19"/>
      <c r="AA35" s="19"/>
      <c r="AB35" s="19"/>
      <c r="AD35" s="8"/>
      <c r="AE35" s="7"/>
      <c r="AF35" s="19"/>
      <c r="AG35" s="19"/>
      <c r="AH35" s="19"/>
      <c r="AI35" s="19"/>
      <c r="AK35" s="8"/>
      <c r="AL35" s="7"/>
      <c r="AM35" s="19"/>
      <c r="AN35" s="19"/>
      <c r="AO35" s="19"/>
      <c r="AP35" s="19"/>
      <c r="AR35" s="8"/>
      <c r="AS35" s="7"/>
      <c r="AT35" s="19"/>
      <c r="AU35" s="19"/>
      <c r="AV35" s="19"/>
      <c r="AW35" s="19"/>
      <c r="AY35" s="8"/>
      <c r="AZ35" s="7"/>
      <c r="BA35" s="19"/>
      <c r="BB35" s="19"/>
      <c r="BC35" s="19"/>
      <c r="BD35" s="19"/>
      <c r="BF35" s="8"/>
      <c r="BG35" s="7"/>
      <c r="BH35" s="19"/>
      <c r="BI35" s="19"/>
      <c r="BJ35" s="19"/>
      <c r="BK35" s="19"/>
      <c r="BM35" s="8"/>
      <c r="BN35" s="7"/>
      <c r="BO35" s="19"/>
      <c r="BP35" s="19"/>
      <c r="BQ35" s="19"/>
      <c r="BR35" s="19"/>
      <c r="BT35" s="8"/>
      <c r="BU35" s="7"/>
      <c r="BV35" s="19"/>
      <c r="BW35" s="19"/>
      <c r="BX35" s="19"/>
      <c r="BY35" s="19"/>
      <c r="CA35" s="8"/>
      <c r="CB35" s="7"/>
      <c r="CC35" s="19"/>
      <c r="CD35" s="19"/>
      <c r="CE35" s="19"/>
      <c r="CF35" s="19"/>
      <c r="CH35" s="8"/>
      <c r="CI35" s="7"/>
      <c r="CJ35" s="19"/>
      <c r="CK35" s="19"/>
      <c r="CL35" s="19"/>
      <c r="CM35" s="19"/>
      <c r="CO35" s="8"/>
      <c r="CP35" s="7"/>
      <c r="CQ35" s="19"/>
      <c r="CR35" s="19"/>
      <c r="CS35" s="19"/>
      <c r="CT35" s="19"/>
      <c r="CV35" s="8"/>
      <c r="CW35" s="7"/>
      <c r="CX35" s="19"/>
      <c r="CY35" s="19"/>
      <c r="CZ35" s="19"/>
      <c r="DA35" s="19"/>
      <c r="DC35" s="8"/>
      <c r="DD35" s="7"/>
      <c r="DE35" s="19"/>
      <c r="DF35" s="19"/>
      <c r="DG35" s="19"/>
      <c r="DH35" s="19"/>
      <c r="DJ35" s="8"/>
      <c r="DK35" s="7" t="s">
        <v>109</v>
      </c>
      <c r="DL35" s="19" t="s">
        <v>165</v>
      </c>
      <c r="DM35" s="19"/>
      <c r="DN35" s="19"/>
      <c r="DO35" s="19"/>
      <c r="DQ35" s="9" t="s">
        <v>166</v>
      </c>
      <c r="DR35" s="7" t="s">
        <v>109</v>
      </c>
      <c r="DS35" s="19" t="s">
        <v>173</v>
      </c>
      <c r="DT35" s="19"/>
      <c r="DU35" s="19"/>
      <c r="DV35" s="19"/>
      <c r="DX35" s="9" t="s">
        <v>166</v>
      </c>
      <c r="DY35" s="7" t="s">
        <v>109</v>
      </c>
      <c r="DZ35" s="19" t="s">
        <v>213</v>
      </c>
      <c r="EA35" s="19"/>
      <c r="EB35" s="19"/>
      <c r="EC35" s="19"/>
      <c r="EE35" s="443">
        <v>8</v>
      </c>
      <c r="EF35" s="7" t="s">
        <v>109</v>
      </c>
      <c r="EG35" s="19" t="s">
        <v>449</v>
      </c>
      <c r="EH35" s="19"/>
      <c r="EI35" s="19"/>
      <c r="EJ35" s="19"/>
      <c r="EL35" s="8" t="s">
        <v>172</v>
      </c>
      <c r="EM35" s="7" t="s">
        <v>109</v>
      </c>
      <c r="EN35" s="19" t="s">
        <v>449</v>
      </c>
      <c r="EO35" s="19"/>
      <c r="EP35" s="19"/>
      <c r="EQ35" s="19"/>
      <c r="ES35" s="8" t="s">
        <v>172</v>
      </c>
      <c r="ET35" s="7" t="s">
        <v>109</v>
      </c>
      <c r="EU35" s="19" t="s">
        <v>449</v>
      </c>
      <c r="EV35" s="19"/>
      <c r="EW35" s="19"/>
      <c r="EX35" s="19"/>
      <c r="EZ35" s="8" t="s">
        <v>172</v>
      </c>
      <c r="FA35" s="7"/>
      <c r="FB35" s="19"/>
      <c r="FC35" s="19"/>
      <c r="FD35" s="19"/>
      <c r="FE35" s="19"/>
      <c r="FG35" s="8"/>
      <c r="FH35" s="7"/>
      <c r="FI35" s="19"/>
      <c r="FJ35" s="19"/>
      <c r="FK35" s="19"/>
      <c r="FL35" s="19"/>
      <c r="FN35" s="8"/>
      <c r="FO35" s="7"/>
      <c r="FP35" s="19"/>
      <c r="FQ35" s="19"/>
      <c r="FR35" s="19"/>
      <c r="FS35" s="19"/>
      <c r="FU35" s="8"/>
      <c r="FV35" s="7"/>
      <c r="FW35" s="19"/>
      <c r="FX35" s="19"/>
      <c r="FY35" s="19"/>
      <c r="FZ35" s="19"/>
      <c r="GB35" s="8"/>
      <c r="GC35" s="7"/>
      <c r="GD35" s="19"/>
      <c r="GE35" s="19"/>
      <c r="GF35" s="19"/>
      <c r="GG35" s="19"/>
      <c r="GI35" s="8"/>
      <c r="GJ35" s="7"/>
      <c r="GK35" s="19"/>
      <c r="GL35" s="19"/>
      <c r="GM35" s="19"/>
      <c r="GN35" s="19"/>
      <c r="GP35" s="8"/>
      <c r="GQ35" s="7"/>
      <c r="GR35" s="19"/>
      <c r="GS35" s="19"/>
      <c r="GT35" s="19"/>
      <c r="GU35" s="19"/>
      <c r="GW35" s="8"/>
      <c r="GX35" s="7"/>
      <c r="GY35" s="19"/>
      <c r="GZ35" s="19"/>
      <c r="HA35" s="19"/>
      <c r="HB35" s="19"/>
      <c r="HD35" s="8"/>
      <c r="HE35" s="7"/>
      <c r="HF35" s="19"/>
      <c r="HG35" s="19"/>
      <c r="HH35" s="19"/>
      <c r="HI35" s="19"/>
      <c r="HK35" s="8"/>
      <c r="HL35" s="7"/>
      <c r="HM35" s="19"/>
      <c r="HN35" s="19"/>
      <c r="HO35" s="19"/>
      <c r="HP35" s="19"/>
      <c r="HR35" s="8"/>
      <c r="HS35" s="7"/>
      <c r="HT35" s="19"/>
      <c r="HU35" s="19"/>
      <c r="HV35" s="19"/>
      <c r="HW35" s="19"/>
      <c r="HY35" s="8"/>
      <c r="HZ35" s="7"/>
      <c r="IA35" s="19"/>
      <c r="IB35" s="19"/>
      <c r="IC35" s="19"/>
      <c r="ID35" s="19"/>
      <c r="IF35" s="8"/>
      <c r="IG35" s="7"/>
      <c r="IH35" s="19"/>
      <c r="II35" s="19"/>
      <c r="IJ35" s="19"/>
      <c r="IK35" s="19"/>
      <c r="IM35" s="8"/>
      <c r="IN35" s="7"/>
      <c r="IO35" s="19"/>
      <c r="IP35" s="19"/>
      <c r="IQ35" s="19"/>
      <c r="IR35" s="19"/>
      <c r="IT35" s="8"/>
      <c r="IU35" s="7"/>
      <c r="IV35" s="19"/>
      <c r="IW35" s="19"/>
      <c r="IX35" s="19"/>
      <c r="IY35" s="19"/>
      <c r="JA35" s="8"/>
      <c r="JB35" s="7"/>
      <c r="JC35" s="19"/>
      <c r="JD35" s="19"/>
      <c r="JE35" s="19"/>
      <c r="JF35" s="19"/>
      <c r="JH35" s="8"/>
      <c r="JI35" s="7"/>
      <c r="JJ35" s="19"/>
      <c r="JK35" s="19"/>
      <c r="JL35" s="19"/>
      <c r="JM35" s="19"/>
      <c r="JO35" s="8"/>
      <c r="JP35" s="7"/>
      <c r="JQ35" s="19"/>
      <c r="JR35" s="19"/>
      <c r="JS35" s="19"/>
      <c r="JT35" s="19"/>
      <c r="JV35" s="8"/>
      <c r="JW35" s="7"/>
      <c r="JX35" s="19"/>
      <c r="JY35" s="19"/>
      <c r="JZ35" s="19"/>
      <c r="KA35" s="19"/>
      <c r="KC35" s="8"/>
      <c r="KD35" s="7"/>
      <c r="KE35" s="19"/>
      <c r="KF35" s="19"/>
      <c r="KG35" s="19"/>
      <c r="KH35" s="19"/>
      <c r="KJ35" s="8"/>
      <c r="KK35" s="7"/>
      <c r="KL35" s="19"/>
      <c r="KM35" s="19"/>
      <c r="KN35" s="19"/>
      <c r="KO35" s="19"/>
      <c r="KQ35" s="8"/>
      <c r="KR35" s="7"/>
      <c r="KS35" s="19"/>
      <c r="KT35" s="19"/>
      <c r="KU35" s="19"/>
      <c r="KV35" s="19"/>
      <c r="KX35" s="8"/>
      <c r="KY35" s="7"/>
      <c r="KZ35" s="19"/>
      <c r="LA35" s="19"/>
      <c r="LB35" s="19"/>
      <c r="LC35" s="19"/>
      <c r="LE35" s="8"/>
      <c r="LF35" s="7"/>
      <c r="LG35" s="19"/>
      <c r="LH35" s="19"/>
      <c r="LI35" s="19"/>
      <c r="LJ35" s="19"/>
      <c r="LL35" s="8"/>
      <c r="LM35" s="7"/>
      <c r="LN35" s="19"/>
      <c r="LO35" s="19"/>
      <c r="LP35" s="19"/>
      <c r="LQ35" s="19"/>
      <c r="LS35" s="8"/>
      <c r="LT35" s="7"/>
      <c r="LU35" s="19"/>
      <c r="LV35" s="19"/>
      <c r="LW35" s="19"/>
      <c r="LX35" s="19"/>
      <c r="LZ35" s="8"/>
      <c r="MA35" s="7"/>
      <c r="MB35" s="19"/>
      <c r="MC35" s="19"/>
      <c r="MD35" s="19"/>
      <c r="ME35" s="19"/>
      <c r="MG35" s="8"/>
      <c r="MH35" s="7"/>
      <c r="MI35" s="19"/>
      <c r="MJ35" s="19"/>
      <c r="MK35" s="19"/>
      <c r="ML35" s="19"/>
      <c r="MN35" s="8"/>
      <c r="MO35" s="7"/>
      <c r="MP35" s="19"/>
      <c r="MQ35" s="19"/>
      <c r="MR35" s="19"/>
      <c r="MS35" s="19"/>
      <c r="MU35" s="8"/>
      <c r="MV35" s="7"/>
      <c r="MW35" s="19"/>
      <c r="MX35" s="19"/>
      <c r="MY35" s="19"/>
      <c r="MZ35" s="19"/>
      <c r="NB35" s="8"/>
      <c r="NC35" s="7"/>
      <c r="ND35" s="19"/>
      <c r="NE35" s="19"/>
      <c r="NF35" s="19"/>
      <c r="NG35" s="19"/>
      <c r="NI35" s="8"/>
      <c r="NJ35" s="7"/>
      <c r="NK35" s="19"/>
      <c r="NL35" s="19"/>
      <c r="NM35" s="19"/>
      <c r="NN35" s="19"/>
      <c r="NP35" s="8"/>
      <c r="NQ35" s="7"/>
      <c r="NR35" s="19"/>
      <c r="NS35" s="19"/>
      <c r="NT35" s="19"/>
      <c r="NU35" s="19"/>
      <c r="NW35" s="8"/>
      <c r="NX35" s="7"/>
      <c r="NY35" s="19"/>
      <c r="NZ35" s="19"/>
      <c r="OA35" s="19"/>
      <c r="OB35" s="19"/>
      <c r="OD35" s="8"/>
      <c r="OE35" s="7"/>
      <c r="OF35" s="19"/>
      <c r="OG35" s="19"/>
      <c r="OH35" s="19"/>
      <c r="OI35" s="19"/>
      <c r="OK35" s="8"/>
      <c r="OL35" s="7"/>
      <c r="OM35" s="19"/>
      <c r="ON35" s="19"/>
      <c r="OO35" s="19"/>
      <c r="OP35" s="19"/>
      <c r="OR35" s="8"/>
      <c r="OS35" s="7"/>
      <c r="OT35" s="19"/>
      <c r="OU35" s="19"/>
      <c r="OV35" s="19"/>
      <c r="OW35" s="19"/>
      <c r="OY35" s="8"/>
      <c r="OZ35" s="7"/>
      <c r="PA35" s="19"/>
      <c r="PB35" s="19"/>
      <c r="PC35" s="19"/>
      <c r="PD35" s="19"/>
      <c r="PF35" s="8"/>
      <c r="PG35" s="7"/>
      <c r="PH35" s="19"/>
      <c r="PI35" s="19"/>
      <c r="PJ35" s="19"/>
      <c r="PK35" s="19"/>
      <c r="PM35" s="8"/>
    </row>
    <row r="36" spans="1:429" s="1" customFormat="1" ht="26" customHeight="1" outlineLevel="1">
      <c r="B36" s="471"/>
      <c r="C36" s="7"/>
      <c r="D36" s="19"/>
      <c r="E36" s="19"/>
      <c r="F36" s="19"/>
      <c r="G36" s="19"/>
      <c r="I36" s="8"/>
      <c r="J36" s="7"/>
      <c r="K36" s="19"/>
      <c r="L36" s="19"/>
      <c r="M36" s="19"/>
      <c r="N36" s="19"/>
      <c r="P36" s="8"/>
      <c r="Q36" s="7"/>
      <c r="R36" s="19"/>
      <c r="S36" s="19"/>
      <c r="T36" s="19"/>
      <c r="U36" s="19"/>
      <c r="W36" s="8"/>
      <c r="X36" s="7"/>
      <c r="Y36" s="19"/>
      <c r="Z36" s="19"/>
      <c r="AA36" s="19"/>
      <c r="AB36" s="19"/>
      <c r="AD36" s="8"/>
      <c r="AE36" s="7"/>
      <c r="AF36" s="19"/>
      <c r="AG36" s="19"/>
      <c r="AH36" s="19"/>
      <c r="AI36" s="19"/>
      <c r="AK36" s="8"/>
      <c r="AL36" s="7"/>
      <c r="AM36" s="19"/>
      <c r="AN36" s="19"/>
      <c r="AO36" s="19"/>
      <c r="AP36" s="19"/>
      <c r="AR36" s="8"/>
      <c r="AS36" s="7"/>
      <c r="AT36" s="19"/>
      <c r="AU36" s="19"/>
      <c r="AV36" s="19"/>
      <c r="AW36" s="19"/>
      <c r="AY36" s="8"/>
      <c r="AZ36" s="7"/>
      <c r="BA36" s="19"/>
      <c r="BB36" s="19"/>
      <c r="BC36" s="19"/>
      <c r="BD36" s="19"/>
      <c r="BF36" s="8"/>
      <c r="BG36" s="7"/>
      <c r="BH36" s="19"/>
      <c r="BI36" s="19"/>
      <c r="BJ36" s="19"/>
      <c r="BK36" s="19"/>
      <c r="BM36" s="8"/>
      <c r="BN36" s="7"/>
      <c r="BO36" s="19"/>
      <c r="BP36" s="19"/>
      <c r="BQ36" s="19"/>
      <c r="BR36" s="19"/>
      <c r="BT36" s="8"/>
      <c r="BU36" s="7"/>
      <c r="BV36" s="19"/>
      <c r="BW36" s="19"/>
      <c r="BX36" s="19"/>
      <c r="BY36" s="19"/>
      <c r="CA36" s="8"/>
      <c r="CB36" s="7"/>
      <c r="CC36" s="19"/>
      <c r="CD36" s="19"/>
      <c r="CE36" s="19"/>
      <c r="CF36" s="19"/>
      <c r="CH36" s="8"/>
      <c r="CI36" s="7"/>
      <c r="CJ36" s="19"/>
      <c r="CK36" s="19"/>
      <c r="CL36" s="19"/>
      <c r="CM36" s="19"/>
      <c r="CO36" s="8"/>
      <c r="CP36" s="7"/>
      <c r="CQ36" s="19"/>
      <c r="CR36" s="19"/>
      <c r="CS36" s="19"/>
      <c r="CT36" s="19"/>
      <c r="CV36" s="8"/>
      <c r="CW36" s="7"/>
      <c r="CX36" s="19"/>
      <c r="CY36" s="19"/>
      <c r="CZ36" s="19"/>
      <c r="DA36" s="19"/>
      <c r="DC36" s="8"/>
      <c r="DD36" s="7"/>
      <c r="DE36" s="19"/>
      <c r="DF36" s="19"/>
      <c r="DG36" s="19"/>
      <c r="DH36" s="19"/>
      <c r="DJ36" s="8"/>
      <c r="DK36" s="7" t="s">
        <v>110</v>
      </c>
      <c r="DL36" s="19" t="s">
        <v>167</v>
      </c>
      <c r="DM36" s="19"/>
      <c r="DN36" s="19"/>
      <c r="DO36" s="19"/>
      <c r="DQ36" s="8">
        <v>6</v>
      </c>
      <c r="DR36" s="7" t="s">
        <v>110</v>
      </c>
      <c r="DS36" s="19" t="s">
        <v>174</v>
      </c>
      <c r="DT36" s="19"/>
      <c r="DU36" s="19"/>
      <c r="DV36" s="19"/>
      <c r="DX36" s="8">
        <v>6</v>
      </c>
      <c r="DY36" s="7" t="s">
        <v>110</v>
      </c>
      <c r="DZ36" s="19" t="s">
        <v>214</v>
      </c>
      <c r="EA36" s="19"/>
      <c r="EB36" s="19"/>
      <c r="EC36" s="19"/>
      <c r="EE36" s="8">
        <v>6</v>
      </c>
      <c r="EF36" s="7"/>
      <c r="EG36" s="19"/>
      <c r="EH36" s="19"/>
      <c r="EI36" s="19"/>
      <c r="EJ36" s="19"/>
      <c r="EL36" s="8"/>
      <c r="EM36" s="7" t="s">
        <v>450</v>
      </c>
      <c r="EN36" s="19" t="s">
        <v>451</v>
      </c>
      <c r="EO36" s="19"/>
      <c r="EP36" s="19"/>
      <c r="EQ36" s="19"/>
      <c r="ES36" s="8" t="s">
        <v>172</v>
      </c>
      <c r="ET36" s="7" t="s">
        <v>450</v>
      </c>
      <c r="EU36" s="19" t="s">
        <v>451</v>
      </c>
      <c r="EV36" s="19"/>
      <c r="EW36" s="19"/>
      <c r="EX36" s="19"/>
      <c r="EZ36" s="8" t="s">
        <v>172</v>
      </c>
      <c r="FA36" s="7"/>
      <c r="FB36" s="19"/>
      <c r="FC36" s="19"/>
      <c r="FD36" s="19"/>
      <c r="FE36" s="19"/>
      <c r="FG36" s="8"/>
      <c r="FH36" s="7"/>
      <c r="FI36" s="19"/>
      <c r="FJ36" s="19"/>
      <c r="FK36" s="19"/>
      <c r="FL36" s="19"/>
      <c r="FN36" s="8"/>
      <c r="FO36" s="7"/>
      <c r="FP36" s="19"/>
      <c r="FQ36" s="19"/>
      <c r="FR36" s="19"/>
      <c r="FS36" s="19"/>
      <c r="FU36" s="8"/>
      <c r="FV36" s="7"/>
      <c r="FW36" s="19"/>
      <c r="FX36" s="19"/>
      <c r="FY36" s="19"/>
      <c r="FZ36" s="19"/>
      <c r="GB36" s="8"/>
      <c r="GC36" s="7"/>
      <c r="GD36" s="19"/>
      <c r="GE36" s="19"/>
      <c r="GF36" s="19"/>
      <c r="GG36" s="19"/>
      <c r="GI36" s="8"/>
      <c r="GJ36" s="7"/>
      <c r="GK36" s="19"/>
      <c r="GL36" s="19"/>
      <c r="GM36" s="19"/>
      <c r="GN36" s="19"/>
      <c r="GP36" s="8"/>
      <c r="GQ36" s="7"/>
      <c r="GR36" s="19"/>
      <c r="GS36" s="19"/>
      <c r="GT36" s="19"/>
      <c r="GU36" s="19"/>
      <c r="GW36" s="8"/>
      <c r="GX36" s="7"/>
      <c r="GY36" s="19"/>
      <c r="GZ36" s="19"/>
      <c r="HA36" s="19"/>
      <c r="HB36" s="19"/>
      <c r="HD36" s="8"/>
      <c r="HE36" s="7"/>
      <c r="HF36" s="19"/>
      <c r="HG36" s="19"/>
      <c r="HH36" s="19"/>
      <c r="HI36" s="19"/>
      <c r="HK36" s="8"/>
      <c r="HL36" s="7"/>
      <c r="HM36" s="19"/>
      <c r="HN36" s="19"/>
      <c r="HO36" s="19"/>
      <c r="HP36" s="19"/>
      <c r="HR36" s="8"/>
      <c r="HS36" s="7"/>
      <c r="HT36" s="19"/>
      <c r="HU36" s="19"/>
      <c r="HV36" s="19"/>
      <c r="HW36" s="19"/>
      <c r="HY36" s="8"/>
      <c r="HZ36" s="7"/>
      <c r="IA36" s="19"/>
      <c r="IB36" s="19"/>
      <c r="IC36" s="19"/>
      <c r="ID36" s="19"/>
      <c r="IF36" s="8"/>
      <c r="IG36" s="7"/>
      <c r="IH36" s="19"/>
      <c r="II36" s="19"/>
      <c r="IJ36" s="19"/>
      <c r="IK36" s="19"/>
      <c r="IM36" s="8"/>
      <c r="IN36" s="7"/>
      <c r="IO36" s="19"/>
      <c r="IP36" s="19"/>
      <c r="IQ36" s="19"/>
      <c r="IR36" s="19"/>
      <c r="IT36" s="8"/>
      <c r="IU36" s="7"/>
      <c r="IV36" s="19"/>
      <c r="IW36" s="19"/>
      <c r="IX36" s="19"/>
      <c r="IY36" s="19"/>
      <c r="JA36" s="8"/>
      <c r="JB36" s="7"/>
      <c r="JC36" s="19"/>
      <c r="JD36" s="19"/>
      <c r="JE36" s="19"/>
      <c r="JF36" s="19"/>
      <c r="JH36" s="8"/>
      <c r="JI36" s="7"/>
      <c r="JJ36" s="19"/>
      <c r="JK36" s="19"/>
      <c r="JL36" s="19"/>
      <c r="JM36" s="19"/>
      <c r="JO36" s="8"/>
      <c r="JP36" s="7"/>
      <c r="JQ36" s="19"/>
      <c r="JR36" s="19"/>
      <c r="JS36" s="19"/>
      <c r="JT36" s="19"/>
      <c r="JV36" s="8"/>
      <c r="JW36" s="7"/>
      <c r="JX36" s="19"/>
      <c r="JY36" s="19"/>
      <c r="JZ36" s="19"/>
      <c r="KA36" s="19"/>
      <c r="KC36" s="8"/>
      <c r="KD36" s="7"/>
      <c r="KE36" s="19"/>
      <c r="KF36" s="19"/>
      <c r="KG36" s="19"/>
      <c r="KH36" s="19"/>
      <c r="KJ36" s="8"/>
      <c r="KK36" s="7"/>
      <c r="KL36" s="19"/>
      <c r="KM36" s="19"/>
      <c r="KN36" s="19"/>
      <c r="KO36" s="19"/>
      <c r="KQ36" s="8"/>
      <c r="KR36" s="7"/>
      <c r="KS36" s="19"/>
      <c r="KT36" s="19"/>
      <c r="KU36" s="19"/>
      <c r="KV36" s="19"/>
      <c r="KX36" s="8"/>
      <c r="KY36" s="7"/>
      <c r="KZ36" s="19"/>
      <c r="LA36" s="19"/>
      <c r="LB36" s="19"/>
      <c r="LC36" s="19"/>
      <c r="LE36" s="8"/>
      <c r="LF36" s="7"/>
      <c r="LG36" s="19"/>
      <c r="LH36" s="19"/>
      <c r="LI36" s="19"/>
      <c r="LJ36" s="19"/>
      <c r="LL36" s="8"/>
      <c r="LM36" s="7"/>
      <c r="LN36" s="19"/>
      <c r="LO36" s="19"/>
      <c r="LP36" s="19"/>
      <c r="LQ36" s="19"/>
      <c r="LS36" s="8"/>
      <c r="LT36" s="7"/>
      <c r="LU36" s="19"/>
      <c r="LV36" s="19"/>
      <c r="LW36" s="19"/>
      <c r="LX36" s="19"/>
      <c r="LZ36" s="8"/>
      <c r="MA36" s="7"/>
      <c r="MB36" s="19"/>
      <c r="MC36" s="19"/>
      <c r="MD36" s="19"/>
      <c r="ME36" s="19"/>
      <c r="MG36" s="8"/>
      <c r="MH36" s="7"/>
      <c r="MI36" s="19"/>
      <c r="MJ36" s="19"/>
      <c r="MK36" s="19"/>
      <c r="ML36" s="19"/>
      <c r="MN36" s="8"/>
      <c r="MO36" s="7"/>
      <c r="MP36" s="19"/>
      <c r="MQ36" s="19"/>
      <c r="MR36" s="19"/>
      <c r="MS36" s="19"/>
      <c r="MU36" s="8"/>
      <c r="MV36" s="7"/>
      <c r="MW36" s="19"/>
      <c r="MX36" s="19"/>
      <c r="MY36" s="19"/>
      <c r="MZ36" s="19"/>
      <c r="NB36" s="8"/>
      <c r="NC36" s="7"/>
      <c r="ND36" s="19"/>
      <c r="NE36" s="19"/>
      <c r="NF36" s="19"/>
      <c r="NG36" s="19"/>
      <c r="NI36" s="8"/>
      <c r="NJ36" s="7"/>
      <c r="NK36" s="19"/>
      <c r="NL36" s="19"/>
      <c r="NM36" s="19"/>
      <c r="NN36" s="19"/>
      <c r="NP36" s="8"/>
      <c r="NQ36" s="7"/>
      <c r="NR36" s="19"/>
      <c r="NS36" s="19"/>
      <c r="NT36" s="19"/>
      <c r="NU36" s="19"/>
      <c r="NW36" s="8"/>
      <c r="NX36" s="7"/>
      <c r="NY36" s="19"/>
      <c r="NZ36" s="19"/>
      <c r="OA36" s="19"/>
      <c r="OB36" s="19"/>
      <c r="OD36" s="8"/>
      <c r="OE36" s="7"/>
      <c r="OF36" s="19"/>
      <c r="OG36" s="19"/>
      <c r="OH36" s="19"/>
      <c r="OI36" s="19"/>
      <c r="OK36" s="8"/>
      <c r="OL36" s="7"/>
      <c r="OM36" s="19"/>
      <c r="ON36" s="19"/>
      <c r="OO36" s="19"/>
      <c r="OP36" s="19"/>
      <c r="OR36" s="8"/>
      <c r="OS36" s="7"/>
      <c r="OT36" s="19"/>
      <c r="OU36" s="19"/>
      <c r="OV36" s="19"/>
      <c r="OW36" s="19"/>
      <c r="OY36" s="8"/>
      <c r="OZ36" s="7"/>
      <c r="PA36" s="19"/>
      <c r="PB36" s="19"/>
      <c r="PC36" s="19"/>
      <c r="PD36" s="19"/>
      <c r="PF36" s="8"/>
      <c r="PG36" s="7"/>
      <c r="PH36" s="19"/>
      <c r="PI36" s="19"/>
      <c r="PJ36" s="19"/>
      <c r="PK36" s="19"/>
      <c r="PM36" s="8"/>
    </row>
    <row r="37" spans="1:429" s="1" customFormat="1" ht="26" customHeight="1" outlineLevel="1">
      <c r="B37" s="471"/>
      <c r="C37" s="7"/>
      <c r="D37" s="19"/>
      <c r="E37" s="19"/>
      <c r="F37" s="19"/>
      <c r="G37" s="19"/>
      <c r="I37" s="8"/>
      <c r="J37" s="7"/>
      <c r="K37" s="19"/>
      <c r="L37" s="19"/>
      <c r="M37" s="19"/>
      <c r="N37" s="19"/>
      <c r="P37" s="8"/>
      <c r="Q37" s="7"/>
      <c r="R37" s="19"/>
      <c r="S37" s="19"/>
      <c r="T37" s="19"/>
      <c r="U37" s="19"/>
      <c r="W37" s="8"/>
      <c r="X37" s="7"/>
      <c r="Y37" s="19"/>
      <c r="Z37" s="19"/>
      <c r="AA37" s="19"/>
      <c r="AB37" s="19"/>
      <c r="AD37" s="8"/>
      <c r="AE37" s="7"/>
      <c r="AF37" s="19"/>
      <c r="AG37" s="19"/>
      <c r="AH37" s="19"/>
      <c r="AI37" s="19"/>
      <c r="AK37" s="8"/>
      <c r="AL37" s="7"/>
      <c r="AM37" s="19"/>
      <c r="AN37" s="19"/>
      <c r="AO37" s="19"/>
      <c r="AP37" s="19"/>
      <c r="AR37" s="8"/>
      <c r="AS37" s="7"/>
      <c r="AT37" s="19"/>
      <c r="AU37" s="19"/>
      <c r="AV37" s="19"/>
      <c r="AW37" s="19"/>
      <c r="AY37" s="8"/>
      <c r="AZ37" s="7"/>
      <c r="BA37" s="19"/>
      <c r="BB37" s="19"/>
      <c r="BC37" s="19"/>
      <c r="BD37" s="19"/>
      <c r="BF37" s="8"/>
      <c r="BG37" s="7"/>
      <c r="BH37" s="19"/>
      <c r="BI37" s="19"/>
      <c r="BJ37" s="19"/>
      <c r="BK37" s="19"/>
      <c r="BM37" s="8"/>
      <c r="BN37" s="7"/>
      <c r="BO37" s="19"/>
      <c r="BP37" s="19"/>
      <c r="BQ37" s="19"/>
      <c r="BR37" s="19"/>
      <c r="BT37" s="8"/>
      <c r="BU37" s="7"/>
      <c r="BV37" s="19"/>
      <c r="BW37" s="19"/>
      <c r="BX37" s="19"/>
      <c r="BY37" s="19"/>
      <c r="CA37" s="8"/>
      <c r="CB37" s="7"/>
      <c r="CC37" s="19"/>
      <c r="CD37" s="19"/>
      <c r="CE37" s="19"/>
      <c r="CF37" s="19"/>
      <c r="CH37" s="8"/>
      <c r="CI37" s="7"/>
      <c r="CJ37" s="19"/>
      <c r="CK37" s="19"/>
      <c r="CL37" s="19"/>
      <c r="CM37" s="19"/>
      <c r="CO37" s="8"/>
      <c r="CP37" s="7"/>
      <c r="CQ37" s="19"/>
      <c r="CR37" s="19"/>
      <c r="CS37" s="19"/>
      <c r="CT37" s="19"/>
      <c r="CV37" s="8"/>
      <c r="CW37" s="7"/>
      <c r="CX37" s="19"/>
      <c r="CY37" s="19"/>
      <c r="CZ37" s="19"/>
      <c r="DA37" s="19"/>
      <c r="DC37" s="8"/>
      <c r="DD37" s="7"/>
      <c r="DE37" s="19"/>
      <c r="DF37" s="19"/>
      <c r="DG37" s="19"/>
      <c r="DH37" s="19"/>
      <c r="DJ37" s="8"/>
      <c r="DK37" s="7" t="s">
        <v>111</v>
      </c>
      <c r="DL37" s="19" t="s">
        <v>168</v>
      </c>
      <c r="DM37" s="19"/>
      <c r="DN37" s="19"/>
      <c r="DO37" s="19"/>
      <c r="DQ37" s="8">
        <v>6</v>
      </c>
      <c r="DR37" s="7" t="s">
        <v>111</v>
      </c>
      <c r="DS37" s="19" t="s">
        <v>168</v>
      </c>
      <c r="DT37" s="19"/>
      <c r="DU37" s="19"/>
      <c r="DV37" s="19"/>
      <c r="DX37" s="8">
        <v>6</v>
      </c>
      <c r="DY37" s="7" t="s">
        <v>111</v>
      </c>
      <c r="DZ37" s="19" t="s">
        <v>215</v>
      </c>
      <c r="EA37" s="19"/>
      <c r="EB37" s="19"/>
      <c r="EC37" s="19"/>
      <c r="EE37" s="8">
        <v>3</v>
      </c>
      <c r="EF37" s="7"/>
      <c r="EG37" s="19"/>
      <c r="EH37" s="19"/>
      <c r="EI37" s="19"/>
      <c r="EJ37" s="19"/>
      <c r="EL37" s="8"/>
      <c r="EM37" s="7"/>
      <c r="EN37" s="19"/>
      <c r="EO37" s="19"/>
      <c r="EP37" s="19"/>
      <c r="EQ37" s="19"/>
      <c r="ES37" s="8"/>
      <c r="ET37" s="7"/>
      <c r="EU37" s="19"/>
      <c r="EV37" s="19"/>
      <c r="EW37" s="19"/>
      <c r="EX37" s="19"/>
      <c r="EZ37" s="8"/>
      <c r="FA37" s="7"/>
      <c r="FB37" s="19"/>
      <c r="FC37" s="19"/>
      <c r="FD37" s="19"/>
      <c r="FE37" s="19"/>
      <c r="FG37" s="8"/>
      <c r="FH37" s="7"/>
      <c r="FI37" s="19"/>
      <c r="FJ37" s="19"/>
      <c r="FK37" s="19"/>
      <c r="FL37" s="19"/>
      <c r="FN37" s="8"/>
      <c r="FO37" s="7"/>
      <c r="FP37" s="19"/>
      <c r="FQ37" s="19"/>
      <c r="FR37" s="19"/>
      <c r="FS37" s="19"/>
      <c r="FU37" s="8"/>
      <c r="FV37" s="7"/>
      <c r="FW37" s="19"/>
      <c r="FX37" s="19"/>
      <c r="FY37" s="19"/>
      <c r="FZ37" s="19"/>
      <c r="GB37" s="8"/>
      <c r="GC37" s="7"/>
      <c r="GD37" s="19"/>
      <c r="GE37" s="19"/>
      <c r="GF37" s="19"/>
      <c r="GG37" s="19"/>
      <c r="GI37" s="8"/>
      <c r="GJ37" s="7"/>
      <c r="GK37" s="19"/>
      <c r="GL37" s="19"/>
      <c r="GM37" s="19"/>
      <c r="GN37" s="19"/>
      <c r="GP37" s="8"/>
      <c r="GQ37" s="7"/>
      <c r="GR37" s="19"/>
      <c r="GS37" s="19"/>
      <c r="GT37" s="19"/>
      <c r="GU37" s="19"/>
      <c r="GW37" s="8"/>
      <c r="GX37" s="7"/>
      <c r="GY37" s="19"/>
      <c r="GZ37" s="19"/>
      <c r="HA37" s="19"/>
      <c r="HB37" s="19"/>
      <c r="HD37" s="8"/>
      <c r="HE37" s="7"/>
      <c r="HF37" s="19"/>
      <c r="HG37" s="19"/>
      <c r="HH37" s="19"/>
      <c r="HI37" s="19"/>
      <c r="HK37" s="8"/>
      <c r="HL37" s="7"/>
      <c r="HM37" s="19"/>
      <c r="HN37" s="19"/>
      <c r="HO37" s="19"/>
      <c r="HP37" s="19"/>
      <c r="HR37" s="8"/>
      <c r="HS37" s="7"/>
      <c r="HT37" s="19"/>
      <c r="HU37" s="19"/>
      <c r="HV37" s="19"/>
      <c r="HW37" s="19"/>
      <c r="HY37" s="8"/>
      <c r="HZ37" s="7"/>
      <c r="IA37" s="19"/>
      <c r="IB37" s="19"/>
      <c r="IC37" s="19"/>
      <c r="ID37" s="19"/>
      <c r="IF37" s="8"/>
      <c r="IG37" s="7"/>
      <c r="IH37" s="19"/>
      <c r="II37" s="19"/>
      <c r="IJ37" s="19"/>
      <c r="IK37" s="19"/>
      <c r="IM37" s="8"/>
      <c r="IN37" s="7"/>
      <c r="IO37" s="19"/>
      <c r="IP37" s="19"/>
      <c r="IQ37" s="19"/>
      <c r="IR37" s="19"/>
      <c r="IT37" s="8"/>
      <c r="IU37" s="7"/>
      <c r="IV37" s="19"/>
      <c r="IW37" s="19"/>
      <c r="IX37" s="19"/>
      <c r="IY37" s="19"/>
      <c r="JA37" s="8"/>
      <c r="JB37" s="7"/>
      <c r="JC37" s="19"/>
      <c r="JD37" s="19"/>
      <c r="JE37" s="19"/>
      <c r="JF37" s="19"/>
      <c r="JH37" s="8"/>
      <c r="JI37" s="7"/>
      <c r="JJ37" s="19"/>
      <c r="JK37" s="19"/>
      <c r="JL37" s="19"/>
      <c r="JM37" s="19"/>
      <c r="JO37" s="8"/>
      <c r="JP37" s="7"/>
      <c r="JQ37" s="19"/>
      <c r="JR37" s="19"/>
      <c r="JS37" s="19"/>
      <c r="JT37" s="19"/>
      <c r="JV37" s="8"/>
      <c r="JW37" s="7"/>
      <c r="JX37" s="19"/>
      <c r="JY37" s="19"/>
      <c r="JZ37" s="19"/>
      <c r="KA37" s="19"/>
      <c r="KC37" s="8"/>
      <c r="KD37" s="7"/>
      <c r="KE37" s="19"/>
      <c r="KF37" s="19"/>
      <c r="KG37" s="19"/>
      <c r="KH37" s="19"/>
      <c r="KJ37" s="8"/>
      <c r="KK37" s="7"/>
      <c r="KL37" s="19"/>
      <c r="KM37" s="19"/>
      <c r="KN37" s="19"/>
      <c r="KO37" s="19"/>
      <c r="KQ37" s="8"/>
      <c r="KR37" s="7"/>
      <c r="KS37" s="19"/>
      <c r="KT37" s="19"/>
      <c r="KU37" s="19"/>
      <c r="KV37" s="19"/>
      <c r="KX37" s="8"/>
      <c r="KY37" s="7"/>
      <c r="KZ37" s="19"/>
      <c r="LA37" s="19"/>
      <c r="LB37" s="19"/>
      <c r="LC37" s="19"/>
      <c r="LE37" s="8"/>
      <c r="LF37" s="7"/>
      <c r="LG37" s="19"/>
      <c r="LH37" s="19"/>
      <c r="LI37" s="19"/>
      <c r="LJ37" s="19"/>
      <c r="LL37" s="8"/>
      <c r="LM37" s="7"/>
      <c r="LN37" s="19"/>
      <c r="LO37" s="19"/>
      <c r="LP37" s="19"/>
      <c r="LQ37" s="19"/>
      <c r="LS37" s="8"/>
      <c r="LT37" s="7"/>
      <c r="LU37" s="19"/>
      <c r="LV37" s="19"/>
      <c r="LW37" s="19"/>
      <c r="LX37" s="19"/>
      <c r="LZ37" s="8"/>
      <c r="MA37" s="7"/>
      <c r="MB37" s="19"/>
      <c r="MC37" s="19"/>
      <c r="MD37" s="19"/>
      <c r="ME37" s="19"/>
      <c r="MG37" s="8"/>
      <c r="MH37" s="7"/>
      <c r="MI37" s="19"/>
      <c r="MJ37" s="19"/>
      <c r="MK37" s="19"/>
      <c r="ML37" s="19"/>
      <c r="MN37" s="8"/>
      <c r="MO37" s="7"/>
      <c r="MP37" s="19"/>
      <c r="MQ37" s="19"/>
      <c r="MR37" s="19"/>
      <c r="MS37" s="19"/>
      <c r="MU37" s="8"/>
      <c r="MV37" s="7"/>
      <c r="MW37" s="19"/>
      <c r="MX37" s="19"/>
      <c r="MY37" s="19"/>
      <c r="MZ37" s="19"/>
      <c r="NB37" s="8"/>
      <c r="NC37" s="7"/>
      <c r="ND37" s="19"/>
      <c r="NE37" s="19"/>
      <c r="NF37" s="19"/>
      <c r="NG37" s="19"/>
      <c r="NI37" s="8"/>
      <c r="NJ37" s="7"/>
      <c r="NK37" s="19"/>
      <c r="NL37" s="19"/>
      <c r="NM37" s="19"/>
      <c r="NN37" s="19"/>
      <c r="NP37" s="8"/>
      <c r="NQ37" s="7"/>
      <c r="NR37" s="19"/>
      <c r="NS37" s="19"/>
      <c r="NT37" s="19"/>
      <c r="NU37" s="19"/>
      <c r="NW37" s="8"/>
      <c r="NX37" s="7"/>
      <c r="NY37" s="19"/>
      <c r="NZ37" s="19"/>
      <c r="OA37" s="19"/>
      <c r="OB37" s="19"/>
      <c r="OD37" s="8"/>
      <c r="OE37" s="7"/>
      <c r="OF37" s="19"/>
      <c r="OG37" s="19"/>
      <c r="OH37" s="19"/>
      <c r="OI37" s="19"/>
      <c r="OK37" s="8"/>
      <c r="OL37" s="7"/>
      <c r="OM37" s="19"/>
      <c r="ON37" s="19"/>
      <c r="OO37" s="19"/>
      <c r="OP37" s="19"/>
      <c r="OR37" s="8"/>
      <c r="OS37" s="7"/>
      <c r="OT37" s="19"/>
      <c r="OU37" s="19"/>
      <c r="OV37" s="19"/>
      <c r="OW37" s="19"/>
      <c r="OY37" s="8"/>
      <c r="OZ37" s="7"/>
      <c r="PA37" s="19"/>
      <c r="PB37" s="19"/>
      <c r="PC37" s="19"/>
      <c r="PD37" s="19"/>
      <c r="PF37" s="8"/>
      <c r="PG37" s="7"/>
      <c r="PH37" s="19"/>
      <c r="PI37" s="19"/>
      <c r="PJ37" s="19"/>
      <c r="PK37" s="19"/>
      <c r="PM37" s="8"/>
    </row>
    <row r="38" spans="1:429" s="1" customFormat="1" ht="26" customHeight="1" outlineLevel="1">
      <c r="B38" s="471"/>
      <c r="C38" s="7"/>
      <c r="D38" s="19"/>
      <c r="E38" s="19"/>
      <c r="F38" s="19"/>
      <c r="G38" s="19"/>
      <c r="I38" s="8"/>
      <c r="J38" s="7"/>
      <c r="K38" s="19"/>
      <c r="L38" s="19"/>
      <c r="M38" s="19"/>
      <c r="N38" s="19"/>
      <c r="P38" s="8"/>
      <c r="Q38" s="7"/>
      <c r="R38" s="19"/>
      <c r="S38" s="19"/>
      <c r="T38" s="19"/>
      <c r="U38" s="19"/>
      <c r="W38" s="8"/>
      <c r="X38" s="7"/>
      <c r="Y38" s="19"/>
      <c r="Z38" s="19"/>
      <c r="AA38" s="19"/>
      <c r="AB38" s="19"/>
      <c r="AD38" s="8"/>
      <c r="AE38" s="7"/>
      <c r="AF38" s="19"/>
      <c r="AG38" s="19"/>
      <c r="AH38" s="19"/>
      <c r="AI38" s="19"/>
      <c r="AK38" s="8"/>
      <c r="AL38" s="7"/>
      <c r="AM38" s="19"/>
      <c r="AN38" s="19"/>
      <c r="AO38" s="19"/>
      <c r="AP38" s="19"/>
      <c r="AR38" s="8"/>
      <c r="AS38" s="7"/>
      <c r="AT38" s="19"/>
      <c r="AU38" s="19"/>
      <c r="AV38" s="19"/>
      <c r="AW38" s="19"/>
      <c r="AY38" s="8"/>
      <c r="AZ38" s="7"/>
      <c r="BA38" s="19"/>
      <c r="BB38" s="19"/>
      <c r="BC38" s="19"/>
      <c r="BD38" s="19"/>
      <c r="BF38" s="8"/>
      <c r="BG38" s="7"/>
      <c r="BH38" s="19"/>
      <c r="BI38" s="19"/>
      <c r="BJ38" s="19"/>
      <c r="BK38" s="19"/>
      <c r="BM38" s="8"/>
      <c r="BN38" s="7"/>
      <c r="BO38" s="19"/>
      <c r="BP38" s="19"/>
      <c r="BQ38" s="19"/>
      <c r="BR38" s="19"/>
      <c r="BT38" s="8"/>
      <c r="BU38" s="7"/>
      <c r="BV38" s="19"/>
      <c r="BW38" s="19"/>
      <c r="BX38" s="19"/>
      <c r="BY38" s="19"/>
      <c r="CA38" s="8"/>
      <c r="CB38" s="7"/>
      <c r="CC38" s="19"/>
      <c r="CD38" s="19"/>
      <c r="CE38" s="19"/>
      <c r="CF38" s="19"/>
      <c r="CH38" s="8"/>
      <c r="CI38" s="7"/>
      <c r="CJ38" s="19"/>
      <c r="CK38" s="19"/>
      <c r="CL38" s="19"/>
      <c r="CM38" s="19"/>
      <c r="CO38" s="8"/>
      <c r="CP38" s="7"/>
      <c r="CQ38" s="19"/>
      <c r="CR38" s="19"/>
      <c r="CS38" s="19"/>
      <c r="CT38" s="19"/>
      <c r="CV38" s="8"/>
      <c r="CW38" s="7"/>
      <c r="CX38" s="19"/>
      <c r="CY38" s="19"/>
      <c r="CZ38" s="19"/>
      <c r="DA38" s="19"/>
      <c r="DC38" s="8"/>
      <c r="DD38" s="7"/>
      <c r="DE38" s="19"/>
      <c r="DF38" s="19"/>
      <c r="DG38" s="19"/>
      <c r="DH38" s="19"/>
      <c r="DJ38" s="8"/>
      <c r="DK38" s="7" t="s">
        <v>112</v>
      </c>
      <c r="DL38" s="19" t="s">
        <v>169</v>
      </c>
      <c r="DM38" s="19"/>
      <c r="DN38" s="19"/>
      <c r="DO38" s="19"/>
      <c r="DQ38" s="8">
        <v>6</v>
      </c>
      <c r="DR38" s="7" t="s">
        <v>112</v>
      </c>
      <c r="DS38" s="19" t="s">
        <v>169</v>
      </c>
      <c r="DT38" s="19"/>
      <c r="DU38" s="19"/>
      <c r="DV38" s="19"/>
      <c r="DX38" s="8">
        <v>6</v>
      </c>
      <c r="DY38" s="7" t="s">
        <v>112</v>
      </c>
      <c r="DZ38" s="19" t="s">
        <v>216</v>
      </c>
      <c r="EA38" s="19"/>
      <c r="EB38" s="19"/>
      <c r="EC38" s="19"/>
      <c r="EE38" s="8">
        <v>5</v>
      </c>
      <c r="EF38" s="7"/>
      <c r="EG38" s="19"/>
      <c r="EH38" s="19"/>
      <c r="EI38" s="19"/>
      <c r="EJ38" s="19"/>
      <c r="EL38" s="8"/>
      <c r="EM38" s="7"/>
      <c r="EN38" s="19"/>
      <c r="EO38" s="19"/>
      <c r="EP38" s="19"/>
      <c r="EQ38" s="19"/>
      <c r="ES38" s="8"/>
      <c r="ET38" s="7"/>
      <c r="EU38" s="19"/>
      <c r="EV38" s="19"/>
      <c r="EW38" s="19"/>
      <c r="EX38" s="19"/>
      <c r="EZ38" s="8"/>
      <c r="FA38" s="7"/>
      <c r="FB38" s="19"/>
      <c r="FC38" s="19"/>
      <c r="FD38" s="19"/>
      <c r="FE38" s="19"/>
      <c r="FG38" s="8"/>
      <c r="FH38" s="7"/>
      <c r="FI38" s="19"/>
      <c r="FJ38" s="19"/>
      <c r="FK38" s="19"/>
      <c r="FL38" s="19"/>
      <c r="FN38" s="8"/>
      <c r="FO38" s="7"/>
      <c r="FP38" s="19"/>
      <c r="FQ38" s="19"/>
      <c r="FR38" s="19"/>
      <c r="FS38" s="19"/>
      <c r="FU38" s="8"/>
      <c r="FV38" s="7"/>
      <c r="FW38" s="19"/>
      <c r="FX38" s="19"/>
      <c r="FY38" s="19"/>
      <c r="FZ38" s="19"/>
      <c r="GB38" s="8"/>
      <c r="GC38" s="7"/>
      <c r="GD38" s="19"/>
      <c r="GE38" s="19"/>
      <c r="GF38" s="19"/>
      <c r="GG38" s="19"/>
      <c r="GI38" s="8"/>
      <c r="GJ38" s="7"/>
      <c r="GK38" s="19"/>
      <c r="GL38" s="19"/>
      <c r="GM38" s="19"/>
      <c r="GN38" s="19"/>
      <c r="GP38" s="8"/>
      <c r="GQ38" s="7"/>
      <c r="GR38" s="19"/>
      <c r="GS38" s="19"/>
      <c r="GT38" s="19"/>
      <c r="GU38" s="19"/>
      <c r="GW38" s="8"/>
      <c r="GX38" s="7"/>
      <c r="GY38" s="19"/>
      <c r="GZ38" s="19"/>
      <c r="HA38" s="19"/>
      <c r="HB38" s="19"/>
      <c r="HD38" s="8"/>
      <c r="HE38" s="7"/>
      <c r="HF38" s="19"/>
      <c r="HG38" s="19"/>
      <c r="HH38" s="19"/>
      <c r="HI38" s="19"/>
      <c r="HK38" s="8"/>
      <c r="HL38" s="7"/>
      <c r="HM38" s="19"/>
      <c r="HN38" s="19"/>
      <c r="HO38" s="19"/>
      <c r="HP38" s="19"/>
      <c r="HR38" s="8"/>
      <c r="HS38" s="7"/>
      <c r="HT38" s="19"/>
      <c r="HU38" s="19"/>
      <c r="HV38" s="19"/>
      <c r="HW38" s="19"/>
      <c r="HY38" s="8"/>
      <c r="HZ38" s="7"/>
      <c r="IA38" s="19"/>
      <c r="IB38" s="19"/>
      <c r="IC38" s="19"/>
      <c r="ID38" s="19"/>
      <c r="IF38" s="8"/>
      <c r="IG38" s="7"/>
      <c r="IH38" s="19"/>
      <c r="II38" s="19"/>
      <c r="IJ38" s="19"/>
      <c r="IK38" s="19"/>
      <c r="IM38" s="8"/>
      <c r="IN38" s="7"/>
      <c r="IO38" s="19"/>
      <c r="IP38" s="19"/>
      <c r="IQ38" s="19"/>
      <c r="IR38" s="19"/>
      <c r="IT38" s="8"/>
      <c r="IU38" s="7"/>
      <c r="IV38" s="19"/>
      <c r="IW38" s="19"/>
      <c r="IX38" s="19"/>
      <c r="IY38" s="19"/>
      <c r="JA38" s="8"/>
      <c r="JB38" s="7"/>
      <c r="JC38" s="19"/>
      <c r="JD38" s="19"/>
      <c r="JE38" s="19"/>
      <c r="JF38" s="19"/>
      <c r="JH38" s="8"/>
      <c r="JI38" s="7"/>
      <c r="JJ38" s="19"/>
      <c r="JK38" s="19"/>
      <c r="JL38" s="19"/>
      <c r="JM38" s="19"/>
      <c r="JO38" s="8"/>
      <c r="JP38" s="7"/>
      <c r="JQ38" s="19"/>
      <c r="JR38" s="19"/>
      <c r="JS38" s="19"/>
      <c r="JT38" s="19"/>
      <c r="JV38" s="8"/>
      <c r="JW38" s="7"/>
      <c r="JX38" s="19"/>
      <c r="JY38" s="19"/>
      <c r="JZ38" s="19"/>
      <c r="KA38" s="19"/>
      <c r="KC38" s="8"/>
      <c r="KD38" s="7"/>
      <c r="KE38" s="19"/>
      <c r="KF38" s="19"/>
      <c r="KG38" s="19"/>
      <c r="KH38" s="19"/>
      <c r="KJ38" s="8"/>
      <c r="KK38" s="7"/>
      <c r="KL38" s="19"/>
      <c r="KM38" s="19"/>
      <c r="KN38" s="19"/>
      <c r="KO38" s="19"/>
      <c r="KQ38" s="8"/>
      <c r="KR38" s="7"/>
      <c r="KS38" s="19"/>
      <c r="KT38" s="19"/>
      <c r="KU38" s="19"/>
      <c r="KV38" s="19"/>
      <c r="KX38" s="8"/>
      <c r="KY38" s="7"/>
      <c r="KZ38" s="19"/>
      <c r="LA38" s="19"/>
      <c r="LB38" s="19"/>
      <c r="LC38" s="19"/>
      <c r="LE38" s="8"/>
      <c r="LF38" s="7"/>
      <c r="LG38" s="19"/>
      <c r="LH38" s="19"/>
      <c r="LI38" s="19"/>
      <c r="LJ38" s="19"/>
      <c r="LL38" s="8"/>
      <c r="LM38" s="7"/>
      <c r="LN38" s="19"/>
      <c r="LO38" s="19"/>
      <c r="LP38" s="19"/>
      <c r="LQ38" s="19"/>
      <c r="LS38" s="8"/>
      <c r="LT38" s="7"/>
      <c r="LU38" s="19"/>
      <c r="LV38" s="19"/>
      <c r="LW38" s="19"/>
      <c r="LX38" s="19"/>
      <c r="LZ38" s="8"/>
      <c r="MA38" s="7"/>
      <c r="MB38" s="19"/>
      <c r="MC38" s="19"/>
      <c r="MD38" s="19"/>
      <c r="ME38" s="19"/>
      <c r="MG38" s="8"/>
      <c r="MH38" s="7"/>
      <c r="MI38" s="19"/>
      <c r="MJ38" s="19"/>
      <c r="MK38" s="19"/>
      <c r="ML38" s="19"/>
      <c r="MN38" s="8"/>
      <c r="MO38" s="7"/>
      <c r="MP38" s="19"/>
      <c r="MQ38" s="19"/>
      <c r="MR38" s="19"/>
      <c r="MS38" s="19"/>
      <c r="MU38" s="8"/>
      <c r="MV38" s="7"/>
      <c r="MW38" s="19"/>
      <c r="MX38" s="19"/>
      <c r="MY38" s="19"/>
      <c r="MZ38" s="19"/>
      <c r="NB38" s="8"/>
      <c r="NC38" s="7"/>
      <c r="ND38" s="19"/>
      <c r="NE38" s="19"/>
      <c r="NF38" s="19"/>
      <c r="NG38" s="19"/>
      <c r="NI38" s="8"/>
      <c r="NJ38" s="7"/>
      <c r="NK38" s="19"/>
      <c r="NL38" s="19"/>
      <c r="NM38" s="19"/>
      <c r="NN38" s="19"/>
      <c r="NP38" s="8"/>
      <c r="NQ38" s="7"/>
      <c r="NR38" s="19"/>
      <c r="NS38" s="19"/>
      <c r="NT38" s="19"/>
      <c r="NU38" s="19"/>
      <c r="NW38" s="8"/>
      <c r="NX38" s="7"/>
      <c r="NY38" s="19"/>
      <c r="NZ38" s="19"/>
      <c r="OA38" s="19"/>
      <c r="OB38" s="19"/>
      <c r="OD38" s="8"/>
      <c r="OE38" s="7"/>
      <c r="OF38" s="19"/>
      <c r="OG38" s="19"/>
      <c r="OH38" s="19"/>
      <c r="OI38" s="19"/>
      <c r="OK38" s="8"/>
      <c r="OL38" s="7"/>
      <c r="OM38" s="19"/>
      <c r="ON38" s="19"/>
      <c r="OO38" s="19"/>
      <c r="OP38" s="19"/>
      <c r="OR38" s="8"/>
      <c r="OS38" s="7"/>
      <c r="OT38" s="19"/>
      <c r="OU38" s="19"/>
      <c r="OV38" s="19"/>
      <c r="OW38" s="19"/>
      <c r="OY38" s="8"/>
      <c r="OZ38" s="7"/>
      <c r="PA38" s="19"/>
      <c r="PB38" s="19"/>
      <c r="PC38" s="19"/>
      <c r="PD38" s="19"/>
      <c r="PF38" s="8"/>
      <c r="PG38" s="7"/>
      <c r="PH38" s="19"/>
      <c r="PI38" s="19"/>
      <c r="PJ38" s="19"/>
      <c r="PK38" s="19"/>
      <c r="PM38" s="8"/>
    </row>
    <row r="39" spans="1:429" s="1" customFormat="1" ht="26" customHeight="1" outlineLevel="1">
      <c r="B39" s="471"/>
      <c r="C39" s="7"/>
      <c r="D39" s="19"/>
      <c r="E39" s="19"/>
      <c r="F39" s="19"/>
      <c r="G39" s="19"/>
      <c r="I39" s="8"/>
      <c r="J39" s="7"/>
      <c r="K39" s="19"/>
      <c r="L39" s="19"/>
      <c r="M39" s="19"/>
      <c r="N39" s="19"/>
      <c r="P39" s="8"/>
      <c r="Q39" s="7"/>
      <c r="R39" s="19"/>
      <c r="S39" s="19"/>
      <c r="T39" s="19"/>
      <c r="U39" s="19"/>
      <c r="W39" s="8"/>
      <c r="X39" s="7"/>
      <c r="Y39" s="19"/>
      <c r="Z39" s="19"/>
      <c r="AA39" s="19"/>
      <c r="AB39" s="19"/>
      <c r="AD39" s="8"/>
      <c r="AE39" s="7"/>
      <c r="AF39" s="19"/>
      <c r="AG39" s="19"/>
      <c r="AH39" s="19"/>
      <c r="AI39" s="19"/>
      <c r="AK39" s="8"/>
      <c r="AL39" s="7"/>
      <c r="AM39" s="19"/>
      <c r="AN39" s="19"/>
      <c r="AO39" s="19"/>
      <c r="AP39" s="19"/>
      <c r="AR39" s="8"/>
      <c r="AS39" s="7"/>
      <c r="AT39" s="19"/>
      <c r="AU39" s="19"/>
      <c r="AV39" s="19"/>
      <c r="AW39" s="19"/>
      <c r="AY39" s="8"/>
      <c r="AZ39" s="7"/>
      <c r="BA39" s="19"/>
      <c r="BB39" s="19"/>
      <c r="BC39" s="19"/>
      <c r="BD39" s="19"/>
      <c r="BF39" s="8"/>
      <c r="BG39" s="7"/>
      <c r="BH39" s="19"/>
      <c r="BI39" s="19"/>
      <c r="BJ39" s="19"/>
      <c r="BK39" s="19"/>
      <c r="BM39" s="8"/>
      <c r="BN39" s="7"/>
      <c r="BO39" s="19"/>
      <c r="BP39" s="19"/>
      <c r="BQ39" s="19"/>
      <c r="BR39" s="19"/>
      <c r="BT39" s="8"/>
      <c r="BU39" s="7"/>
      <c r="BV39" s="19"/>
      <c r="BW39" s="19"/>
      <c r="BX39" s="19"/>
      <c r="BY39" s="19"/>
      <c r="CA39" s="8"/>
      <c r="CB39" s="7"/>
      <c r="CC39" s="19"/>
      <c r="CD39" s="19"/>
      <c r="CE39" s="19"/>
      <c r="CF39" s="19"/>
      <c r="CH39" s="8"/>
      <c r="CI39" s="7"/>
      <c r="CJ39" s="19"/>
      <c r="CK39" s="19"/>
      <c r="CL39" s="19"/>
      <c r="CM39" s="19"/>
      <c r="CO39" s="8"/>
      <c r="CP39" s="7"/>
      <c r="CQ39" s="19"/>
      <c r="CR39" s="19"/>
      <c r="CS39" s="19"/>
      <c r="CT39" s="19"/>
      <c r="CV39" s="8"/>
      <c r="CW39" s="7"/>
      <c r="CX39" s="19"/>
      <c r="CY39" s="19"/>
      <c r="CZ39" s="19"/>
      <c r="DA39" s="19"/>
      <c r="DC39" s="8"/>
      <c r="DD39" s="7"/>
      <c r="DE39" s="19"/>
      <c r="DF39" s="19"/>
      <c r="DG39" s="19"/>
      <c r="DH39" s="19"/>
      <c r="DJ39" s="8"/>
      <c r="DK39" s="7" t="s">
        <v>113</v>
      </c>
      <c r="DL39" s="19"/>
      <c r="DM39" s="19"/>
      <c r="DN39" s="19"/>
      <c r="DO39" s="19"/>
      <c r="DQ39" s="8"/>
      <c r="DR39" s="7" t="s">
        <v>113</v>
      </c>
      <c r="DS39" s="19"/>
      <c r="DT39" s="19"/>
      <c r="DU39" s="19"/>
      <c r="DV39" s="19"/>
      <c r="DX39" s="8"/>
      <c r="DY39" s="7" t="s">
        <v>113</v>
      </c>
      <c r="DZ39" s="19"/>
      <c r="EA39" s="19"/>
      <c r="EB39" s="19"/>
      <c r="EC39" s="19"/>
      <c r="EE39" s="8"/>
      <c r="EF39" s="7"/>
      <c r="EG39" s="19"/>
      <c r="EH39" s="19"/>
      <c r="EI39" s="19"/>
      <c r="EJ39" s="19"/>
      <c r="EL39" s="8"/>
      <c r="EM39" s="7"/>
      <c r="EN39" s="19"/>
      <c r="EO39" s="19"/>
      <c r="EP39" s="19"/>
      <c r="EQ39" s="19"/>
      <c r="ES39" s="8"/>
      <c r="ET39" s="7"/>
      <c r="EU39" s="19"/>
      <c r="EV39" s="19"/>
      <c r="EW39" s="19"/>
      <c r="EX39" s="19"/>
      <c r="EZ39" s="8"/>
      <c r="FA39" s="7"/>
      <c r="FB39" s="19"/>
      <c r="FC39" s="19"/>
      <c r="FD39" s="19"/>
      <c r="FE39" s="19"/>
      <c r="FG39" s="8"/>
      <c r="FH39" s="7"/>
      <c r="FI39" s="19"/>
      <c r="FJ39" s="19"/>
      <c r="FK39" s="19"/>
      <c r="FL39" s="19"/>
      <c r="FN39" s="8"/>
      <c r="FO39" s="7"/>
      <c r="FP39" s="19"/>
      <c r="FQ39" s="19"/>
      <c r="FR39" s="19"/>
      <c r="FS39" s="19"/>
      <c r="FU39" s="8"/>
      <c r="FV39" s="7"/>
      <c r="FW39" s="19"/>
      <c r="FX39" s="19"/>
      <c r="FY39" s="19"/>
      <c r="FZ39" s="19"/>
      <c r="GB39" s="8"/>
      <c r="GC39" s="7"/>
      <c r="GD39" s="19"/>
      <c r="GE39" s="19"/>
      <c r="GF39" s="19"/>
      <c r="GG39" s="19"/>
      <c r="GI39" s="8"/>
      <c r="GJ39" s="7"/>
      <c r="GK39" s="19"/>
      <c r="GL39" s="19"/>
      <c r="GM39" s="19"/>
      <c r="GN39" s="19"/>
      <c r="GP39" s="8"/>
      <c r="GQ39" s="7"/>
      <c r="GR39" s="19"/>
      <c r="GS39" s="19"/>
      <c r="GT39" s="19"/>
      <c r="GU39" s="19"/>
      <c r="GW39" s="8"/>
      <c r="GX39" s="7"/>
      <c r="GY39" s="19"/>
      <c r="GZ39" s="19"/>
      <c r="HA39" s="19"/>
      <c r="HB39" s="19"/>
      <c r="HD39" s="8"/>
      <c r="HE39" s="7"/>
      <c r="HF39" s="19"/>
      <c r="HG39" s="19"/>
      <c r="HH39" s="19"/>
      <c r="HI39" s="19"/>
      <c r="HK39" s="8"/>
      <c r="HL39" s="7"/>
      <c r="HM39" s="19"/>
      <c r="HN39" s="19"/>
      <c r="HO39" s="19"/>
      <c r="HP39" s="19"/>
      <c r="HR39" s="8"/>
      <c r="HS39" s="7"/>
      <c r="HT39" s="19"/>
      <c r="HU39" s="19"/>
      <c r="HV39" s="19"/>
      <c r="HW39" s="19"/>
      <c r="HY39" s="8"/>
      <c r="HZ39" s="7"/>
      <c r="IA39" s="19"/>
      <c r="IB39" s="19"/>
      <c r="IC39" s="19"/>
      <c r="ID39" s="19"/>
      <c r="IF39" s="8"/>
      <c r="IG39" s="7"/>
      <c r="IH39" s="19"/>
      <c r="II39" s="19"/>
      <c r="IJ39" s="19"/>
      <c r="IK39" s="19"/>
      <c r="IM39" s="8"/>
      <c r="IN39" s="7"/>
      <c r="IO39" s="19"/>
      <c r="IP39" s="19"/>
      <c r="IQ39" s="19"/>
      <c r="IR39" s="19"/>
      <c r="IT39" s="8"/>
      <c r="IU39" s="7"/>
      <c r="IV39" s="19"/>
      <c r="IW39" s="19"/>
      <c r="IX39" s="19"/>
      <c r="IY39" s="19"/>
      <c r="JA39" s="8"/>
      <c r="JB39" s="7"/>
      <c r="JC39" s="19"/>
      <c r="JD39" s="19"/>
      <c r="JE39" s="19"/>
      <c r="JF39" s="19"/>
      <c r="JH39" s="8"/>
      <c r="JI39" s="7"/>
      <c r="JJ39" s="19"/>
      <c r="JK39" s="19"/>
      <c r="JL39" s="19"/>
      <c r="JM39" s="19"/>
      <c r="JO39" s="8"/>
      <c r="JP39" s="7"/>
      <c r="JQ39" s="19"/>
      <c r="JR39" s="19"/>
      <c r="JS39" s="19"/>
      <c r="JT39" s="19"/>
      <c r="JV39" s="8"/>
      <c r="JW39" s="7"/>
      <c r="JX39" s="19"/>
      <c r="JY39" s="19"/>
      <c r="JZ39" s="19"/>
      <c r="KA39" s="19"/>
      <c r="KC39" s="8"/>
      <c r="KD39" s="7"/>
      <c r="KE39" s="19"/>
      <c r="KF39" s="19"/>
      <c r="KG39" s="19"/>
      <c r="KH39" s="19"/>
      <c r="KJ39" s="8"/>
      <c r="KK39" s="7"/>
      <c r="KL39" s="19"/>
      <c r="KM39" s="19"/>
      <c r="KN39" s="19"/>
      <c r="KO39" s="19"/>
      <c r="KQ39" s="8"/>
      <c r="KR39" s="7"/>
      <c r="KS39" s="19"/>
      <c r="KT39" s="19"/>
      <c r="KU39" s="19"/>
      <c r="KV39" s="19"/>
      <c r="KX39" s="8"/>
      <c r="KY39" s="7"/>
      <c r="KZ39" s="19"/>
      <c r="LA39" s="19"/>
      <c r="LB39" s="19"/>
      <c r="LC39" s="19"/>
      <c r="LE39" s="8"/>
      <c r="LF39" s="7"/>
      <c r="LG39" s="19"/>
      <c r="LH39" s="19"/>
      <c r="LI39" s="19"/>
      <c r="LJ39" s="19"/>
      <c r="LL39" s="8"/>
      <c r="LM39" s="7"/>
      <c r="LN39" s="19"/>
      <c r="LO39" s="19"/>
      <c r="LP39" s="19"/>
      <c r="LQ39" s="19"/>
      <c r="LS39" s="8"/>
      <c r="LT39" s="7"/>
      <c r="LU39" s="19"/>
      <c r="LV39" s="19"/>
      <c r="LW39" s="19"/>
      <c r="LX39" s="19"/>
      <c r="LZ39" s="8"/>
      <c r="MA39" s="7"/>
      <c r="MB39" s="19"/>
      <c r="MC39" s="19"/>
      <c r="MD39" s="19"/>
      <c r="ME39" s="19"/>
      <c r="MG39" s="8"/>
      <c r="MH39" s="7"/>
      <c r="MI39" s="19"/>
      <c r="MJ39" s="19"/>
      <c r="MK39" s="19"/>
      <c r="ML39" s="19"/>
      <c r="MN39" s="8"/>
      <c r="MO39" s="7"/>
      <c r="MP39" s="19"/>
      <c r="MQ39" s="19"/>
      <c r="MR39" s="19"/>
      <c r="MS39" s="19"/>
      <c r="MU39" s="8"/>
      <c r="MV39" s="7"/>
      <c r="MW39" s="19"/>
      <c r="MX39" s="19"/>
      <c r="MY39" s="19"/>
      <c r="MZ39" s="19"/>
      <c r="NB39" s="8"/>
      <c r="NC39" s="7"/>
      <c r="ND39" s="19"/>
      <c r="NE39" s="19"/>
      <c r="NF39" s="19"/>
      <c r="NG39" s="19"/>
      <c r="NI39" s="8"/>
      <c r="NJ39" s="7"/>
      <c r="NK39" s="19"/>
      <c r="NL39" s="19"/>
      <c r="NM39" s="19"/>
      <c r="NN39" s="19"/>
      <c r="NP39" s="8"/>
      <c r="NQ39" s="7"/>
      <c r="NR39" s="19"/>
      <c r="NS39" s="19"/>
      <c r="NT39" s="19"/>
      <c r="NU39" s="19"/>
      <c r="NW39" s="8"/>
      <c r="NX39" s="7"/>
      <c r="NY39" s="19"/>
      <c r="NZ39" s="19"/>
      <c r="OA39" s="19"/>
      <c r="OB39" s="19"/>
      <c r="OD39" s="8"/>
      <c r="OE39" s="7"/>
      <c r="OF39" s="19"/>
      <c r="OG39" s="19"/>
      <c r="OH39" s="19"/>
      <c r="OI39" s="19"/>
      <c r="OK39" s="8"/>
      <c r="OL39" s="7"/>
      <c r="OM39" s="19"/>
      <c r="ON39" s="19"/>
      <c r="OO39" s="19"/>
      <c r="OP39" s="19"/>
      <c r="OR39" s="8"/>
      <c r="OS39" s="7"/>
      <c r="OT39" s="19"/>
      <c r="OU39" s="19"/>
      <c r="OV39" s="19"/>
      <c r="OW39" s="19"/>
      <c r="OY39" s="8"/>
      <c r="OZ39" s="7"/>
      <c r="PA39" s="19"/>
      <c r="PB39" s="19"/>
      <c r="PC39" s="19"/>
      <c r="PD39" s="19"/>
      <c r="PF39" s="8"/>
      <c r="PG39" s="7"/>
      <c r="PH39" s="19"/>
      <c r="PI39" s="19"/>
      <c r="PJ39" s="19"/>
      <c r="PK39" s="19"/>
      <c r="PM39" s="8"/>
    </row>
    <row r="40" spans="1:429" s="1" customFormat="1" ht="26" customHeight="1" outlineLevel="1">
      <c r="B40" s="471"/>
      <c r="C40" s="7"/>
      <c r="D40" s="19"/>
      <c r="E40" s="19"/>
      <c r="F40" s="19"/>
      <c r="G40" s="19"/>
      <c r="I40" s="8"/>
      <c r="J40" s="7"/>
      <c r="K40" s="19"/>
      <c r="L40" s="19"/>
      <c r="M40" s="19"/>
      <c r="N40" s="19"/>
      <c r="P40" s="8"/>
      <c r="Q40" s="7"/>
      <c r="R40" s="19"/>
      <c r="S40" s="19"/>
      <c r="T40" s="19"/>
      <c r="U40" s="19"/>
      <c r="W40" s="8"/>
      <c r="X40" s="7"/>
      <c r="Y40" s="19"/>
      <c r="Z40" s="19"/>
      <c r="AA40" s="19"/>
      <c r="AB40" s="19"/>
      <c r="AD40" s="8"/>
      <c r="AE40" s="7"/>
      <c r="AF40" s="19"/>
      <c r="AG40" s="19"/>
      <c r="AH40" s="19"/>
      <c r="AI40" s="19"/>
      <c r="AK40" s="8"/>
      <c r="AL40" s="7"/>
      <c r="AM40" s="19"/>
      <c r="AN40" s="19"/>
      <c r="AO40" s="19"/>
      <c r="AP40" s="19"/>
      <c r="AR40" s="8"/>
      <c r="AS40" s="7"/>
      <c r="AT40" s="19"/>
      <c r="AU40" s="19"/>
      <c r="AV40" s="19"/>
      <c r="AW40" s="19"/>
      <c r="AY40" s="8"/>
      <c r="AZ40" s="7"/>
      <c r="BA40" s="19"/>
      <c r="BB40" s="19"/>
      <c r="BC40" s="19"/>
      <c r="BD40" s="19"/>
      <c r="BF40" s="8"/>
      <c r="BG40" s="7"/>
      <c r="BH40" s="19"/>
      <c r="BI40" s="19"/>
      <c r="BJ40" s="19"/>
      <c r="BK40" s="19"/>
      <c r="BM40" s="8"/>
      <c r="BN40" s="7"/>
      <c r="BO40" s="19"/>
      <c r="BP40" s="19"/>
      <c r="BQ40" s="19"/>
      <c r="BR40" s="19"/>
      <c r="BT40" s="8"/>
      <c r="BU40" s="7"/>
      <c r="BV40" s="19"/>
      <c r="BW40" s="19"/>
      <c r="BX40" s="19"/>
      <c r="BY40" s="19"/>
      <c r="CA40" s="8"/>
      <c r="CB40" s="7"/>
      <c r="CC40" s="19"/>
      <c r="CD40" s="19"/>
      <c r="CE40" s="19"/>
      <c r="CF40" s="19"/>
      <c r="CH40" s="8"/>
      <c r="CI40" s="7"/>
      <c r="CJ40" s="19"/>
      <c r="CK40" s="19"/>
      <c r="CL40" s="19"/>
      <c r="CM40" s="19"/>
      <c r="CO40" s="8"/>
      <c r="CP40" s="7"/>
      <c r="CQ40" s="19"/>
      <c r="CR40" s="19"/>
      <c r="CS40" s="19"/>
      <c r="CT40" s="19"/>
      <c r="CV40" s="8"/>
      <c r="CW40" s="7"/>
      <c r="CX40" s="19"/>
      <c r="CY40" s="19"/>
      <c r="CZ40" s="19"/>
      <c r="DA40" s="19"/>
      <c r="DC40" s="8"/>
      <c r="DD40" s="7"/>
      <c r="DE40" s="19"/>
      <c r="DF40" s="19"/>
      <c r="DG40" s="19"/>
      <c r="DH40" s="19"/>
      <c r="DJ40" s="8"/>
      <c r="DK40" s="7" t="s">
        <v>114</v>
      </c>
      <c r="DL40" s="19"/>
      <c r="DM40" s="19"/>
      <c r="DN40" s="19"/>
      <c r="DO40" s="19"/>
      <c r="DQ40" s="8"/>
      <c r="DR40" s="7" t="s">
        <v>114</v>
      </c>
      <c r="DS40" s="19"/>
      <c r="DT40" s="19"/>
      <c r="DU40" s="19"/>
      <c r="DV40" s="19"/>
      <c r="DX40" s="8"/>
      <c r="DY40" s="7" t="s">
        <v>114</v>
      </c>
      <c r="DZ40" s="19"/>
      <c r="EA40" s="19"/>
      <c r="EB40" s="19"/>
      <c r="EC40" s="19"/>
      <c r="EE40" s="8"/>
      <c r="EF40" s="7"/>
      <c r="EG40" s="19"/>
      <c r="EH40" s="19"/>
      <c r="EI40" s="19"/>
      <c r="EJ40" s="19"/>
      <c r="EL40" s="8"/>
      <c r="EM40" s="7"/>
      <c r="EN40" s="19"/>
      <c r="EO40" s="19"/>
      <c r="EP40" s="19"/>
      <c r="EQ40" s="19"/>
      <c r="ES40" s="8"/>
      <c r="ET40" s="7"/>
      <c r="EU40" s="19"/>
      <c r="EV40" s="19"/>
      <c r="EW40" s="19"/>
      <c r="EX40" s="19"/>
      <c r="EZ40" s="8"/>
      <c r="FA40" s="7"/>
      <c r="FB40" s="19"/>
      <c r="FC40" s="19"/>
      <c r="FD40" s="19"/>
      <c r="FE40" s="19"/>
      <c r="FG40" s="8"/>
      <c r="FH40" s="7"/>
      <c r="FI40" s="19"/>
      <c r="FJ40" s="19"/>
      <c r="FK40" s="19"/>
      <c r="FL40" s="19"/>
      <c r="FN40" s="8"/>
      <c r="FO40" s="7"/>
      <c r="FP40" s="19"/>
      <c r="FQ40" s="19"/>
      <c r="FR40" s="19"/>
      <c r="FS40" s="19"/>
      <c r="FU40" s="8"/>
      <c r="FV40" s="7"/>
      <c r="FW40" s="19"/>
      <c r="FX40" s="19"/>
      <c r="FY40" s="19"/>
      <c r="FZ40" s="19"/>
      <c r="GB40" s="8"/>
      <c r="GC40" s="7"/>
      <c r="GD40" s="19"/>
      <c r="GE40" s="19"/>
      <c r="GF40" s="19"/>
      <c r="GG40" s="19"/>
      <c r="GI40" s="8"/>
      <c r="GJ40" s="7"/>
      <c r="GK40" s="19"/>
      <c r="GL40" s="19"/>
      <c r="GM40" s="19"/>
      <c r="GN40" s="19"/>
      <c r="GP40" s="8"/>
      <c r="GQ40" s="7"/>
      <c r="GR40" s="19"/>
      <c r="GS40" s="19"/>
      <c r="GT40" s="19"/>
      <c r="GU40" s="19"/>
      <c r="GW40" s="8"/>
      <c r="GX40" s="7"/>
      <c r="GY40" s="19"/>
      <c r="GZ40" s="19"/>
      <c r="HA40" s="19"/>
      <c r="HB40" s="19"/>
      <c r="HD40" s="8"/>
      <c r="HE40" s="7"/>
      <c r="HF40" s="19"/>
      <c r="HG40" s="19"/>
      <c r="HH40" s="19"/>
      <c r="HI40" s="19"/>
      <c r="HK40" s="8"/>
      <c r="HL40" s="7"/>
      <c r="HM40" s="19"/>
      <c r="HN40" s="19"/>
      <c r="HO40" s="19"/>
      <c r="HP40" s="19"/>
      <c r="HR40" s="8"/>
      <c r="HS40" s="7"/>
      <c r="HT40" s="19"/>
      <c r="HU40" s="19"/>
      <c r="HV40" s="19"/>
      <c r="HW40" s="19"/>
      <c r="HY40" s="8"/>
      <c r="HZ40" s="7"/>
      <c r="IA40" s="19"/>
      <c r="IB40" s="19"/>
      <c r="IC40" s="19"/>
      <c r="ID40" s="19"/>
      <c r="IF40" s="8"/>
      <c r="IG40" s="7"/>
      <c r="IH40" s="19"/>
      <c r="II40" s="19"/>
      <c r="IJ40" s="19"/>
      <c r="IK40" s="19"/>
      <c r="IM40" s="8"/>
      <c r="IN40" s="7"/>
      <c r="IO40" s="19"/>
      <c r="IP40" s="19"/>
      <c r="IQ40" s="19"/>
      <c r="IR40" s="19"/>
      <c r="IT40" s="8"/>
      <c r="IU40" s="7"/>
      <c r="IV40" s="19"/>
      <c r="IW40" s="19"/>
      <c r="IX40" s="19"/>
      <c r="IY40" s="19"/>
      <c r="JA40" s="8"/>
      <c r="JB40" s="7"/>
      <c r="JC40" s="19"/>
      <c r="JD40" s="19"/>
      <c r="JE40" s="19"/>
      <c r="JF40" s="19"/>
      <c r="JH40" s="8"/>
      <c r="JI40" s="7"/>
      <c r="JJ40" s="19"/>
      <c r="JK40" s="19"/>
      <c r="JL40" s="19"/>
      <c r="JM40" s="19"/>
      <c r="JO40" s="8"/>
      <c r="JP40" s="7"/>
      <c r="JQ40" s="19"/>
      <c r="JR40" s="19"/>
      <c r="JS40" s="19"/>
      <c r="JT40" s="19"/>
      <c r="JV40" s="8"/>
      <c r="JW40" s="7"/>
      <c r="JX40" s="19"/>
      <c r="JY40" s="19"/>
      <c r="JZ40" s="19"/>
      <c r="KA40" s="19"/>
      <c r="KC40" s="8"/>
      <c r="KD40" s="7"/>
      <c r="KE40" s="19"/>
      <c r="KF40" s="19"/>
      <c r="KG40" s="19"/>
      <c r="KH40" s="19"/>
      <c r="KJ40" s="8"/>
      <c r="KK40" s="7"/>
      <c r="KL40" s="19"/>
      <c r="KM40" s="19"/>
      <c r="KN40" s="19"/>
      <c r="KO40" s="19"/>
      <c r="KQ40" s="8"/>
      <c r="KR40" s="7"/>
      <c r="KS40" s="19"/>
      <c r="KT40" s="19"/>
      <c r="KU40" s="19"/>
      <c r="KV40" s="19"/>
      <c r="KX40" s="8"/>
      <c r="KY40" s="7"/>
      <c r="KZ40" s="19"/>
      <c r="LA40" s="19"/>
      <c r="LB40" s="19"/>
      <c r="LC40" s="19"/>
      <c r="LE40" s="8"/>
      <c r="LF40" s="7"/>
      <c r="LG40" s="19"/>
      <c r="LH40" s="19"/>
      <c r="LI40" s="19"/>
      <c r="LJ40" s="19"/>
      <c r="LL40" s="8"/>
      <c r="LM40" s="7"/>
      <c r="LN40" s="19"/>
      <c r="LO40" s="19"/>
      <c r="LP40" s="19"/>
      <c r="LQ40" s="19"/>
      <c r="LS40" s="8"/>
      <c r="LT40" s="7"/>
      <c r="LU40" s="19"/>
      <c r="LV40" s="19"/>
      <c r="LW40" s="19"/>
      <c r="LX40" s="19"/>
      <c r="LZ40" s="8"/>
      <c r="MA40" s="7"/>
      <c r="MB40" s="19"/>
      <c r="MC40" s="19"/>
      <c r="MD40" s="19"/>
      <c r="ME40" s="19"/>
      <c r="MG40" s="8"/>
      <c r="MH40" s="7"/>
      <c r="MI40" s="19"/>
      <c r="MJ40" s="19"/>
      <c r="MK40" s="19"/>
      <c r="ML40" s="19"/>
      <c r="MN40" s="8"/>
      <c r="MO40" s="7"/>
      <c r="MP40" s="19"/>
      <c r="MQ40" s="19"/>
      <c r="MR40" s="19"/>
      <c r="MS40" s="19"/>
      <c r="MU40" s="8"/>
      <c r="MV40" s="7"/>
      <c r="MW40" s="19"/>
      <c r="MX40" s="19"/>
      <c r="MY40" s="19"/>
      <c r="MZ40" s="19"/>
      <c r="NB40" s="8"/>
      <c r="NC40" s="7"/>
      <c r="ND40" s="19"/>
      <c r="NE40" s="19"/>
      <c r="NF40" s="19"/>
      <c r="NG40" s="19"/>
      <c r="NI40" s="8"/>
      <c r="NJ40" s="7"/>
      <c r="NK40" s="19"/>
      <c r="NL40" s="19"/>
      <c r="NM40" s="19"/>
      <c r="NN40" s="19"/>
      <c r="NP40" s="8"/>
      <c r="NQ40" s="7"/>
      <c r="NR40" s="19"/>
      <c r="NS40" s="19"/>
      <c r="NT40" s="19"/>
      <c r="NU40" s="19"/>
      <c r="NW40" s="8"/>
      <c r="NX40" s="7"/>
      <c r="NY40" s="19"/>
      <c r="NZ40" s="19"/>
      <c r="OA40" s="19"/>
      <c r="OB40" s="19"/>
      <c r="OD40" s="8"/>
      <c r="OE40" s="7"/>
      <c r="OF40" s="19"/>
      <c r="OG40" s="19"/>
      <c r="OH40" s="19"/>
      <c r="OI40" s="19"/>
      <c r="OK40" s="8"/>
      <c r="OL40" s="7"/>
      <c r="OM40" s="19"/>
      <c r="ON40" s="19"/>
      <c r="OO40" s="19"/>
      <c r="OP40" s="19"/>
      <c r="OR40" s="8"/>
      <c r="OS40" s="7"/>
      <c r="OT40" s="19"/>
      <c r="OU40" s="19"/>
      <c r="OV40" s="19"/>
      <c r="OW40" s="19"/>
      <c r="OY40" s="8"/>
      <c r="OZ40" s="7"/>
      <c r="PA40" s="19"/>
      <c r="PB40" s="19"/>
      <c r="PC40" s="19"/>
      <c r="PD40" s="19"/>
      <c r="PF40" s="8"/>
      <c r="PG40" s="7"/>
      <c r="PH40" s="19"/>
      <c r="PI40" s="19"/>
      <c r="PJ40" s="19"/>
      <c r="PK40" s="19"/>
      <c r="PM40" s="8"/>
    </row>
    <row r="41" spans="1:429" s="1" customFormat="1" ht="26" customHeight="1" outlineLevel="1">
      <c r="B41" s="471"/>
      <c r="C41" s="7"/>
      <c r="D41" s="19"/>
      <c r="E41" s="19"/>
      <c r="F41" s="19"/>
      <c r="G41" s="19"/>
      <c r="I41" s="8"/>
      <c r="J41" s="7"/>
      <c r="K41" s="19"/>
      <c r="L41" s="19"/>
      <c r="M41" s="19"/>
      <c r="N41" s="19"/>
      <c r="P41" s="8"/>
      <c r="Q41" s="7"/>
      <c r="R41" s="19"/>
      <c r="S41" s="19"/>
      <c r="T41" s="19"/>
      <c r="U41" s="19"/>
      <c r="W41" s="8"/>
      <c r="X41" s="7"/>
      <c r="Y41" s="19"/>
      <c r="Z41" s="19"/>
      <c r="AA41" s="19"/>
      <c r="AB41" s="19"/>
      <c r="AD41" s="8"/>
      <c r="AE41" s="7"/>
      <c r="AF41" s="19"/>
      <c r="AG41" s="19"/>
      <c r="AH41" s="19"/>
      <c r="AI41" s="19"/>
      <c r="AK41" s="8"/>
      <c r="AL41" s="7"/>
      <c r="AM41" s="19"/>
      <c r="AN41" s="19"/>
      <c r="AO41" s="19"/>
      <c r="AP41" s="19"/>
      <c r="AR41" s="8"/>
      <c r="AS41" s="7"/>
      <c r="AT41" s="19"/>
      <c r="AU41" s="19"/>
      <c r="AV41" s="19"/>
      <c r="AW41" s="19"/>
      <c r="AY41" s="8"/>
      <c r="AZ41" s="7"/>
      <c r="BA41" s="19"/>
      <c r="BB41" s="19"/>
      <c r="BC41" s="19"/>
      <c r="BD41" s="19"/>
      <c r="BF41" s="8"/>
      <c r="BG41" s="7"/>
      <c r="BH41" s="19"/>
      <c r="BI41" s="19"/>
      <c r="BJ41" s="19"/>
      <c r="BK41" s="19"/>
      <c r="BM41" s="8"/>
      <c r="BN41" s="7"/>
      <c r="BO41" s="19"/>
      <c r="BP41" s="19"/>
      <c r="BQ41" s="19"/>
      <c r="BR41" s="19"/>
      <c r="BT41" s="8"/>
      <c r="BU41" s="7"/>
      <c r="BV41" s="19"/>
      <c r="BW41" s="19"/>
      <c r="BX41" s="19"/>
      <c r="BY41" s="19"/>
      <c r="CA41" s="8"/>
      <c r="CB41" s="7"/>
      <c r="CC41" s="19"/>
      <c r="CD41" s="19"/>
      <c r="CE41" s="19"/>
      <c r="CF41" s="19"/>
      <c r="CH41" s="8"/>
      <c r="CI41" s="7"/>
      <c r="CJ41" s="19"/>
      <c r="CK41" s="19"/>
      <c r="CL41" s="19"/>
      <c r="CM41" s="19"/>
      <c r="CO41" s="8"/>
      <c r="CP41" s="7"/>
      <c r="CQ41" s="19"/>
      <c r="CR41" s="19"/>
      <c r="CS41" s="19"/>
      <c r="CT41" s="19"/>
      <c r="CV41" s="8"/>
      <c r="CW41" s="7"/>
      <c r="CX41" s="19"/>
      <c r="CY41" s="19"/>
      <c r="CZ41" s="19"/>
      <c r="DA41" s="19"/>
      <c r="DC41" s="8"/>
      <c r="DD41" s="7"/>
      <c r="DE41" s="19"/>
      <c r="DF41" s="19"/>
      <c r="DG41" s="19"/>
      <c r="DH41" s="19"/>
      <c r="DJ41" s="8"/>
      <c r="DK41" s="7" t="s">
        <v>115</v>
      </c>
      <c r="DL41" s="19"/>
      <c r="DM41" s="19"/>
      <c r="DN41" s="19"/>
      <c r="DO41" s="19"/>
      <c r="DQ41" s="8"/>
      <c r="DR41" s="7" t="s">
        <v>115</v>
      </c>
      <c r="DS41" s="19"/>
      <c r="DT41" s="19"/>
      <c r="DU41" s="19"/>
      <c r="DV41" s="19"/>
      <c r="DX41" s="8"/>
      <c r="DY41" s="7" t="s">
        <v>115</v>
      </c>
      <c r="DZ41" s="19"/>
      <c r="EA41" s="19"/>
      <c r="EB41" s="19"/>
      <c r="EC41" s="19"/>
      <c r="EE41" s="8"/>
      <c r="EF41" s="7"/>
      <c r="EG41" s="19"/>
      <c r="EH41" s="19"/>
      <c r="EI41" s="19"/>
      <c r="EJ41" s="19"/>
      <c r="EL41" s="8"/>
      <c r="EM41" s="7"/>
      <c r="EN41" s="19"/>
      <c r="EO41" s="19"/>
      <c r="EP41" s="19"/>
      <c r="EQ41" s="19"/>
      <c r="ES41" s="8"/>
      <c r="ET41" s="7"/>
      <c r="EU41" s="19"/>
      <c r="EV41" s="19"/>
      <c r="EW41" s="19"/>
      <c r="EX41" s="19"/>
      <c r="EZ41" s="8"/>
      <c r="FA41" s="7"/>
      <c r="FB41" s="19"/>
      <c r="FC41" s="19"/>
      <c r="FD41" s="19"/>
      <c r="FE41" s="19"/>
      <c r="FG41" s="8"/>
      <c r="FH41" s="7"/>
      <c r="FI41" s="19"/>
      <c r="FJ41" s="19"/>
      <c r="FK41" s="19"/>
      <c r="FL41" s="19"/>
      <c r="FN41" s="8"/>
      <c r="FO41" s="7"/>
      <c r="FP41" s="19"/>
      <c r="FQ41" s="19"/>
      <c r="FR41" s="19"/>
      <c r="FS41" s="19"/>
      <c r="FU41" s="8"/>
      <c r="FV41" s="7"/>
      <c r="FW41" s="19"/>
      <c r="FX41" s="19"/>
      <c r="FY41" s="19"/>
      <c r="FZ41" s="19"/>
      <c r="GB41" s="8"/>
      <c r="GC41" s="7"/>
      <c r="GD41" s="19"/>
      <c r="GE41" s="19"/>
      <c r="GF41" s="19"/>
      <c r="GG41" s="19"/>
      <c r="GI41" s="8"/>
      <c r="GJ41" s="7"/>
      <c r="GK41" s="19"/>
      <c r="GL41" s="19"/>
      <c r="GM41" s="19"/>
      <c r="GN41" s="19"/>
      <c r="GP41" s="8"/>
      <c r="GQ41" s="7"/>
      <c r="GR41" s="19"/>
      <c r="GS41" s="19"/>
      <c r="GT41" s="19"/>
      <c r="GU41" s="19"/>
      <c r="GW41" s="8"/>
      <c r="GX41" s="7"/>
      <c r="GY41" s="19"/>
      <c r="GZ41" s="19"/>
      <c r="HA41" s="19"/>
      <c r="HB41" s="19"/>
      <c r="HD41" s="8"/>
      <c r="HE41" s="7"/>
      <c r="HF41" s="19"/>
      <c r="HG41" s="19"/>
      <c r="HH41" s="19"/>
      <c r="HI41" s="19"/>
      <c r="HK41" s="8"/>
      <c r="HL41" s="7"/>
      <c r="HM41" s="19"/>
      <c r="HN41" s="19"/>
      <c r="HO41" s="19"/>
      <c r="HP41" s="19"/>
      <c r="HR41" s="8"/>
      <c r="HS41" s="7"/>
      <c r="HT41" s="19"/>
      <c r="HU41" s="19"/>
      <c r="HV41" s="19"/>
      <c r="HW41" s="19"/>
      <c r="HY41" s="8"/>
      <c r="HZ41" s="7"/>
      <c r="IA41" s="19"/>
      <c r="IB41" s="19"/>
      <c r="IC41" s="19"/>
      <c r="ID41" s="19"/>
      <c r="IF41" s="8"/>
      <c r="IG41" s="7"/>
      <c r="IH41" s="19"/>
      <c r="II41" s="19"/>
      <c r="IJ41" s="19"/>
      <c r="IK41" s="19"/>
      <c r="IM41" s="8"/>
      <c r="IN41" s="7"/>
      <c r="IO41" s="19"/>
      <c r="IP41" s="19"/>
      <c r="IQ41" s="19"/>
      <c r="IR41" s="19"/>
      <c r="IT41" s="8"/>
      <c r="IU41" s="7"/>
      <c r="IV41" s="19"/>
      <c r="IW41" s="19"/>
      <c r="IX41" s="19"/>
      <c r="IY41" s="19"/>
      <c r="JA41" s="8"/>
      <c r="JB41" s="7"/>
      <c r="JC41" s="19"/>
      <c r="JD41" s="19"/>
      <c r="JE41" s="19"/>
      <c r="JF41" s="19"/>
      <c r="JH41" s="8"/>
      <c r="JI41" s="7"/>
      <c r="JJ41" s="19"/>
      <c r="JK41" s="19"/>
      <c r="JL41" s="19"/>
      <c r="JM41" s="19"/>
      <c r="JO41" s="8"/>
      <c r="JP41" s="7"/>
      <c r="JQ41" s="19"/>
      <c r="JR41" s="19"/>
      <c r="JS41" s="19"/>
      <c r="JT41" s="19"/>
      <c r="JV41" s="8"/>
      <c r="JW41" s="7"/>
      <c r="JX41" s="19"/>
      <c r="JY41" s="19"/>
      <c r="JZ41" s="19"/>
      <c r="KA41" s="19"/>
      <c r="KC41" s="8"/>
      <c r="KD41" s="7"/>
      <c r="KE41" s="19"/>
      <c r="KF41" s="19"/>
      <c r="KG41" s="19"/>
      <c r="KH41" s="19"/>
      <c r="KJ41" s="8"/>
      <c r="KK41" s="7"/>
      <c r="KL41" s="19"/>
      <c r="KM41" s="19"/>
      <c r="KN41" s="19"/>
      <c r="KO41" s="19"/>
      <c r="KQ41" s="8"/>
      <c r="KR41" s="7"/>
      <c r="KS41" s="19"/>
      <c r="KT41" s="19"/>
      <c r="KU41" s="19"/>
      <c r="KV41" s="19"/>
      <c r="KX41" s="8"/>
      <c r="KY41" s="7"/>
      <c r="KZ41" s="19"/>
      <c r="LA41" s="19"/>
      <c r="LB41" s="19"/>
      <c r="LC41" s="19"/>
      <c r="LE41" s="8"/>
      <c r="LF41" s="7"/>
      <c r="LG41" s="19"/>
      <c r="LH41" s="19"/>
      <c r="LI41" s="19"/>
      <c r="LJ41" s="19"/>
      <c r="LL41" s="8"/>
      <c r="LM41" s="7"/>
      <c r="LN41" s="19"/>
      <c r="LO41" s="19"/>
      <c r="LP41" s="19"/>
      <c r="LQ41" s="19"/>
      <c r="LS41" s="8"/>
      <c r="LT41" s="7"/>
      <c r="LU41" s="19"/>
      <c r="LV41" s="19"/>
      <c r="LW41" s="19"/>
      <c r="LX41" s="19"/>
      <c r="LZ41" s="8"/>
      <c r="MA41" s="7"/>
      <c r="MB41" s="19"/>
      <c r="MC41" s="19"/>
      <c r="MD41" s="19"/>
      <c r="ME41" s="19"/>
      <c r="MG41" s="8"/>
      <c r="MH41" s="7"/>
      <c r="MI41" s="19"/>
      <c r="MJ41" s="19"/>
      <c r="MK41" s="19"/>
      <c r="ML41" s="19"/>
      <c r="MN41" s="8"/>
      <c r="MO41" s="7"/>
      <c r="MP41" s="19"/>
      <c r="MQ41" s="19"/>
      <c r="MR41" s="19"/>
      <c r="MS41" s="19"/>
      <c r="MU41" s="8"/>
      <c r="MV41" s="7"/>
      <c r="MW41" s="19"/>
      <c r="MX41" s="19"/>
      <c r="MY41" s="19"/>
      <c r="MZ41" s="19"/>
      <c r="NB41" s="8"/>
      <c r="NC41" s="7"/>
      <c r="ND41" s="19"/>
      <c r="NE41" s="19"/>
      <c r="NF41" s="19"/>
      <c r="NG41" s="19"/>
      <c r="NI41" s="8"/>
      <c r="NJ41" s="7"/>
      <c r="NK41" s="19"/>
      <c r="NL41" s="19"/>
      <c r="NM41" s="19"/>
      <c r="NN41" s="19"/>
      <c r="NP41" s="8"/>
      <c r="NQ41" s="7"/>
      <c r="NR41" s="19"/>
      <c r="NS41" s="19"/>
      <c r="NT41" s="19"/>
      <c r="NU41" s="19"/>
      <c r="NW41" s="8"/>
      <c r="NX41" s="7"/>
      <c r="NY41" s="19"/>
      <c r="NZ41" s="19"/>
      <c r="OA41" s="19"/>
      <c r="OB41" s="19"/>
      <c r="OD41" s="8"/>
      <c r="OE41" s="7"/>
      <c r="OF41" s="19"/>
      <c r="OG41" s="19"/>
      <c r="OH41" s="19"/>
      <c r="OI41" s="19"/>
      <c r="OK41" s="8"/>
      <c r="OL41" s="7"/>
      <c r="OM41" s="19"/>
      <c r="ON41" s="19"/>
      <c r="OO41" s="19"/>
      <c r="OP41" s="19"/>
      <c r="OR41" s="8"/>
      <c r="OS41" s="7"/>
      <c r="OT41" s="19"/>
      <c r="OU41" s="19"/>
      <c r="OV41" s="19"/>
      <c r="OW41" s="19"/>
      <c r="OY41" s="8"/>
      <c r="OZ41" s="7"/>
      <c r="PA41" s="19"/>
      <c r="PB41" s="19"/>
      <c r="PC41" s="19"/>
      <c r="PD41" s="19"/>
      <c r="PF41" s="8"/>
      <c r="PG41" s="7"/>
      <c r="PH41" s="19"/>
      <c r="PI41" s="19"/>
      <c r="PJ41" s="19"/>
      <c r="PK41" s="19"/>
      <c r="PM41" s="8"/>
    </row>
    <row r="42" spans="1:429" s="1" customFormat="1" ht="26" customHeight="1" outlineLevel="1">
      <c r="B42" s="471"/>
      <c r="C42" s="7"/>
      <c r="D42" s="19"/>
      <c r="E42" s="19"/>
      <c r="F42" s="19"/>
      <c r="G42" s="19"/>
      <c r="I42" s="8"/>
      <c r="J42" s="7"/>
      <c r="K42" s="19"/>
      <c r="L42" s="19"/>
      <c r="M42" s="19"/>
      <c r="N42" s="19"/>
      <c r="P42" s="8"/>
      <c r="Q42" s="7"/>
      <c r="R42" s="19"/>
      <c r="S42" s="19"/>
      <c r="T42" s="19"/>
      <c r="U42" s="19"/>
      <c r="W42" s="8"/>
      <c r="X42" s="7"/>
      <c r="Y42" s="19"/>
      <c r="Z42" s="19"/>
      <c r="AA42" s="19"/>
      <c r="AB42" s="19"/>
      <c r="AD42" s="8"/>
      <c r="AE42" s="7"/>
      <c r="AF42" s="19"/>
      <c r="AG42" s="19"/>
      <c r="AH42" s="19"/>
      <c r="AI42" s="19"/>
      <c r="AK42" s="8"/>
      <c r="AL42" s="7"/>
      <c r="AM42" s="19"/>
      <c r="AN42" s="19"/>
      <c r="AO42" s="19"/>
      <c r="AP42" s="19"/>
      <c r="AR42" s="8"/>
      <c r="AS42" s="7"/>
      <c r="AT42" s="19"/>
      <c r="AU42" s="19"/>
      <c r="AV42" s="19"/>
      <c r="AW42" s="19"/>
      <c r="AY42" s="8"/>
      <c r="AZ42" s="7"/>
      <c r="BA42" s="19"/>
      <c r="BB42" s="19"/>
      <c r="BC42" s="19"/>
      <c r="BD42" s="19"/>
      <c r="BF42" s="8"/>
      <c r="BG42" s="7"/>
      <c r="BH42" s="19"/>
      <c r="BI42" s="19"/>
      <c r="BJ42" s="19"/>
      <c r="BK42" s="19"/>
      <c r="BM42" s="8"/>
      <c r="BN42" s="7"/>
      <c r="BO42" s="19"/>
      <c r="BP42" s="19"/>
      <c r="BQ42" s="19"/>
      <c r="BR42" s="19"/>
      <c r="BT42" s="8"/>
      <c r="BU42" s="7"/>
      <c r="BV42" s="19"/>
      <c r="BW42" s="19"/>
      <c r="BX42" s="19"/>
      <c r="BY42" s="19"/>
      <c r="CA42" s="8"/>
      <c r="CB42" s="7"/>
      <c r="CC42" s="19"/>
      <c r="CD42" s="19"/>
      <c r="CE42" s="19"/>
      <c r="CF42" s="19"/>
      <c r="CH42" s="8"/>
      <c r="CI42" s="7"/>
      <c r="CJ42" s="19"/>
      <c r="CK42" s="19"/>
      <c r="CL42" s="19"/>
      <c r="CM42" s="19"/>
      <c r="CO42" s="8"/>
      <c r="CP42" s="7"/>
      <c r="CQ42" s="19"/>
      <c r="CR42" s="19"/>
      <c r="CS42" s="19"/>
      <c r="CT42" s="19"/>
      <c r="CV42" s="8"/>
      <c r="CW42" s="7"/>
      <c r="CX42" s="19"/>
      <c r="CY42" s="19"/>
      <c r="CZ42" s="19"/>
      <c r="DA42" s="19"/>
      <c r="DC42" s="8"/>
      <c r="DD42" s="7"/>
      <c r="DE42" s="19"/>
      <c r="DF42" s="19"/>
      <c r="DG42" s="19"/>
      <c r="DH42" s="19"/>
      <c r="DJ42" s="8"/>
      <c r="DK42" s="7"/>
      <c r="DL42" s="19"/>
      <c r="DM42" s="19"/>
      <c r="DN42" s="19"/>
      <c r="DO42" s="19"/>
      <c r="DQ42" s="8"/>
      <c r="DR42" s="7"/>
      <c r="DS42" s="19"/>
      <c r="DT42" s="19"/>
      <c r="DU42" s="19"/>
      <c r="DV42" s="19"/>
      <c r="DX42" s="8"/>
      <c r="DY42" s="7"/>
      <c r="DZ42" s="19"/>
      <c r="EA42" s="19"/>
      <c r="EB42" s="19"/>
      <c r="EC42" s="19"/>
      <c r="EE42" s="8"/>
      <c r="EF42" s="7"/>
      <c r="EG42" s="19"/>
      <c r="EH42" s="19"/>
      <c r="EI42" s="19"/>
      <c r="EJ42" s="19"/>
      <c r="EL42" s="8"/>
      <c r="EM42" s="7"/>
      <c r="EN42" s="19"/>
      <c r="EO42" s="19"/>
      <c r="EP42" s="19"/>
      <c r="EQ42" s="19"/>
      <c r="ES42" s="8"/>
      <c r="ET42" s="7"/>
      <c r="EU42" s="19"/>
      <c r="EV42" s="19"/>
      <c r="EW42" s="19"/>
      <c r="EX42" s="19"/>
      <c r="EZ42" s="8"/>
      <c r="FA42" s="7"/>
      <c r="FB42" s="19"/>
      <c r="FC42" s="19"/>
      <c r="FD42" s="19"/>
      <c r="FE42" s="19"/>
      <c r="FG42" s="8"/>
      <c r="FH42" s="7"/>
      <c r="FI42" s="19"/>
      <c r="FJ42" s="19"/>
      <c r="FK42" s="19"/>
      <c r="FL42" s="19"/>
      <c r="FN42" s="8"/>
      <c r="FO42" s="7"/>
      <c r="FP42" s="19"/>
      <c r="FQ42" s="19"/>
      <c r="FR42" s="19"/>
      <c r="FS42" s="19"/>
      <c r="FU42" s="8"/>
      <c r="FV42" s="7"/>
      <c r="FW42" s="19"/>
      <c r="FX42" s="19"/>
      <c r="FY42" s="19"/>
      <c r="FZ42" s="19"/>
      <c r="GB42" s="8"/>
      <c r="GC42" s="7"/>
      <c r="GD42" s="19"/>
      <c r="GE42" s="19"/>
      <c r="GF42" s="19"/>
      <c r="GG42" s="19"/>
      <c r="GI42" s="8"/>
      <c r="GJ42" s="7"/>
      <c r="GK42" s="19"/>
      <c r="GL42" s="19"/>
      <c r="GM42" s="19"/>
      <c r="GN42" s="19"/>
      <c r="GP42" s="8"/>
      <c r="GQ42" s="7"/>
      <c r="GR42" s="19"/>
      <c r="GS42" s="19"/>
      <c r="GT42" s="19"/>
      <c r="GU42" s="19"/>
      <c r="GW42" s="8"/>
      <c r="GX42" s="7"/>
      <c r="GY42" s="19"/>
      <c r="GZ42" s="19"/>
      <c r="HA42" s="19"/>
      <c r="HB42" s="19"/>
      <c r="HD42" s="8"/>
      <c r="HE42" s="7"/>
      <c r="HF42" s="19"/>
      <c r="HG42" s="19"/>
      <c r="HH42" s="19"/>
      <c r="HI42" s="19"/>
      <c r="HK42" s="8"/>
      <c r="HL42" s="7"/>
      <c r="HM42" s="19"/>
      <c r="HN42" s="19"/>
      <c r="HO42" s="19"/>
      <c r="HP42" s="19"/>
      <c r="HR42" s="8"/>
      <c r="HS42" s="7"/>
      <c r="HT42" s="19"/>
      <c r="HU42" s="19"/>
      <c r="HV42" s="19"/>
      <c r="HW42" s="19"/>
      <c r="HY42" s="8"/>
      <c r="HZ42" s="7"/>
      <c r="IA42" s="19"/>
      <c r="IB42" s="19"/>
      <c r="IC42" s="19"/>
      <c r="ID42" s="19"/>
      <c r="IF42" s="8"/>
      <c r="IG42" s="7"/>
      <c r="IH42" s="19"/>
      <c r="II42" s="19"/>
      <c r="IJ42" s="19"/>
      <c r="IK42" s="19"/>
      <c r="IM42" s="8"/>
      <c r="IN42" s="7"/>
      <c r="IO42" s="19"/>
      <c r="IP42" s="19"/>
      <c r="IQ42" s="19"/>
      <c r="IR42" s="19"/>
      <c r="IT42" s="8"/>
      <c r="IU42" s="7"/>
      <c r="IV42" s="19"/>
      <c r="IW42" s="19"/>
      <c r="IX42" s="19"/>
      <c r="IY42" s="19"/>
      <c r="JA42" s="8"/>
      <c r="JB42" s="7"/>
      <c r="JC42" s="19"/>
      <c r="JD42" s="19"/>
      <c r="JE42" s="19"/>
      <c r="JF42" s="19"/>
      <c r="JH42" s="8"/>
      <c r="JI42" s="7"/>
      <c r="JJ42" s="19"/>
      <c r="JK42" s="19"/>
      <c r="JL42" s="19"/>
      <c r="JM42" s="19"/>
      <c r="JO42" s="8"/>
      <c r="JP42" s="7"/>
      <c r="JQ42" s="19"/>
      <c r="JR42" s="19"/>
      <c r="JS42" s="19"/>
      <c r="JT42" s="19"/>
      <c r="JV42" s="8"/>
      <c r="JW42" s="7"/>
      <c r="JX42" s="19"/>
      <c r="JY42" s="19"/>
      <c r="JZ42" s="19"/>
      <c r="KA42" s="19"/>
      <c r="KC42" s="8"/>
      <c r="KD42" s="7"/>
      <c r="KE42" s="19"/>
      <c r="KF42" s="19"/>
      <c r="KG42" s="19"/>
      <c r="KH42" s="19"/>
      <c r="KJ42" s="8"/>
      <c r="KK42" s="7"/>
      <c r="KL42" s="19"/>
      <c r="KM42" s="19"/>
      <c r="KN42" s="19"/>
      <c r="KO42" s="19"/>
      <c r="KQ42" s="8"/>
      <c r="KR42" s="7"/>
      <c r="KS42" s="19"/>
      <c r="KT42" s="19"/>
      <c r="KU42" s="19"/>
      <c r="KV42" s="19"/>
      <c r="KX42" s="8"/>
      <c r="KY42" s="7"/>
      <c r="KZ42" s="19"/>
      <c r="LA42" s="19"/>
      <c r="LB42" s="19"/>
      <c r="LC42" s="19"/>
      <c r="LE42" s="8"/>
      <c r="LF42" s="7"/>
      <c r="LG42" s="19"/>
      <c r="LH42" s="19"/>
      <c r="LI42" s="19"/>
      <c r="LJ42" s="19"/>
      <c r="LL42" s="8"/>
      <c r="LM42" s="7"/>
      <c r="LN42" s="19"/>
      <c r="LO42" s="19"/>
      <c r="LP42" s="19"/>
      <c r="LQ42" s="19"/>
      <c r="LS42" s="8"/>
      <c r="LT42" s="7"/>
      <c r="LU42" s="19"/>
      <c r="LV42" s="19"/>
      <c r="LW42" s="19"/>
      <c r="LX42" s="19"/>
      <c r="LZ42" s="8"/>
      <c r="MA42" s="7"/>
      <c r="MB42" s="19"/>
      <c r="MC42" s="19"/>
      <c r="MD42" s="19"/>
      <c r="ME42" s="19"/>
      <c r="MG42" s="8"/>
      <c r="MH42" s="7"/>
      <c r="MI42" s="19"/>
      <c r="MJ42" s="19"/>
      <c r="MK42" s="19"/>
      <c r="ML42" s="19"/>
      <c r="MN42" s="8"/>
      <c r="MO42" s="7"/>
      <c r="MP42" s="19"/>
      <c r="MQ42" s="19"/>
      <c r="MR42" s="19"/>
      <c r="MS42" s="19"/>
      <c r="MU42" s="8"/>
      <c r="MV42" s="7"/>
      <c r="MW42" s="19"/>
      <c r="MX42" s="19"/>
      <c r="MY42" s="19"/>
      <c r="MZ42" s="19"/>
      <c r="NB42" s="8"/>
      <c r="NC42" s="7"/>
      <c r="ND42" s="19"/>
      <c r="NE42" s="19"/>
      <c r="NF42" s="19"/>
      <c r="NG42" s="19"/>
      <c r="NI42" s="8"/>
      <c r="NJ42" s="7"/>
      <c r="NK42" s="19"/>
      <c r="NL42" s="19"/>
      <c r="NM42" s="19"/>
      <c r="NN42" s="19"/>
      <c r="NP42" s="8"/>
      <c r="NQ42" s="7"/>
      <c r="NR42" s="19"/>
      <c r="NS42" s="19"/>
      <c r="NT42" s="19"/>
      <c r="NU42" s="19"/>
      <c r="NW42" s="8"/>
      <c r="NX42" s="7"/>
      <c r="NY42" s="19"/>
      <c r="NZ42" s="19"/>
      <c r="OA42" s="19"/>
      <c r="OB42" s="19"/>
      <c r="OD42" s="8"/>
      <c r="OE42" s="7"/>
      <c r="OF42" s="19"/>
      <c r="OG42" s="19"/>
      <c r="OH42" s="19"/>
      <c r="OI42" s="19"/>
      <c r="OK42" s="8"/>
      <c r="OL42" s="7"/>
      <c r="OM42" s="19"/>
      <c r="ON42" s="19"/>
      <c r="OO42" s="19"/>
      <c r="OP42" s="19"/>
      <c r="OR42" s="8"/>
      <c r="OS42" s="7"/>
      <c r="OT42" s="19"/>
      <c r="OU42" s="19"/>
      <c r="OV42" s="19"/>
      <c r="OW42" s="19"/>
      <c r="OY42" s="8"/>
      <c r="OZ42" s="7"/>
      <c r="PA42" s="19"/>
      <c r="PB42" s="19"/>
      <c r="PC42" s="19"/>
      <c r="PD42" s="19"/>
      <c r="PF42" s="8"/>
      <c r="PG42" s="7"/>
      <c r="PH42" s="19"/>
      <c r="PI42" s="19"/>
      <c r="PJ42" s="19"/>
      <c r="PK42" s="19"/>
      <c r="PM42" s="8"/>
    </row>
    <row r="43" spans="1:429" s="475" customFormat="1" ht="19" customHeight="1">
      <c r="A43" s="6" t="s">
        <v>442</v>
      </c>
      <c r="B43" s="472"/>
      <c r="C43" s="10"/>
      <c r="D43" s="20"/>
      <c r="E43" s="20"/>
      <c r="F43" s="20"/>
      <c r="G43" s="20"/>
      <c r="H43" s="10"/>
      <c r="I43" s="10"/>
      <c r="J43" s="10"/>
      <c r="K43" s="20"/>
      <c r="L43" s="20"/>
      <c r="M43" s="20"/>
      <c r="N43" s="20"/>
      <c r="O43" s="10"/>
      <c r="P43" s="10"/>
      <c r="Q43" s="10"/>
      <c r="R43" s="20"/>
      <c r="S43" s="20"/>
      <c r="T43" s="20"/>
      <c r="U43" s="20"/>
      <c r="V43" s="10"/>
      <c r="W43" s="10"/>
      <c r="X43" s="10"/>
      <c r="Y43" s="20"/>
      <c r="Z43" s="20"/>
      <c r="AA43" s="20"/>
      <c r="AB43" s="20"/>
      <c r="AC43" s="10"/>
      <c r="AD43" s="10"/>
      <c r="AE43" s="10"/>
      <c r="AF43" s="20"/>
      <c r="AG43" s="20"/>
      <c r="AH43" s="20"/>
      <c r="AI43" s="20"/>
      <c r="AJ43" s="10"/>
      <c r="AK43" s="10"/>
      <c r="AL43" s="10"/>
      <c r="AM43" s="20"/>
      <c r="AN43" s="20"/>
      <c r="AO43" s="20"/>
      <c r="AP43" s="20"/>
      <c r="AQ43" s="10"/>
      <c r="AR43" s="10"/>
      <c r="AS43" s="10"/>
      <c r="AT43" s="20"/>
      <c r="AU43" s="20"/>
      <c r="AV43" s="20"/>
      <c r="AW43" s="20"/>
      <c r="AX43" s="10"/>
      <c r="AY43" s="10"/>
      <c r="AZ43" s="10"/>
      <c r="BA43" s="20"/>
      <c r="BB43" s="20"/>
      <c r="BC43" s="20"/>
      <c r="BD43" s="20"/>
      <c r="BE43" s="10"/>
      <c r="BF43" s="10"/>
      <c r="BG43" s="10"/>
      <c r="BH43" s="20"/>
      <c r="BI43" s="20"/>
      <c r="BJ43" s="20"/>
      <c r="BK43" s="20"/>
      <c r="BL43" s="10"/>
      <c r="BM43" s="10"/>
      <c r="BN43" s="10"/>
      <c r="BO43" s="20"/>
      <c r="BP43" s="20"/>
      <c r="BQ43" s="20"/>
      <c r="BR43" s="20"/>
      <c r="BS43" s="10"/>
      <c r="BT43" s="10"/>
      <c r="BU43" s="26"/>
      <c r="BV43" s="26"/>
      <c r="BW43" s="26"/>
      <c r="BX43" s="26"/>
      <c r="BY43" s="26"/>
      <c r="BZ43" s="26"/>
      <c r="CA43" s="26"/>
      <c r="CB43" s="10"/>
      <c r="CC43" s="20"/>
      <c r="CD43" s="20"/>
      <c r="CE43" s="20"/>
      <c r="CF43" s="20"/>
      <c r="CG43" s="10"/>
      <c r="CH43" s="10"/>
      <c r="CI43" s="10"/>
      <c r="CJ43" s="20"/>
      <c r="CK43" s="20"/>
      <c r="CL43" s="20"/>
      <c r="CM43" s="20"/>
      <c r="CN43" s="10"/>
      <c r="CO43" s="10"/>
      <c r="CP43" s="10"/>
      <c r="CQ43" s="20"/>
      <c r="CR43" s="20"/>
      <c r="CS43" s="20"/>
      <c r="CT43" s="20"/>
      <c r="CU43" s="10"/>
      <c r="CV43" s="10"/>
      <c r="CW43" s="10"/>
      <c r="CX43" s="20"/>
      <c r="CY43" s="20"/>
      <c r="CZ43" s="20"/>
      <c r="DA43" s="20"/>
      <c r="DB43" s="10"/>
      <c r="DC43" s="10"/>
      <c r="DD43" s="10"/>
      <c r="DE43" s="20"/>
      <c r="DF43" s="20"/>
      <c r="DG43" s="20"/>
      <c r="DH43" s="20"/>
      <c r="DI43" s="10"/>
      <c r="DJ43" s="10"/>
      <c r="DK43" s="26"/>
      <c r="DL43" s="26"/>
      <c r="DM43" s="26"/>
      <c r="DN43" s="26"/>
      <c r="DO43" s="26"/>
      <c r="DP43" s="26"/>
      <c r="DQ43" s="26"/>
      <c r="DR43" s="26"/>
      <c r="DS43" s="26"/>
      <c r="DT43" s="26"/>
      <c r="DU43" s="26"/>
      <c r="DV43" s="26"/>
      <c r="DW43" s="26"/>
      <c r="DX43" s="26"/>
      <c r="DY43" s="10"/>
      <c r="DZ43" s="20"/>
      <c r="EA43" s="20"/>
      <c r="EB43" s="20"/>
      <c r="EC43" s="20"/>
      <c r="ED43" s="10"/>
      <c r="EE43" s="10"/>
      <c r="EF43" s="26" t="s">
        <v>458</v>
      </c>
      <c r="EG43" s="26"/>
      <c r="EH43" s="26"/>
      <c r="EI43" s="26"/>
      <c r="EJ43" s="26"/>
      <c r="EK43" s="26"/>
      <c r="EL43" s="26"/>
      <c r="EM43" s="26" t="s">
        <v>458</v>
      </c>
      <c r="EN43" s="26"/>
      <c r="EO43" s="26"/>
      <c r="EP43" s="26"/>
      <c r="EQ43" s="26"/>
      <c r="ER43" s="26"/>
      <c r="ES43" s="26"/>
      <c r="ET43" s="26" t="s">
        <v>458</v>
      </c>
      <c r="EU43" s="26"/>
      <c r="EV43" s="26"/>
      <c r="EW43" s="26"/>
      <c r="EX43" s="26"/>
      <c r="EY43" s="26"/>
      <c r="EZ43" s="26"/>
      <c r="FA43" s="10"/>
      <c r="FB43" s="20"/>
      <c r="FC43" s="20"/>
      <c r="FD43" s="20"/>
      <c r="FE43" s="20"/>
      <c r="FF43" s="10"/>
      <c r="FG43" s="10"/>
      <c r="FH43" s="10"/>
      <c r="FI43" s="20"/>
      <c r="FJ43" s="20"/>
      <c r="FK43" s="20"/>
      <c r="FL43" s="20"/>
      <c r="FM43" s="10"/>
      <c r="FN43" s="10"/>
      <c r="FO43" s="10"/>
      <c r="FP43" s="20"/>
      <c r="FQ43" s="20"/>
      <c r="FR43" s="20"/>
      <c r="FS43" s="20"/>
      <c r="FT43" s="10"/>
      <c r="FU43" s="10"/>
      <c r="FV43" s="10"/>
      <c r="FW43" s="20"/>
      <c r="FX43" s="20"/>
      <c r="FY43" s="20"/>
      <c r="FZ43" s="20"/>
      <c r="GA43" s="10"/>
      <c r="GB43" s="10"/>
      <c r="GC43" s="10"/>
      <c r="GD43" s="20"/>
      <c r="GE43" s="20"/>
      <c r="GF43" s="20"/>
      <c r="GG43" s="20"/>
      <c r="GH43" s="10"/>
      <c r="GI43" s="10"/>
      <c r="GJ43" s="10"/>
      <c r="GK43" s="20"/>
      <c r="GL43" s="20"/>
      <c r="GM43" s="20"/>
      <c r="GN43" s="20"/>
      <c r="GO43" s="10"/>
      <c r="GP43" s="10"/>
      <c r="GQ43" s="10"/>
      <c r="GR43" s="20"/>
      <c r="GS43" s="20"/>
      <c r="GT43" s="20"/>
      <c r="GU43" s="20"/>
      <c r="GV43" s="10"/>
      <c r="GW43" s="10"/>
      <c r="GX43" s="10"/>
      <c r="GY43" s="20"/>
      <c r="GZ43" s="20"/>
      <c r="HA43" s="20"/>
      <c r="HB43" s="20"/>
      <c r="HC43" s="10"/>
      <c r="HD43" s="10"/>
      <c r="HE43" s="10"/>
      <c r="HF43" s="20"/>
      <c r="HG43" s="20"/>
      <c r="HH43" s="20"/>
      <c r="HI43" s="20"/>
      <c r="HJ43" s="10"/>
      <c r="HK43" s="10"/>
      <c r="HL43" s="10"/>
      <c r="HM43" s="20"/>
      <c r="HN43" s="20"/>
      <c r="HO43" s="20"/>
      <c r="HP43" s="20"/>
      <c r="HQ43" s="10"/>
      <c r="HR43" s="10"/>
      <c r="HS43" s="10"/>
      <c r="HT43" s="20"/>
      <c r="HU43" s="20"/>
      <c r="HV43" s="20"/>
      <c r="HW43" s="20"/>
      <c r="HX43" s="10"/>
      <c r="HY43" s="10"/>
      <c r="HZ43" s="10"/>
      <c r="IA43" s="20"/>
      <c r="IB43" s="20"/>
      <c r="IC43" s="20"/>
      <c r="ID43" s="20"/>
      <c r="IE43" s="10"/>
      <c r="IF43" s="10"/>
      <c r="IG43" s="10"/>
      <c r="IH43" s="20"/>
      <c r="II43" s="20"/>
      <c r="IJ43" s="20"/>
      <c r="IK43" s="20"/>
      <c r="IL43" s="10"/>
      <c r="IM43" s="10"/>
      <c r="IN43" s="10"/>
      <c r="IO43" s="20"/>
      <c r="IP43" s="20"/>
      <c r="IQ43" s="20"/>
      <c r="IR43" s="20"/>
      <c r="IS43" s="10"/>
      <c r="IT43" s="10"/>
      <c r="IU43" s="10"/>
      <c r="IV43" s="20"/>
      <c r="IW43" s="20"/>
      <c r="IX43" s="20"/>
      <c r="IY43" s="20"/>
      <c r="IZ43" s="10"/>
      <c r="JA43" s="10"/>
      <c r="JB43" s="10"/>
      <c r="JC43" s="20"/>
      <c r="JD43" s="20"/>
      <c r="JE43" s="20"/>
      <c r="JF43" s="20"/>
      <c r="JG43" s="10"/>
      <c r="JH43" s="10"/>
      <c r="JI43" s="10"/>
      <c r="JJ43" s="20"/>
      <c r="JK43" s="20"/>
      <c r="JL43" s="20"/>
      <c r="JM43" s="20"/>
      <c r="JN43" s="10"/>
      <c r="JO43" s="10"/>
      <c r="JP43" s="10"/>
      <c r="JQ43" s="20"/>
      <c r="JR43" s="20"/>
      <c r="JS43" s="20"/>
      <c r="JT43" s="20"/>
      <c r="JU43" s="10"/>
      <c r="JV43" s="10"/>
      <c r="JW43" s="10"/>
      <c r="JX43" s="20"/>
      <c r="JY43" s="20"/>
      <c r="JZ43" s="20"/>
      <c r="KA43" s="20"/>
      <c r="KB43" s="10"/>
      <c r="KC43" s="10"/>
      <c r="KD43" s="10"/>
      <c r="KE43" s="20"/>
      <c r="KF43" s="20"/>
      <c r="KG43" s="20"/>
      <c r="KH43" s="20"/>
      <c r="KI43" s="10"/>
      <c r="KJ43" s="10"/>
      <c r="KK43" s="10"/>
      <c r="KL43" s="20"/>
      <c r="KM43" s="20"/>
      <c r="KN43" s="20"/>
      <c r="KO43" s="20"/>
      <c r="KP43" s="10"/>
      <c r="KQ43" s="10"/>
      <c r="KR43" s="10"/>
      <c r="KS43" s="20"/>
      <c r="KT43" s="20"/>
      <c r="KU43" s="20"/>
      <c r="KV43" s="20"/>
      <c r="KW43" s="10"/>
      <c r="KX43" s="10"/>
      <c r="KY43" s="10"/>
      <c r="KZ43" s="20"/>
      <c r="LA43" s="20"/>
      <c r="LB43" s="20"/>
      <c r="LC43" s="20"/>
      <c r="LD43" s="10"/>
      <c r="LE43" s="10"/>
      <c r="LF43" s="10"/>
      <c r="LG43" s="20"/>
      <c r="LH43" s="20"/>
      <c r="LI43" s="20"/>
      <c r="LJ43" s="20"/>
      <c r="LK43" s="10"/>
      <c r="LL43" s="10"/>
      <c r="LM43" s="10"/>
      <c r="LN43" s="20"/>
      <c r="LO43" s="20"/>
      <c r="LP43" s="20"/>
      <c r="LQ43" s="20"/>
      <c r="LR43" s="10"/>
      <c r="LS43" s="10"/>
      <c r="LT43" s="10"/>
      <c r="LU43" s="20"/>
      <c r="LV43" s="20"/>
      <c r="LW43" s="20"/>
      <c r="LX43" s="20"/>
      <c r="LY43" s="10"/>
      <c r="LZ43" s="10"/>
      <c r="MA43" s="10"/>
      <c r="MB43" s="20"/>
      <c r="MC43" s="20"/>
      <c r="MD43" s="20"/>
      <c r="ME43" s="20"/>
      <c r="MF43" s="10"/>
      <c r="MG43" s="10"/>
      <c r="MH43" s="10"/>
      <c r="MI43" s="20"/>
      <c r="MJ43" s="20"/>
      <c r="MK43" s="20"/>
      <c r="ML43" s="20"/>
      <c r="MM43" s="10"/>
      <c r="MN43" s="10"/>
      <c r="MO43" s="10"/>
      <c r="MP43" s="20"/>
      <c r="MQ43" s="20"/>
      <c r="MR43" s="20"/>
      <c r="MS43" s="20"/>
      <c r="MT43" s="10"/>
      <c r="MU43" s="10"/>
      <c r="MV43" s="10"/>
      <c r="MW43" s="20"/>
      <c r="MX43" s="20"/>
      <c r="MY43" s="20"/>
      <c r="MZ43" s="20"/>
      <c r="NA43" s="10"/>
      <c r="NB43" s="10"/>
      <c r="NC43" s="10"/>
      <c r="ND43" s="20"/>
      <c r="NE43" s="20"/>
      <c r="NF43" s="20"/>
      <c r="NG43" s="20"/>
      <c r="NH43" s="10"/>
      <c r="NI43" s="10"/>
      <c r="NJ43" s="10"/>
      <c r="NK43" s="20"/>
      <c r="NL43" s="20"/>
      <c r="NM43" s="20"/>
      <c r="NN43" s="20"/>
      <c r="NO43" s="10"/>
      <c r="NP43" s="10"/>
      <c r="NQ43" s="10"/>
      <c r="NR43" s="20"/>
      <c r="NS43" s="20"/>
      <c r="NT43" s="20"/>
      <c r="NU43" s="20"/>
      <c r="NV43" s="10"/>
      <c r="NW43" s="10"/>
      <c r="NX43" s="10"/>
      <c r="NY43" s="20"/>
      <c r="NZ43" s="20"/>
      <c r="OA43" s="20"/>
      <c r="OB43" s="20"/>
      <c r="OC43" s="10"/>
      <c r="OD43" s="10"/>
      <c r="OE43" s="10"/>
      <c r="OF43" s="20"/>
      <c r="OG43" s="20"/>
      <c r="OH43" s="20"/>
      <c r="OI43" s="20"/>
      <c r="OJ43" s="10"/>
      <c r="OK43" s="10"/>
      <c r="OL43" s="10"/>
      <c r="OM43" s="20"/>
      <c r="ON43" s="20"/>
      <c r="OO43" s="20"/>
      <c r="OP43" s="20"/>
      <c r="OQ43" s="10"/>
      <c r="OR43" s="10"/>
      <c r="OS43" s="10"/>
      <c r="OT43" s="20"/>
      <c r="OU43" s="20"/>
      <c r="OV43" s="20"/>
      <c r="OW43" s="20"/>
      <c r="OX43" s="10"/>
      <c r="OY43" s="10"/>
      <c r="OZ43" s="10"/>
      <c r="PA43" s="20"/>
      <c r="PB43" s="20"/>
      <c r="PC43" s="20"/>
      <c r="PD43" s="20"/>
      <c r="PE43" s="10"/>
      <c r="PF43" s="10"/>
      <c r="PG43" s="10"/>
      <c r="PH43" s="20"/>
      <c r="PI43" s="20"/>
      <c r="PJ43" s="20"/>
      <c r="PK43" s="20"/>
      <c r="PL43" s="10"/>
      <c r="PM43" s="10"/>
    </row>
    <row r="44" spans="1:429" s="1" customFormat="1" ht="26" customHeight="1" outlineLevel="1">
      <c r="B44" s="471"/>
      <c r="C44" s="7"/>
      <c r="D44" s="19"/>
      <c r="E44" s="19"/>
      <c r="F44" s="19"/>
      <c r="G44" s="19"/>
      <c r="I44" s="8"/>
      <c r="J44" s="7"/>
      <c r="K44" s="19"/>
      <c r="L44" s="19"/>
      <c r="M44" s="19"/>
      <c r="N44" s="19"/>
      <c r="P44" s="8"/>
      <c r="Q44" s="7"/>
      <c r="R44" s="19"/>
      <c r="S44" s="19"/>
      <c r="T44" s="19"/>
      <c r="U44" s="19"/>
      <c r="W44" s="8"/>
      <c r="X44" s="7"/>
      <c r="Y44" s="19"/>
      <c r="Z44" s="19"/>
      <c r="AA44" s="19"/>
      <c r="AB44" s="19"/>
      <c r="AD44" s="8"/>
      <c r="AE44" s="7"/>
      <c r="AF44" s="19"/>
      <c r="AG44" s="19"/>
      <c r="AH44" s="19"/>
      <c r="AI44" s="19"/>
      <c r="AK44" s="8"/>
      <c r="AL44" s="7"/>
      <c r="AM44" s="19"/>
      <c r="AN44" s="19"/>
      <c r="AO44" s="19"/>
      <c r="AP44" s="19"/>
      <c r="AR44" s="8"/>
      <c r="AS44" s="7"/>
      <c r="AT44" s="19"/>
      <c r="AU44" s="19"/>
      <c r="AV44" s="19"/>
      <c r="AW44" s="19"/>
      <c r="AY44" s="8"/>
      <c r="AZ44" s="7"/>
      <c r="BA44" s="19"/>
      <c r="BB44" s="19"/>
      <c r="BC44" s="19"/>
      <c r="BD44" s="19"/>
      <c r="BF44" s="8"/>
      <c r="BG44" s="7"/>
      <c r="BH44" s="19"/>
      <c r="BI44" s="19"/>
      <c r="BJ44" s="19"/>
      <c r="BK44" s="19"/>
      <c r="BM44" s="8"/>
      <c r="BN44" s="7"/>
      <c r="BO44" s="19"/>
      <c r="BP44" s="19"/>
      <c r="BQ44" s="19"/>
      <c r="BR44" s="19"/>
      <c r="BT44" s="8"/>
      <c r="BU44" s="7"/>
      <c r="BV44" s="19"/>
      <c r="BW44" s="19"/>
      <c r="BX44" s="19"/>
      <c r="BY44" s="19"/>
      <c r="CA44" s="8"/>
      <c r="CB44" s="7"/>
      <c r="CC44" s="19"/>
      <c r="CD44" s="19"/>
      <c r="CE44" s="19"/>
      <c r="CF44" s="19"/>
      <c r="CH44" s="8"/>
      <c r="CI44" s="7"/>
      <c r="CJ44" s="19"/>
      <c r="CK44" s="19"/>
      <c r="CL44" s="19"/>
      <c r="CM44" s="19"/>
      <c r="CO44" s="8"/>
      <c r="CP44" s="7"/>
      <c r="CQ44" s="19"/>
      <c r="CR44" s="19"/>
      <c r="CS44" s="19"/>
      <c r="CT44" s="19"/>
      <c r="CV44" s="8"/>
      <c r="CW44" s="7"/>
      <c r="CX44" s="19"/>
      <c r="CY44" s="19"/>
      <c r="CZ44" s="19"/>
      <c r="DA44" s="19"/>
      <c r="DC44" s="8"/>
      <c r="DD44" s="7"/>
      <c r="DE44" s="19"/>
      <c r="DF44" s="19"/>
      <c r="DG44" s="19"/>
      <c r="DH44" s="19"/>
      <c r="DJ44" s="8"/>
      <c r="DK44" s="7"/>
      <c r="DL44" s="19"/>
      <c r="DM44" s="19"/>
      <c r="DN44" s="19"/>
      <c r="DO44" s="19"/>
      <c r="DQ44" s="8"/>
      <c r="DR44" s="7"/>
      <c r="DS44" s="19"/>
      <c r="DT44" s="19"/>
      <c r="DU44" s="19"/>
      <c r="DV44" s="19"/>
      <c r="DX44" s="8"/>
      <c r="DY44" s="7"/>
      <c r="DZ44" s="19"/>
      <c r="EA44" s="19"/>
      <c r="EB44" s="19"/>
      <c r="EC44" s="19"/>
      <c r="EE44" s="8"/>
      <c r="EF44" s="7" t="s">
        <v>107</v>
      </c>
      <c r="EG44" s="19" t="s">
        <v>443</v>
      </c>
      <c r="EH44" s="19"/>
      <c r="EI44" s="19"/>
      <c r="EJ44" s="19"/>
      <c r="EL44" s="8" t="s">
        <v>446</v>
      </c>
      <c r="EM44" s="7" t="s">
        <v>107</v>
      </c>
      <c r="EN44" s="19" t="s">
        <v>443</v>
      </c>
      <c r="EO44" s="19"/>
      <c r="EP44" s="19"/>
      <c r="EQ44" s="19"/>
      <c r="ES44" s="8" t="s">
        <v>446</v>
      </c>
      <c r="ET44" s="7" t="s">
        <v>107</v>
      </c>
      <c r="EU44" s="19" t="s">
        <v>443</v>
      </c>
      <c r="EV44" s="19"/>
      <c r="EW44" s="19"/>
      <c r="EX44" s="19"/>
      <c r="EZ44" s="8" t="s">
        <v>446</v>
      </c>
      <c r="FA44" s="7"/>
      <c r="FB44" s="19"/>
      <c r="FC44" s="19"/>
      <c r="FD44" s="19"/>
      <c r="FE44" s="19"/>
      <c r="FG44" s="8"/>
      <c r="FH44" s="7"/>
      <c r="FI44" s="19"/>
      <c r="FJ44" s="19"/>
      <c r="FK44" s="19"/>
      <c r="FL44" s="19"/>
      <c r="FN44" s="8"/>
      <c r="FO44" s="7"/>
      <c r="FP44" s="19"/>
      <c r="FQ44" s="19"/>
      <c r="FR44" s="19"/>
      <c r="FS44" s="19"/>
      <c r="FU44" s="8"/>
      <c r="FV44" s="7"/>
      <c r="FW44" s="19"/>
      <c r="FX44" s="19"/>
      <c r="FY44" s="19"/>
      <c r="FZ44" s="19"/>
      <c r="GB44" s="8"/>
      <c r="GC44" s="7"/>
      <c r="GD44" s="19"/>
      <c r="GE44" s="19"/>
      <c r="GF44" s="19"/>
      <c r="GG44" s="19"/>
      <c r="GI44" s="8"/>
      <c r="GJ44" s="7"/>
      <c r="GK44" s="19"/>
      <c r="GL44" s="19"/>
      <c r="GM44" s="19"/>
      <c r="GN44" s="19"/>
      <c r="GP44" s="8"/>
      <c r="GQ44" s="7"/>
      <c r="GR44" s="19"/>
      <c r="GS44" s="19"/>
      <c r="GT44" s="19"/>
      <c r="GU44" s="19"/>
      <c r="GW44" s="8"/>
      <c r="GX44" s="7"/>
      <c r="GY44" s="19"/>
      <c r="GZ44" s="19"/>
      <c r="HA44" s="19"/>
      <c r="HB44" s="19"/>
      <c r="HD44" s="8"/>
      <c r="HE44" s="7"/>
      <c r="HF44" s="19"/>
      <c r="HG44" s="19"/>
      <c r="HH44" s="19"/>
      <c r="HI44" s="19"/>
      <c r="HK44" s="8"/>
      <c r="HL44" s="7"/>
      <c r="HM44" s="19"/>
      <c r="HN44" s="19"/>
      <c r="HO44" s="19"/>
      <c r="HP44" s="19"/>
      <c r="HR44" s="8"/>
      <c r="HS44" s="7"/>
      <c r="HT44" s="19"/>
      <c r="HU44" s="19"/>
      <c r="HV44" s="19"/>
      <c r="HW44" s="19"/>
      <c r="HY44" s="8"/>
      <c r="HZ44" s="7"/>
      <c r="IA44" s="19"/>
      <c r="IB44" s="19"/>
      <c r="IC44" s="19"/>
      <c r="ID44" s="19"/>
      <c r="IF44" s="8"/>
      <c r="IG44" s="7"/>
      <c r="IH44" s="19"/>
      <c r="II44" s="19"/>
      <c r="IJ44" s="19"/>
      <c r="IK44" s="19"/>
      <c r="IM44" s="8"/>
      <c r="IN44" s="7"/>
      <c r="IO44" s="19"/>
      <c r="IP44" s="19"/>
      <c r="IQ44" s="19"/>
      <c r="IR44" s="19"/>
      <c r="IT44" s="8"/>
      <c r="IU44" s="7"/>
      <c r="IV44" s="19"/>
      <c r="IW44" s="19"/>
      <c r="IX44" s="19"/>
      <c r="IY44" s="19"/>
      <c r="JA44" s="8"/>
      <c r="JB44" s="7"/>
      <c r="JC44" s="19"/>
      <c r="JD44" s="19"/>
      <c r="JE44" s="19"/>
      <c r="JF44" s="19"/>
      <c r="JH44" s="8"/>
      <c r="JI44" s="7"/>
      <c r="JJ44" s="19"/>
      <c r="JK44" s="19"/>
      <c r="JL44" s="19"/>
      <c r="JM44" s="19"/>
      <c r="JO44" s="8"/>
      <c r="JP44" s="7"/>
      <c r="JQ44" s="19"/>
      <c r="JR44" s="19"/>
      <c r="JS44" s="19"/>
      <c r="JT44" s="19"/>
      <c r="JV44" s="8"/>
      <c r="JW44" s="7"/>
      <c r="JX44" s="19"/>
      <c r="JY44" s="19"/>
      <c r="JZ44" s="19"/>
      <c r="KA44" s="19"/>
      <c r="KC44" s="8"/>
      <c r="KD44" s="7"/>
      <c r="KE44" s="19"/>
      <c r="KF44" s="19"/>
      <c r="KG44" s="19"/>
      <c r="KH44" s="19"/>
      <c r="KJ44" s="8"/>
      <c r="KK44" s="7"/>
      <c r="KL44" s="19"/>
      <c r="KM44" s="19"/>
      <c r="KN44" s="19"/>
      <c r="KO44" s="19"/>
      <c r="KQ44" s="8"/>
      <c r="KR44" s="7"/>
      <c r="KS44" s="19"/>
      <c r="KT44" s="19"/>
      <c r="KU44" s="19"/>
      <c r="KV44" s="19"/>
      <c r="KX44" s="8"/>
      <c r="KY44" s="7"/>
      <c r="KZ44" s="19"/>
      <c r="LA44" s="19"/>
      <c r="LB44" s="19"/>
      <c r="LC44" s="19"/>
      <c r="LE44" s="8"/>
      <c r="LF44" s="7"/>
      <c r="LG44" s="19"/>
      <c r="LH44" s="19"/>
      <c r="LI44" s="19"/>
      <c r="LJ44" s="19"/>
      <c r="LL44" s="8"/>
      <c r="LM44" s="7"/>
      <c r="LN44" s="19"/>
      <c r="LO44" s="19"/>
      <c r="LP44" s="19"/>
      <c r="LQ44" s="19"/>
      <c r="LS44" s="8"/>
      <c r="LT44" s="7"/>
      <c r="LU44" s="19"/>
      <c r="LV44" s="19"/>
      <c r="LW44" s="19"/>
      <c r="LX44" s="19"/>
      <c r="LZ44" s="8"/>
      <c r="MA44" s="7"/>
      <c r="MB44" s="19"/>
      <c r="MC44" s="19"/>
      <c r="MD44" s="19"/>
      <c r="ME44" s="19"/>
      <c r="MG44" s="8"/>
      <c r="MH44" s="7"/>
      <c r="MI44" s="19"/>
      <c r="MJ44" s="19"/>
      <c r="MK44" s="19"/>
      <c r="ML44" s="19"/>
      <c r="MN44" s="8"/>
      <c r="MO44" s="7"/>
      <c r="MP44" s="19"/>
      <c r="MQ44" s="19"/>
      <c r="MR44" s="19"/>
      <c r="MS44" s="19"/>
      <c r="MU44" s="8"/>
      <c r="MV44" s="7"/>
      <c r="MW44" s="19"/>
      <c r="MX44" s="19"/>
      <c r="MY44" s="19"/>
      <c r="MZ44" s="19"/>
      <c r="NB44" s="8"/>
      <c r="NC44" s="7"/>
      <c r="ND44" s="19"/>
      <c r="NE44" s="19"/>
      <c r="NF44" s="19"/>
      <c r="NG44" s="19"/>
      <c r="NI44" s="8"/>
      <c r="NJ44" s="7"/>
      <c r="NK44" s="19"/>
      <c r="NL44" s="19"/>
      <c r="NM44" s="19"/>
      <c r="NN44" s="19"/>
      <c r="NP44" s="8"/>
      <c r="NQ44" s="7"/>
      <c r="NR44" s="19"/>
      <c r="NS44" s="19"/>
      <c r="NT44" s="19"/>
      <c r="NU44" s="19"/>
      <c r="NW44" s="8"/>
      <c r="NX44" s="7"/>
      <c r="NY44" s="19"/>
      <c r="NZ44" s="19"/>
      <c r="OA44" s="19"/>
      <c r="OB44" s="19"/>
      <c r="OD44" s="8"/>
      <c r="OE44" s="7"/>
      <c r="OF44" s="19"/>
      <c r="OG44" s="19"/>
      <c r="OH44" s="19"/>
      <c r="OI44" s="19"/>
      <c r="OK44" s="8"/>
      <c r="OL44" s="7"/>
      <c r="OM44" s="19"/>
      <c r="ON44" s="19"/>
      <c r="OO44" s="19"/>
      <c r="OP44" s="19"/>
      <c r="OR44" s="8"/>
      <c r="OS44" s="7"/>
      <c r="OT44" s="19"/>
      <c r="OU44" s="19"/>
      <c r="OV44" s="19"/>
      <c r="OW44" s="19"/>
      <c r="OY44" s="8"/>
      <c r="OZ44" s="7"/>
      <c r="PA44" s="19"/>
      <c r="PB44" s="19"/>
      <c r="PC44" s="19"/>
      <c r="PD44" s="19"/>
      <c r="PF44" s="8"/>
      <c r="PG44" s="7"/>
      <c r="PH44" s="19"/>
      <c r="PI44" s="19"/>
      <c r="PJ44" s="19"/>
      <c r="PK44" s="19"/>
      <c r="PM44" s="8"/>
    </row>
    <row r="45" spans="1:429" s="1" customFormat="1" ht="26" customHeight="1" outlineLevel="1">
      <c r="B45" s="471"/>
      <c r="C45" s="7"/>
      <c r="D45" s="19"/>
      <c r="E45" s="19"/>
      <c r="F45" s="19"/>
      <c r="G45" s="19"/>
      <c r="I45" s="8"/>
      <c r="J45" s="7"/>
      <c r="K45" s="19"/>
      <c r="L45" s="19"/>
      <c r="M45" s="19"/>
      <c r="N45" s="19"/>
      <c r="P45" s="8"/>
      <c r="Q45" s="7"/>
      <c r="R45" s="19"/>
      <c r="S45" s="19"/>
      <c r="T45" s="19"/>
      <c r="U45" s="19"/>
      <c r="W45" s="8"/>
      <c r="X45" s="7"/>
      <c r="Y45" s="19"/>
      <c r="Z45" s="19"/>
      <c r="AA45" s="19"/>
      <c r="AB45" s="19"/>
      <c r="AD45" s="8"/>
      <c r="AE45" s="7"/>
      <c r="AF45" s="19"/>
      <c r="AG45" s="19"/>
      <c r="AH45" s="19"/>
      <c r="AI45" s="19"/>
      <c r="AK45" s="8"/>
      <c r="AL45" s="7"/>
      <c r="AM45" s="19"/>
      <c r="AN45" s="19"/>
      <c r="AO45" s="19"/>
      <c r="AP45" s="19"/>
      <c r="AR45" s="8"/>
      <c r="AS45" s="7"/>
      <c r="AT45" s="19"/>
      <c r="AU45" s="19"/>
      <c r="AV45" s="19"/>
      <c r="AW45" s="19"/>
      <c r="AY45" s="8"/>
      <c r="AZ45" s="7"/>
      <c r="BA45" s="19"/>
      <c r="BB45" s="19"/>
      <c r="BC45" s="19"/>
      <c r="BD45" s="19"/>
      <c r="BF45" s="8"/>
      <c r="BG45" s="7"/>
      <c r="BH45" s="19"/>
      <c r="BI45" s="19"/>
      <c r="BJ45" s="19"/>
      <c r="BK45" s="19"/>
      <c r="BM45" s="8"/>
      <c r="BN45" s="7"/>
      <c r="BO45" s="19"/>
      <c r="BP45" s="19"/>
      <c r="BQ45" s="19"/>
      <c r="BR45" s="19"/>
      <c r="BT45" s="8"/>
      <c r="BU45" s="7"/>
      <c r="BV45" s="19"/>
      <c r="BW45" s="19"/>
      <c r="BX45" s="19"/>
      <c r="BY45" s="19"/>
      <c r="CA45" s="8"/>
      <c r="CB45" s="7"/>
      <c r="CC45" s="19"/>
      <c r="CD45" s="19"/>
      <c r="CE45" s="19"/>
      <c r="CF45" s="19"/>
      <c r="CH45" s="8"/>
      <c r="CI45" s="7"/>
      <c r="CJ45" s="19"/>
      <c r="CK45" s="19"/>
      <c r="CL45" s="19"/>
      <c r="CM45" s="19"/>
      <c r="CO45" s="8"/>
      <c r="CP45" s="7"/>
      <c r="CQ45" s="19"/>
      <c r="CR45" s="19"/>
      <c r="CS45" s="19"/>
      <c r="CT45" s="19"/>
      <c r="CV45" s="8"/>
      <c r="CW45" s="7"/>
      <c r="CX45" s="19"/>
      <c r="CY45" s="19"/>
      <c r="CZ45" s="19"/>
      <c r="DA45" s="19"/>
      <c r="DC45" s="8"/>
      <c r="DD45" s="7"/>
      <c r="DE45" s="19"/>
      <c r="DF45" s="19"/>
      <c r="DG45" s="19"/>
      <c r="DH45" s="19"/>
      <c r="DJ45" s="8"/>
      <c r="DK45" s="7"/>
      <c r="DL45" s="19"/>
      <c r="DM45" s="19"/>
      <c r="DN45" s="19"/>
      <c r="DO45" s="19"/>
      <c r="DQ45" s="8"/>
      <c r="DR45" s="7"/>
      <c r="DS45" s="19"/>
      <c r="DT45" s="19"/>
      <c r="DU45" s="19"/>
      <c r="DV45" s="19"/>
      <c r="DX45" s="8"/>
      <c r="DY45" s="7"/>
      <c r="DZ45" s="19"/>
      <c r="EA45" s="19"/>
      <c r="EB45" s="19"/>
      <c r="EC45" s="19"/>
      <c r="EE45" s="8"/>
      <c r="EF45" s="7" t="s">
        <v>108</v>
      </c>
      <c r="EG45" s="19" t="s">
        <v>444</v>
      </c>
      <c r="EH45" s="19"/>
      <c r="EI45" s="19"/>
      <c r="EJ45" s="19"/>
      <c r="EL45" s="8" t="s">
        <v>446</v>
      </c>
      <c r="EM45" s="7" t="s">
        <v>108</v>
      </c>
      <c r="EN45" s="19" t="s">
        <v>444</v>
      </c>
      <c r="EO45" s="19"/>
      <c r="EP45" s="19"/>
      <c r="EQ45" s="19"/>
      <c r="ES45" s="8" t="s">
        <v>446</v>
      </c>
      <c r="ET45" s="7" t="s">
        <v>108</v>
      </c>
      <c r="EU45" s="19" t="s">
        <v>444</v>
      </c>
      <c r="EV45" s="19"/>
      <c r="EW45" s="19"/>
      <c r="EX45" s="19"/>
      <c r="EZ45" s="8" t="s">
        <v>446</v>
      </c>
      <c r="FA45" s="7"/>
      <c r="FB45" s="19"/>
      <c r="FC45" s="19"/>
      <c r="FD45" s="19"/>
      <c r="FE45" s="19"/>
      <c r="FG45" s="8"/>
      <c r="FH45" s="7"/>
      <c r="FI45" s="19"/>
      <c r="FJ45" s="19"/>
      <c r="FK45" s="19"/>
      <c r="FL45" s="19"/>
      <c r="FN45" s="8"/>
      <c r="FO45" s="7"/>
      <c r="FP45" s="19"/>
      <c r="FQ45" s="19"/>
      <c r="FR45" s="19"/>
      <c r="FS45" s="19"/>
      <c r="FU45" s="8"/>
      <c r="FV45" s="7"/>
      <c r="FW45" s="19"/>
      <c r="FX45" s="19"/>
      <c r="FY45" s="19"/>
      <c r="FZ45" s="19"/>
      <c r="GB45" s="8"/>
      <c r="GC45" s="7"/>
      <c r="GD45" s="19"/>
      <c r="GE45" s="19"/>
      <c r="GF45" s="19"/>
      <c r="GG45" s="19"/>
      <c r="GI45" s="8"/>
      <c r="GJ45" s="7"/>
      <c r="GK45" s="19"/>
      <c r="GL45" s="19"/>
      <c r="GM45" s="19"/>
      <c r="GN45" s="19"/>
      <c r="GP45" s="8"/>
      <c r="GQ45" s="7"/>
      <c r="GR45" s="19"/>
      <c r="GS45" s="19"/>
      <c r="GT45" s="19"/>
      <c r="GU45" s="19"/>
      <c r="GW45" s="8"/>
      <c r="GX45" s="7"/>
      <c r="GY45" s="19"/>
      <c r="GZ45" s="19"/>
      <c r="HA45" s="19"/>
      <c r="HB45" s="19"/>
      <c r="HD45" s="8"/>
      <c r="HE45" s="7"/>
      <c r="HF45" s="19"/>
      <c r="HG45" s="19"/>
      <c r="HH45" s="19"/>
      <c r="HI45" s="19"/>
      <c r="HK45" s="8"/>
      <c r="HL45" s="7"/>
      <c r="HM45" s="19"/>
      <c r="HN45" s="19"/>
      <c r="HO45" s="19"/>
      <c r="HP45" s="19"/>
      <c r="HR45" s="8"/>
      <c r="HS45" s="7"/>
      <c r="HT45" s="19"/>
      <c r="HU45" s="19"/>
      <c r="HV45" s="19"/>
      <c r="HW45" s="19"/>
      <c r="HY45" s="8"/>
      <c r="HZ45" s="7"/>
      <c r="IA45" s="19"/>
      <c r="IB45" s="19"/>
      <c r="IC45" s="19"/>
      <c r="ID45" s="19"/>
      <c r="IF45" s="8"/>
      <c r="IG45" s="7"/>
      <c r="IH45" s="19"/>
      <c r="II45" s="19"/>
      <c r="IJ45" s="19"/>
      <c r="IK45" s="19"/>
      <c r="IM45" s="8"/>
      <c r="IN45" s="7"/>
      <c r="IO45" s="19"/>
      <c r="IP45" s="19"/>
      <c r="IQ45" s="19"/>
      <c r="IR45" s="19"/>
      <c r="IT45" s="8"/>
      <c r="IU45" s="7"/>
      <c r="IV45" s="19"/>
      <c r="IW45" s="19"/>
      <c r="IX45" s="19"/>
      <c r="IY45" s="19"/>
      <c r="JA45" s="8"/>
      <c r="JB45" s="7"/>
      <c r="JC45" s="19"/>
      <c r="JD45" s="19"/>
      <c r="JE45" s="19"/>
      <c r="JF45" s="19"/>
      <c r="JH45" s="8"/>
      <c r="JI45" s="7"/>
      <c r="JJ45" s="19"/>
      <c r="JK45" s="19"/>
      <c r="JL45" s="19"/>
      <c r="JM45" s="19"/>
      <c r="JO45" s="8"/>
      <c r="JP45" s="7"/>
      <c r="JQ45" s="19"/>
      <c r="JR45" s="19"/>
      <c r="JS45" s="19"/>
      <c r="JT45" s="19"/>
      <c r="JV45" s="8"/>
      <c r="JW45" s="7"/>
      <c r="JX45" s="19"/>
      <c r="JY45" s="19"/>
      <c r="JZ45" s="19"/>
      <c r="KA45" s="19"/>
      <c r="KC45" s="8"/>
      <c r="KD45" s="7"/>
      <c r="KE45" s="19"/>
      <c r="KF45" s="19"/>
      <c r="KG45" s="19"/>
      <c r="KH45" s="19"/>
      <c r="KJ45" s="8"/>
      <c r="KK45" s="7"/>
      <c r="KL45" s="19"/>
      <c r="KM45" s="19"/>
      <c r="KN45" s="19"/>
      <c r="KO45" s="19"/>
      <c r="KQ45" s="8"/>
      <c r="KR45" s="7"/>
      <c r="KS45" s="19"/>
      <c r="KT45" s="19"/>
      <c r="KU45" s="19"/>
      <c r="KV45" s="19"/>
      <c r="KX45" s="8"/>
      <c r="KY45" s="7"/>
      <c r="KZ45" s="19"/>
      <c r="LA45" s="19"/>
      <c r="LB45" s="19"/>
      <c r="LC45" s="19"/>
      <c r="LE45" s="8"/>
      <c r="LF45" s="7"/>
      <c r="LG45" s="19"/>
      <c r="LH45" s="19"/>
      <c r="LI45" s="19"/>
      <c r="LJ45" s="19"/>
      <c r="LL45" s="8"/>
      <c r="LM45" s="7"/>
      <c r="LN45" s="19"/>
      <c r="LO45" s="19"/>
      <c r="LP45" s="19"/>
      <c r="LQ45" s="19"/>
      <c r="LS45" s="8"/>
      <c r="LT45" s="7"/>
      <c r="LU45" s="19"/>
      <c r="LV45" s="19"/>
      <c r="LW45" s="19"/>
      <c r="LX45" s="19"/>
      <c r="LZ45" s="8"/>
      <c r="MA45" s="7"/>
      <c r="MB45" s="19"/>
      <c r="MC45" s="19"/>
      <c r="MD45" s="19"/>
      <c r="ME45" s="19"/>
      <c r="MG45" s="8"/>
      <c r="MH45" s="7"/>
      <c r="MI45" s="19"/>
      <c r="MJ45" s="19"/>
      <c r="MK45" s="19"/>
      <c r="ML45" s="19"/>
      <c r="MN45" s="8"/>
      <c r="MO45" s="7"/>
      <c r="MP45" s="19"/>
      <c r="MQ45" s="19"/>
      <c r="MR45" s="19"/>
      <c r="MS45" s="19"/>
      <c r="MU45" s="8"/>
      <c r="MV45" s="7"/>
      <c r="MW45" s="19"/>
      <c r="MX45" s="19"/>
      <c r="MY45" s="19"/>
      <c r="MZ45" s="19"/>
      <c r="NB45" s="8"/>
      <c r="NC45" s="7"/>
      <c r="ND45" s="19"/>
      <c r="NE45" s="19"/>
      <c r="NF45" s="19"/>
      <c r="NG45" s="19"/>
      <c r="NI45" s="8"/>
      <c r="NJ45" s="7"/>
      <c r="NK45" s="19"/>
      <c r="NL45" s="19"/>
      <c r="NM45" s="19"/>
      <c r="NN45" s="19"/>
      <c r="NP45" s="8"/>
      <c r="NQ45" s="7"/>
      <c r="NR45" s="19"/>
      <c r="NS45" s="19"/>
      <c r="NT45" s="19"/>
      <c r="NU45" s="19"/>
      <c r="NW45" s="8"/>
      <c r="NX45" s="7"/>
      <c r="NY45" s="19"/>
      <c r="NZ45" s="19"/>
      <c r="OA45" s="19"/>
      <c r="OB45" s="19"/>
      <c r="OD45" s="8"/>
      <c r="OE45" s="7"/>
      <c r="OF45" s="19"/>
      <c r="OG45" s="19"/>
      <c r="OH45" s="19"/>
      <c r="OI45" s="19"/>
      <c r="OK45" s="8"/>
      <c r="OL45" s="7"/>
      <c r="OM45" s="19"/>
      <c r="ON45" s="19"/>
      <c r="OO45" s="19"/>
      <c r="OP45" s="19"/>
      <c r="OR45" s="8"/>
      <c r="OS45" s="7"/>
      <c r="OT45" s="19"/>
      <c r="OU45" s="19"/>
      <c r="OV45" s="19"/>
      <c r="OW45" s="19"/>
      <c r="OY45" s="8"/>
      <c r="OZ45" s="7"/>
      <c r="PA45" s="19"/>
      <c r="PB45" s="19"/>
      <c r="PC45" s="19"/>
      <c r="PD45" s="19"/>
      <c r="PF45" s="8"/>
      <c r="PG45" s="7"/>
      <c r="PH45" s="19"/>
      <c r="PI45" s="19"/>
      <c r="PJ45" s="19"/>
      <c r="PK45" s="19"/>
      <c r="PM45" s="8"/>
    </row>
    <row r="46" spans="1:429" s="1" customFormat="1" ht="26" customHeight="1" outlineLevel="1">
      <c r="B46" s="471"/>
      <c r="C46" s="7"/>
      <c r="D46" s="19"/>
      <c r="E46" s="19"/>
      <c r="F46" s="19"/>
      <c r="G46" s="19"/>
      <c r="I46" s="8"/>
      <c r="J46" s="7"/>
      <c r="K46" s="19"/>
      <c r="L46" s="19"/>
      <c r="M46" s="19"/>
      <c r="N46" s="19"/>
      <c r="P46" s="8"/>
      <c r="Q46" s="7"/>
      <c r="R46" s="19"/>
      <c r="S46" s="19"/>
      <c r="T46" s="19"/>
      <c r="U46" s="19"/>
      <c r="W46" s="8"/>
      <c r="X46" s="7"/>
      <c r="Y46" s="19"/>
      <c r="Z46" s="19"/>
      <c r="AA46" s="19"/>
      <c r="AB46" s="19"/>
      <c r="AD46" s="8"/>
      <c r="AE46" s="7"/>
      <c r="AF46" s="19"/>
      <c r="AG46" s="19"/>
      <c r="AH46" s="19"/>
      <c r="AI46" s="19"/>
      <c r="AK46" s="8"/>
      <c r="AL46" s="7"/>
      <c r="AM46" s="19"/>
      <c r="AN46" s="19"/>
      <c r="AO46" s="19"/>
      <c r="AP46" s="19"/>
      <c r="AR46" s="8"/>
      <c r="AS46" s="7"/>
      <c r="AT46" s="19"/>
      <c r="AU46" s="19"/>
      <c r="AV46" s="19"/>
      <c r="AW46" s="19"/>
      <c r="AY46" s="8"/>
      <c r="AZ46" s="7"/>
      <c r="BA46" s="19"/>
      <c r="BB46" s="19"/>
      <c r="BC46" s="19"/>
      <c r="BD46" s="19"/>
      <c r="BF46" s="8"/>
      <c r="BG46" s="7"/>
      <c r="BH46" s="19"/>
      <c r="BI46" s="19"/>
      <c r="BJ46" s="19"/>
      <c r="BK46" s="19"/>
      <c r="BM46" s="8"/>
      <c r="BN46" s="7"/>
      <c r="BO46" s="19"/>
      <c r="BP46" s="19"/>
      <c r="BQ46" s="19"/>
      <c r="BR46" s="19"/>
      <c r="BT46" s="8"/>
      <c r="BU46" s="7"/>
      <c r="BV46" s="19"/>
      <c r="BW46" s="19"/>
      <c r="BX46" s="19"/>
      <c r="BY46" s="19"/>
      <c r="CA46" s="8"/>
      <c r="CB46" s="7"/>
      <c r="CC46" s="19"/>
      <c r="CD46" s="19"/>
      <c r="CE46" s="19"/>
      <c r="CF46" s="19"/>
      <c r="CH46" s="8"/>
      <c r="CI46" s="7"/>
      <c r="CJ46" s="19"/>
      <c r="CK46" s="19"/>
      <c r="CL46" s="19"/>
      <c r="CM46" s="19"/>
      <c r="CO46" s="8"/>
      <c r="CP46" s="7"/>
      <c r="CQ46" s="19"/>
      <c r="CR46" s="19"/>
      <c r="CS46" s="19"/>
      <c r="CT46" s="19"/>
      <c r="CV46" s="8"/>
      <c r="CW46" s="7"/>
      <c r="CX46" s="19"/>
      <c r="CY46" s="19"/>
      <c r="CZ46" s="19"/>
      <c r="DA46" s="19"/>
      <c r="DC46" s="8"/>
      <c r="DD46" s="7"/>
      <c r="DE46" s="19"/>
      <c r="DF46" s="19"/>
      <c r="DG46" s="19"/>
      <c r="DH46" s="19"/>
      <c r="DJ46" s="8"/>
      <c r="DK46" s="7"/>
      <c r="DL46" s="19"/>
      <c r="DM46" s="19"/>
      <c r="DN46" s="19"/>
      <c r="DO46" s="19"/>
      <c r="DQ46" s="9"/>
      <c r="DR46" s="7"/>
      <c r="DS46" s="19"/>
      <c r="DT46" s="19"/>
      <c r="DU46" s="19"/>
      <c r="DV46" s="19"/>
      <c r="DX46" s="9"/>
      <c r="DY46" s="7"/>
      <c r="DZ46" s="19"/>
      <c r="EA46" s="19"/>
      <c r="EB46" s="19"/>
      <c r="EC46" s="19"/>
      <c r="EE46" s="443"/>
      <c r="EF46" s="7" t="s">
        <v>109</v>
      </c>
      <c r="EG46" s="19" t="s">
        <v>445</v>
      </c>
      <c r="EH46" s="19"/>
      <c r="EI46" s="19"/>
      <c r="EJ46" s="19"/>
      <c r="EL46" s="8">
        <v>8</v>
      </c>
      <c r="EM46" s="7" t="s">
        <v>109</v>
      </c>
      <c r="EN46" s="19" t="s">
        <v>445</v>
      </c>
      <c r="EO46" s="19"/>
      <c r="EP46" s="19"/>
      <c r="EQ46" s="19"/>
      <c r="ES46" s="8">
        <v>8</v>
      </c>
      <c r="ET46" s="7" t="s">
        <v>109</v>
      </c>
      <c r="EU46" s="19" t="s">
        <v>445</v>
      </c>
      <c r="EV46" s="19"/>
      <c r="EW46" s="19"/>
      <c r="EX46" s="19"/>
      <c r="EZ46" s="8">
        <v>8</v>
      </c>
      <c r="FA46" s="7"/>
      <c r="FB46" s="19"/>
      <c r="FC46" s="19"/>
      <c r="FD46" s="19"/>
      <c r="FE46" s="19"/>
      <c r="FG46" s="8"/>
      <c r="FH46" s="7"/>
      <c r="FI46" s="19"/>
      <c r="FJ46" s="19"/>
      <c r="FK46" s="19"/>
      <c r="FL46" s="19"/>
      <c r="FN46" s="8"/>
      <c r="FO46" s="7"/>
      <c r="FP46" s="19"/>
      <c r="FQ46" s="19"/>
      <c r="FR46" s="19"/>
      <c r="FS46" s="19"/>
      <c r="FU46" s="8"/>
      <c r="FV46" s="7"/>
      <c r="FW46" s="19"/>
      <c r="FX46" s="19"/>
      <c r="FY46" s="19"/>
      <c r="FZ46" s="19"/>
      <c r="GB46" s="8"/>
      <c r="GC46" s="7"/>
      <c r="GD46" s="19"/>
      <c r="GE46" s="19"/>
      <c r="GF46" s="19"/>
      <c r="GG46" s="19"/>
      <c r="GI46" s="8"/>
      <c r="GJ46" s="7"/>
      <c r="GK46" s="19"/>
      <c r="GL46" s="19"/>
      <c r="GM46" s="19"/>
      <c r="GN46" s="19"/>
      <c r="GP46" s="8"/>
      <c r="GQ46" s="7"/>
      <c r="GR46" s="19"/>
      <c r="GS46" s="19"/>
      <c r="GT46" s="19"/>
      <c r="GU46" s="19"/>
      <c r="GW46" s="8"/>
      <c r="GX46" s="7"/>
      <c r="GY46" s="19"/>
      <c r="GZ46" s="19"/>
      <c r="HA46" s="19"/>
      <c r="HB46" s="19"/>
      <c r="HD46" s="8"/>
      <c r="HE46" s="7"/>
      <c r="HF46" s="19"/>
      <c r="HG46" s="19"/>
      <c r="HH46" s="19"/>
      <c r="HI46" s="19"/>
      <c r="HK46" s="8"/>
      <c r="HL46" s="7"/>
      <c r="HM46" s="19"/>
      <c r="HN46" s="19"/>
      <c r="HO46" s="19"/>
      <c r="HP46" s="19"/>
      <c r="HR46" s="8"/>
      <c r="HS46" s="7"/>
      <c r="HT46" s="19"/>
      <c r="HU46" s="19"/>
      <c r="HV46" s="19"/>
      <c r="HW46" s="19"/>
      <c r="HY46" s="8"/>
      <c r="HZ46" s="7"/>
      <c r="IA46" s="19"/>
      <c r="IB46" s="19"/>
      <c r="IC46" s="19"/>
      <c r="ID46" s="19"/>
      <c r="IF46" s="8"/>
      <c r="IG46" s="7"/>
      <c r="IH46" s="19"/>
      <c r="II46" s="19"/>
      <c r="IJ46" s="19"/>
      <c r="IK46" s="19"/>
      <c r="IM46" s="8"/>
      <c r="IN46" s="7"/>
      <c r="IO46" s="19"/>
      <c r="IP46" s="19"/>
      <c r="IQ46" s="19"/>
      <c r="IR46" s="19"/>
      <c r="IT46" s="8"/>
      <c r="IU46" s="7"/>
      <c r="IV46" s="19"/>
      <c r="IW46" s="19"/>
      <c r="IX46" s="19"/>
      <c r="IY46" s="19"/>
      <c r="JA46" s="8"/>
      <c r="JB46" s="7"/>
      <c r="JC46" s="19"/>
      <c r="JD46" s="19"/>
      <c r="JE46" s="19"/>
      <c r="JF46" s="19"/>
      <c r="JH46" s="8"/>
      <c r="JI46" s="7"/>
      <c r="JJ46" s="19"/>
      <c r="JK46" s="19"/>
      <c r="JL46" s="19"/>
      <c r="JM46" s="19"/>
      <c r="JO46" s="8"/>
      <c r="JP46" s="7"/>
      <c r="JQ46" s="19"/>
      <c r="JR46" s="19"/>
      <c r="JS46" s="19"/>
      <c r="JT46" s="19"/>
      <c r="JV46" s="8"/>
      <c r="JW46" s="7"/>
      <c r="JX46" s="19"/>
      <c r="JY46" s="19"/>
      <c r="JZ46" s="19"/>
      <c r="KA46" s="19"/>
      <c r="KC46" s="8"/>
      <c r="KD46" s="7"/>
      <c r="KE46" s="19"/>
      <c r="KF46" s="19"/>
      <c r="KG46" s="19"/>
      <c r="KH46" s="19"/>
      <c r="KJ46" s="8"/>
      <c r="KK46" s="7"/>
      <c r="KL46" s="19"/>
      <c r="KM46" s="19"/>
      <c r="KN46" s="19"/>
      <c r="KO46" s="19"/>
      <c r="KQ46" s="8"/>
      <c r="KR46" s="7"/>
      <c r="KS46" s="19"/>
      <c r="KT46" s="19"/>
      <c r="KU46" s="19"/>
      <c r="KV46" s="19"/>
      <c r="KX46" s="8"/>
      <c r="KY46" s="7"/>
      <c r="KZ46" s="19"/>
      <c r="LA46" s="19"/>
      <c r="LB46" s="19"/>
      <c r="LC46" s="19"/>
      <c r="LE46" s="8"/>
      <c r="LF46" s="7"/>
      <c r="LG46" s="19"/>
      <c r="LH46" s="19"/>
      <c r="LI46" s="19"/>
      <c r="LJ46" s="19"/>
      <c r="LL46" s="8"/>
      <c r="LM46" s="7"/>
      <c r="LN46" s="19"/>
      <c r="LO46" s="19"/>
      <c r="LP46" s="19"/>
      <c r="LQ46" s="19"/>
      <c r="LS46" s="8"/>
      <c r="LT46" s="7"/>
      <c r="LU46" s="19"/>
      <c r="LV46" s="19"/>
      <c r="LW46" s="19"/>
      <c r="LX46" s="19"/>
      <c r="LZ46" s="8"/>
      <c r="MA46" s="7"/>
      <c r="MB46" s="19"/>
      <c r="MC46" s="19"/>
      <c r="MD46" s="19"/>
      <c r="ME46" s="19"/>
      <c r="MG46" s="8"/>
      <c r="MH46" s="7"/>
      <c r="MI46" s="19"/>
      <c r="MJ46" s="19"/>
      <c r="MK46" s="19"/>
      <c r="ML46" s="19"/>
      <c r="MN46" s="8"/>
      <c r="MO46" s="7"/>
      <c r="MP46" s="19"/>
      <c r="MQ46" s="19"/>
      <c r="MR46" s="19"/>
      <c r="MS46" s="19"/>
      <c r="MU46" s="8"/>
      <c r="MV46" s="7"/>
      <c r="MW46" s="19"/>
      <c r="MX46" s="19"/>
      <c r="MY46" s="19"/>
      <c r="MZ46" s="19"/>
      <c r="NB46" s="8"/>
      <c r="NC46" s="7"/>
      <c r="ND46" s="19"/>
      <c r="NE46" s="19"/>
      <c r="NF46" s="19"/>
      <c r="NG46" s="19"/>
      <c r="NI46" s="8"/>
      <c r="NJ46" s="7"/>
      <c r="NK46" s="19"/>
      <c r="NL46" s="19"/>
      <c r="NM46" s="19"/>
      <c r="NN46" s="19"/>
      <c r="NP46" s="8"/>
      <c r="NQ46" s="7"/>
      <c r="NR46" s="19"/>
      <c r="NS46" s="19"/>
      <c r="NT46" s="19"/>
      <c r="NU46" s="19"/>
      <c r="NW46" s="8"/>
      <c r="NX46" s="7"/>
      <c r="NY46" s="19"/>
      <c r="NZ46" s="19"/>
      <c r="OA46" s="19"/>
      <c r="OB46" s="19"/>
      <c r="OD46" s="8"/>
      <c r="OE46" s="7"/>
      <c r="OF46" s="19"/>
      <c r="OG46" s="19"/>
      <c r="OH46" s="19"/>
      <c r="OI46" s="19"/>
      <c r="OK46" s="8"/>
      <c r="OL46" s="7"/>
      <c r="OM46" s="19"/>
      <c r="ON46" s="19"/>
      <c r="OO46" s="19"/>
      <c r="OP46" s="19"/>
      <c r="OR46" s="8"/>
      <c r="OS46" s="7"/>
      <c r="OT46" s="19"/>
      <c r="OU46" s="19"/>
      <c r="OV46" s="19"/>
      <c r="OW46" s="19"/>
      <c r="OY46" s="8"/>
      <c r="OZ46" s="7"/>
      <c r="PA46" s="19"/>
      <c r="PB46" s="19"/>
      <c r="PC46" s="19"/>
      <c r="PD46" s="19"/>
      <c r="PF46" s="8"/>
      <c r="PG46" s="7"/>
      <c r="PH46" s="19"/>
      <c r="PI46" s="19"/>
      <c r="PJ46" s="19"/>
      <c r="PK46" s="19"/>
      <c r="PM46" s="8"/>
    </row>
    <row r="47" spans="1:429" s="1" customFormat="1" ht="26" customHeight="1" outlineLevel="1">
      <c r="B47" s="471"/>
      <c r="C47" s="7"/>
      <c r="D47" s="19"/>
      <c r="E47" s="19"/>
      <c r="F47" s="19"/>
      <c r="G47" s="19"/>
      <c r="I47" s="8"/>
      <c r="J47" s="7"/>
      <c r="K47" s="19"/>
      <c r="L47" s="19"/>
      <c r="M47" s="19"/>
      <c r="N47" s="19"/>
      <c r="P47" s="8"/>
      <c r="Q47" s="7"/>
      <c r="R47" s="19"/>
      <c r="S47" s="19"/>
      <c r="T47" s="19"/>
      <c r="U47" s="19"/>
      <c r="W47" s="8"/>
      <c r="X47" s="7"/>
      <c r="Y47" s="19"/>
      <c r="Z47" s="19"/>
      <c r="AA47" s="19"/>
      <c r="AB47" s="19"/>
      <c r="AD47" s="8"/>
      <c r="AE47" s="7"/>
      <c r="AF47" s="19"/>
      <c r="AG47" s="19"/>
      <c r="AH47" s="19"/>
      <c r="AI47" s="19"/>
      <c r="AK47" s="8"/>
      <c r="AL47" s="7"/>
      <c r="AM47" s="19"/>
      <c r="AN47" s="19"/>
      <c r="AO47" s="19"/>
      <c r="AP47" s="19"/>
      <c r="AR47" s="8"/>
      <c r="AS47" s="7"/>
      <c r="AT47" s="19"/>
      <c r="AU47" s="19"/>
      <c r="AV47" s="19"/>
      <c r="AW47" s="19"/>
      <c r="AY47" s="8"/>
      <c r="AZ47" s="7"/>
      <c r="BA47" s="19"/>
      <c r="BB47" s="19"/>
      <c r="BC47" s="19"/>
      <c r="BD47" s="19"/>
      <c r="BF47" s="8"/>
      <c r="BG47" s="7"/>
      <c r="BH47" s="19"/>
      <c r="BI47" s="19"/>
      <c r="BJ47" s="19"/>
      <c r="BK47" s="19"/>
      <c r="BM47" s="8"/>
      <c r="BN47" s="7"/>
      <c r="BO47" s="19"/>
      <c r="BP47" s="19"/>
      <c r="BQ47" s="19"/>
      <c r="BR47" s="19"/>
      <c r="BT47" s="8"/>
      <c r="BU47" s="7"/>
      <c r="BV47" s="19"/>
      <c r="BW47" s="19"/>
      <c r="BX47" s="19"/>
      <c r="BY47" s="19"/>
      <c r="CA47" s="8"/>
      <c r="CB47" s="7"/>
      <c r="CC47" s="19"/>
      <c r="CD47" s="19"/>
      <c r="CE47" s="19"/>
      <c r="CF47" s="19"/>
      <c r="CH47" s="8"/>
      <c r="CI47" s="7"/>
      <c r="CJ47" s="19"/>
      <c r="CK47" s="19"/>
      <c r="CL47" s="19"/>
      <c r="CM47" s="19"/>
      <c r="CO47" s="8"/>
      <c r="CP47" s="7"/>
      <c r="CQ47" s="19"/>
      <c r="CR47" s="19"/>
      <c r="CS47" s="19"/>
      <c r="CT47" s="19"/>
      <c r="CV47" s="8"/>
      <c r="CW47" s="7"/>
      <c r="CX47" s="19"/>
      <c r="CY47" s="19"/>
      <c r="CZ47" s="19"/>
      <c r="DA47" s="19"/>
      <c r="DC47" s="8"/>
      <c r="DD47" s="7"/>
      <c r="DE47" s="19"/>
      <c r="DF47" s="19"/>
      <c r="DG47" s="19"/>
      <c r="DH47" s="19"/>
      <c r="DJ47" s="8"/>
      <c r="DK47" s="7"/>
      <c r="DL47" s="19"/>
      <c r="DM47" s="19"/>
      <c r="DN47" s="19"/>
      <c r="DO47" s="19"/>
      <c r="DQ47" s="8"/>
      <c r="DR47" s="7"/>
      <c r="DS47" s="19"/>
      <c r="DT47" s="19"/>
      <c r="DU47" s="19"/>
      <c r="DV47" s="19"/>
      <c r="DX47" s="8"/>
      <c r="DY47" s="7"/>
      <c r="DZ47" s="19"/>
      <c r="EA47" s="19"/>
      <c r="EB47" s="19"/>
      <c r="EC47" s="19"/>
      <c r="EE47" s="8"/>
      <c r="EF47" s="7" t="s">
        <v>110</v>
      </c>
      <c r="EG47" s="19" t="s">
        <v>447</v>
      </c>
      <c r="EH47" s="19"/>
      <c r="EI47" s="19"/>
      <c r="EJ47" s="19"/>
      <c r="EK47" s="456">
        <v>0.5</v>
      </c>
      <c r="EL47" s="8">
        <v>4</v>
      </c>
      <c r="EM47" s="7" t="s">
        <v>110</v>
      </c>
      <c r="EN47" s="19" t="s">
        <v>447</v>
      </c>
      <c r="EO47" s="19"/>
      <c r="EP47" s="19"/>
      <c r="EQ47" s="19"/>
      <c r="ER47" s="456">
        <v>0.6</v>
      </c>
      <c r="ES47" s="8">
        <v>4</v>
      </c>
      <c r="ET47" s="7" t="s">
        <v>110</v>
      </c>
      <c r="EU47" s="19" t="s">
        <v>447</v>
      </c>
      <c r="EV47" s="19"/>
      <c r="EW47" s="19"/>
      <c r="EX47" s="19"/>
      <c r="EY47" s="456">
        <v>0.7</v>
      </c>
      <c r="EZ47" s="8">
        <v>4</v>
      </c>
      <c r="FA47" s="7"/>
      <c r="FB47" s="19"/>
      <c r="FC47" s="19"/>
      <c r="FD47" s="19"/>
      <c r="FE47" s="19"/>
      <c r="FG47" s="8"/>
      <c r="FH47" s="7"/>
      <c r="FI47" s="19"/>
      <c r="FJ47" s="19"/>
      <c r="FK47" s="19"/>
      <c r="FL47" s="19"/>
      <c r="FN47" s="8"/>
      <c r="FO47" s="7"/>
      <c r="FP47" s="19"/>
      <c r="FQ47" s="19"/>
      <c r="FR47" s="19"/>
      <c r="FS47" s="19"/>
      <c r="FU47" s="8"/>
      <c r="FV47" s="7"/>
      <c r="FW47" s="19"/>
      <c r="FX47" s="19"/>
      <c r="FY47" s="19"/>
      <c r="FZ47" s="19"/>
      <c r="GB47" s="8"/>
      <c r="GC47" s="7"/>
      <c r="GD47" s="19"/>
      <c r="GE47" s="19"/>
      <c r="GF47" s="19"/>
      <c r="GG47" s="19"/>
      <c r="GI47" s="8"/>
      <c r="GJ47" s="7"/>
      <c r="GK47" s="19"/>
      <c r="GL47" s="19"/>
      <c r="GM47" s="19"/>
      <c r="GN47" s="19"/>
      <c r="GP47" s="8"/>
      <c r="GQ47" s="7"/>
      <c r="GR47" s="19"/>
      <c r="GS47" s="19"/>
      <c r="GT47" s="19"/>
      <c r="GU47" s="19"/>
      <c r="GW47" s="8"/>
      <c r="GX47" s="7"/>
      <c r="GY47" s="19"/>
      <c r="GZ47" s="19"/>
      <c r="HA47" s="19"/>
      <c r="HB47" s="19"/>
      <c r="HD47" s="8"/>
      <c r="HE47" s="7"/>
      <c r="HF47" s="19"/>
      <c r="HG47" s="19"/>
      <c r="HH47" s="19"/>
      <c r="HI47" s="19"/>
      <c r="HK47" s="8"/>
      <c r="HL47" s="7"/>
      <c r="HM47" s="19"/>
      <c r="HN47" s="19"/>
      <c r="HO47" s="19"/>
      <c r="HP47" s="19"/>
      <c r="HR47" s="8"/>
      <c r="HS47" s="7"/>
      <c r="HT47" s="19"/>
      <c r="HU47" s="19"/>
      <c r="HV47" s="19"/>
      <c r="HW47" s="19"/>
      <c r="HY47" s="8"/>
      <c r="HZ47" s="7"/>
      <c r="IA47" s="19"/>
      <c r="IB47" s="19"/>
      <c r="IC47" s="19"/>
      <c r="ID47" s="19"/>
      <c r="IF47" s="8"/>
      <c r="IG47" s="7"/>
      <c r="IH47" s="19"/>
      <c r="II47" s="19"/>
      <c r="IJ47" s="19"/>
      <c r="IK47" s="19"/>
      <c r="IM47" s="8"/>
      <c r="IN47" s="7"/>
      <c r="IO47" s="19"/>
      <c r="IP47" s="19"/>
      <c r="IQ47" s="19"/>
      <c r="IR47" s="19"/>
      <c r="IT47" s="8"/>
      <c r="IU47" s="7"/>
      <c r="IV47" s="19"/>
      <c r="IW47" s="19"/>
      <c r="IX47" s="19"/>
      <c r="IY47" s="19"/>
      <c r="JA47" s="8"/>
      <c r="JB47" s="7"/>
      <c r="JC47" s="19"/>
      <c r="JD47" s="19"/>
      <c r="JE47" s="19"/>
      <c r="JF47" s="19"/>
      <c r="JH47" s="8"/>
      <c r="JI47" s="7"/>
      <c r="JJ47" s="19"/>
      <c r="JK47" s="19"/>
      <c r="JL47" s="19"/>
      <c r="JM47" s="19"/>
      <c r="JO47" s="8"/>
      <c r="JP47" s="7"/>
      <c r="JQ47" s="19"/>
      <c r="JR47" s="19"/>
      <c r="JS47" s="19"/>
      <c r="JT47" s="19"/>
      <c r="JV47" s="8"/>
      <c r="JW47" s="7"/>
      <c r="JX47" s="19"/>
      <c r="JY47" s="19"/>
      <c r="JZ47" s="19"/>
      <c r="KA47" s="19"/>
      <c r="KC47" s="8"/>
      <c r="KD47" s="7"/>
      <c r="KE47" s="19"/>
      <c r="KF47" s="19"/>
      <c r="KG47" s="19"/>
      <c r="KH47" s="19"/>
      <c r="KJ47" s="8"/>
      <c r="KK47" s="7"/>
      <c r="KL47" s="19"/>
      <c r="KM47" s="19"/>
      <c r="KN47" s="19"/>
      <c r="KO47" s="19"/>
      <c r="KQ47" s="8"/>
      <c r="KR47" s="7"/>
      <c r="KS47" s="19"/>
      <c r="KT47" s="19"/>
      <c r="KU47" s="19"/>
      <c r="KV47" s="19"/>
      <c r="KX47" s="8"/>
      <c r="KY47" s="7"/>
      <c r="KZ47" s="19"/>
      <c r="LA47" s="19"/>
      <c r="LB47" s="19"/>
      <c r="LC47" s="19"/>
      <c r="LE47" s="8"/>
      <c r="LF47" s="7"/>
      <c r="LG47" s="19"/>
      <c r="LH47" s="19"/>
      <c r="LI47" s="19"/>
      <c r="LJ47" s="19"/>
      <c r="LL47" s="8"/>
      <c r="LM47" s="7"/>
      <c r="LN47" s="19"/>
      <c r="LO47" s="19"/>
      <c r="LP47" s="19"/>
      <c r="LQ47" s="19"/>
      <c r="LS47" s="8"/>
      <c r="LT47" s="7"/>
      <c r="LU47" s="19"/>
      <c r="LV47" s="19"/>
      <c r="LW47" s="19"/>
      <c r="LX47" s="19"/>
      <c r="LZ47" s="8"/>
      <c r="MA47" s="7"/>
      <c r="MB47" s="19"/>
      <c r="MC47" s="19"/>
      <c r="MD47" s="19"/>
      <c r="ME47" s="19"/>
      <c r="MG47" s="8"/>
      <c r="MH47" s="7"/>
      <c r="MI47" s="19"/>
      <c r="MJ47" s="19"/>
      <c r="MK47" s="19"/>
      <c r="ML47" s="19"/>
      <c r="MN47" s="8"/>
      <c r="MO47" s="7"/>
      <c r="MP47" s="19"/>
      <c r="MQ47" s="19"/>
      <c r="MR47" s="19"/>
      <c r="MS47" s="19"/>
      <c r="MU47" s="8"/>
      <c r="MV47" s="7"/>
      <c r="MW47" s="19"/>
      <c r="MX47" s="19"/>
      <c r="MY47" s="19"/>
      <c r="MZ47" s="19"/>
      <c r="NB47" s="8"/>
      <c r="NC47" s="7"/>
      <c r="ND47" s="19"/>
      <c r="NE47" s="19"/>
      <c r="NF47" s="19"/>
      <c r="NG47" s="19"/>
      <c r="NI47" s="8"/>
      <c r="NJ47" s="7"/>
      <c r="NK47" s="19"/>
      <c r="NL47" s="19"/>
      <c r="NM47" s="19"/>
      <c r="NN47" s="19"/>
      <c r="NP47" s="8"/>
      <c r="NQ47" s="7"/>
      <c r="NR47" s="19"/>
      <c r="NS47" s="19"/>
      <c r="NT47" s="19"/>
      <c r="NU47" s="19"/>
      <c r="NW47" s="8"/>
      <c r="NX47" s="7"/>
      <c r="NY47" s="19"/>
      <c r="NZ47" s="19"/>
      <c r="OA47" s="19"/>
      <c r="OB47" s="19"/>
      <c r="OD47" s="8"/>
      <c r="OE47" s="7"/>
      <c r="OF47" s="19"/>
      <c r="OG47" s="19"/>
      <c r="OH47" s="19"/>
      <c r="OI47" s="19"/>
      <c r="OK47" s="8"/>
      <c r="OL47" s="7"/>
      <c r="OM47" s="19"/>
      <c r="ON47" s="19"/>
      <c r="OO47" s="19"/>
      <c r="OP47" s="19"/>
      <c r="OR47" s="8"/>
      <c r="OS47" s="7"/>
      <c r="OT47" s="19"/>
      <c r="OU47" s="19"/>
      <c r="OV47" s="19"/>
      <c r="OW47" s="19"/>
      <c r="OY47" s="8"/>
      <c r="OZ47" s="7"/>
      <c r="PA47" s="19"/>
      <c r="PB47" s="19"/>
      <c r="PC47" s="19"/>
      <c r="PD47" s="19"/>
      <c r="PF47" s="8"/>
      <c r="PG47" s="7"/>
      <c r="PH47" s="19"/>
      <c r="PI47" s="19"/>
      <c r="PJ47" s="19"/>
      <c r="PK47" s="19"/>
      <c r="PM47" s="8"/>
    </row>
    <row r="48" spans="1:429" s="1" customFormat="1" ht="26" customHeight="1" outlineLevel="1">
      <c r="B48" s="471"/>
      <c r="C48" s="7"/>
      <c r="D48" s="19"/>
      <c r="E48" s="19"/>
      <c r="F48" s="19"/>
      <c r="G48" s="19"/>
      <c r="I48" s="8"/>
      <c r="J48" s="7"/>
      <c r="K48" s="19"/>
      <c r="L48" s="19"/>
      <c r="M48" s="19"/>
      <c r="N48" s="19"/>
      <c r="P48" s="8"/>
      <c r="Q48" s="7"/>
      <c r="R48" s="19"/>
      <c r="S48" s="19"/>
      <c r="T48" s="19"/>
      <c r="U48" s="19"/>
      <c r="W48" s="8"/>
      <c r="X48" s="7"/>
      <c r="Y48" s="19"/>
      <c r="Z48" s="19"/>
      <c r="AA48" s="19"/>
      <c r="AB48" s="19"/>
      <c r="AD48" s="8"/>
      <c r="AE48" s="7"/>
      <c r="AF48" s="19"/>
      <c r="AG48" s="19"/>
      <c r="AH48" s="19"/>
      <c r="AI48" s="19"/>
      <c r="AK48" s="8"/>
      <c r="AL48" s="7"/>
      <c r="AM48" s="19"/>
      <c r="AN48" s="19"/>
      <c r="AO48" s="19"/>
      <c r="AP48" s="19"/>
      <c r="AR48" s="8"/>
      <c r="AS48" s="7"/>
      <c r="AT48" s="19"/>
      <c r="AU48" s="19"/>
      <c r="AV48" s="19"/>
      <c r="AW48" s="19"/>
      <c r="AY48" s="8"/>
      <c r="AZ48" s="7"/>
      <c r="BA48" s="19"/>
      <c r="BB48" s="19"/>
      <c r="BC48" s="19"/>
      <c r="BD48" s="19"/>
      <c r="BF48" s="8"/>
      <c r="BG48" s="7"/>
      <c r="BH48" s="19"/>
      <c r="BI48" s="19"/>
      <c r="BJ48" s="19"/>
      <c r="BK48" s="19"/>
      <c r="BM48" s="8"/>
      <c r="BN48" s="7"/>
      <c r="BO48" s="19"/>
      <c r="BP48" s="19"/>
      <c r="BQ48" s="19"/>
      <c r="BR48" s="19"/>
      <c r="BT48" s="8"/>
      <c r="BU48" s="7"/>
      <c r="BV48" s="19"/>
      <c r="BW48" s="19"/>
      <c r="BX48" s="19"/>
      <c r="BY48" s="19"/>
      <c r="CA48" s="8"/>
      <c r="CB48" s="7"/>
      <c r="CC48" s="19"/>
      <c r="CD48" s="19"/>
      <c r="CE48" s="19"/>
      <c r="CF48" s="19"/>
      <c r="CH48" s="8"/>
      <c r="CI48" s="7"/>
      <c r="CJ48" s="19"/>
      <c r="CK48" s="19"/>
      <c r="CL48" s="19"/>
      <c r="CM48" s="19"/>
      <c r="CO48" s="8"/>
      <c r="CP48" s="7"/>
      <c r="CQ48" s="19"/>
      <c r="CR48" s="19"/>
      <c r="CS48" s="19"/>
      <c r="CT48" s="19"/>
      <c r="CV48" s="8"/>
      <c r="CW48" s="7"/>
      <c r="CX48" s="19"/>
      <c r="CY48" s="19"/>
      <c r="CZ48" s="19"/>
      <c r="DA48" s="19"/>
      <c r="DC48" s="8"/>
      <c r="DD48" s="7"/>
      <c r="DE48" s="19"/>
      <c r="DF48" s="19"/>
      <c r="DG48" s="19"/>
      <c r="DH48" s="19"/>
      <c r="DJ48" s="8"/>
      <c r="DK48" s="7"/>
      <c r="DL48" s="19"/>
      <c r="DM48" s="19"/>
      <c r="DN48" s="19"/>
      <c r="DO48" s="19"/>
      <c r="DQ48" s="8"/>
      <c r="DR48" s="7"/>
      <c r="DS48" s="19"/>
      <c r="DT48" s="19"/>
      <c r="DU48" s="19"/>
      <c r="DV48" s="19"/>
      <c r="DX48" s="8"/>
      <c r="DY48" s="7"/>
      <c r="DZ48" s="19"/>
      <c r="EA48" s="19"/>
      <c r="EB48" s="19"/>
      <c r="EC48" s="19"/>
      <c r="EE48" s="8"/>
      <c r="EF48" s="7" t="s">
        <v>111</v>
      </c>
      <c r="EG48" s="19" t="s">
        <v>448</v>
      </c>
      <c r="EH48" s="19"/>
      <c r="EI48" s="19"/>
      <c r="EJ48" s="19"/>
      <c r="EL48" s="8">
        <v>4</v>
      </c>
      <c r="EM48" s="7" t="s">
        <v>111</v>
      </c>
      <c r="EN48" s="19" t="s">
        <v>448</v>
      </c>
      <c r="EO48" s="19"/>
      <c r="EP48" s="19"/>
      <c r="EQ48" s="19"/>
      <c r="ES48" s="8">
        <v>5</v>
      </c>
      <c r="ET48" s="7" t="s">
        <v>111</v>
      </c>
      <c r="EU48" s="19" t="s">
        <v>448</v>
      </c>
      <c r="EV48" s="19"/>
      <c r="EW48" s="19"/>
      <c r="EX48" s="19"/>
      <c r="EZ48" s="8">
        <v>6</v>
      </c>
      <c r="FA48" s="7"/>
      <c r="FB48" s="19"/>
      <c r="FC48" s="19"/>
      <c r="FD48" s="19"/>
      <c r="FE48" s="19"/>
      <c r="FG48" s="8"/>
      <c r="FH48" s="7"/>
      <c r="FI48" s="19"/>
      <c r="FJ48" s="19"/>
      <c r="FK48" s="19"/>
      <c r="FL48" s="19"/>
      <c r="FN48" s="8"/>
      <c r="FO48" s="7"/>
      <c r="FP48" s="19"/>
      <c r="FQ48" s="19"/>
      <c r="FR48" s="19"/>
      <c r="FS48" s="19"/>
      <c r="FU48" s="8"/>
      <c r="FV48" s="7"/>
      <c r="FW48" s="19"/>
      <c r="FX48" s="19"/>
      <c r="FY48" s="19"/>
      <c r="FZ48" s="19"/>
      <c r="GB48" s="8"/>
      <c r="GC48" s="7"/>
      <c r="GD48" s="19"/>
      <c r="GE48" s="19"/>
      <c r="GF48" s="19"/>
      <c r="GG48" s="19"/>
      <c r="GI48" s="8"/>
      <c r="GJ48" s="7"/>
      <c r="GK48" s="19"/>
      <c r="GL48" s="19"/>
      <c r="GM48" s="19"/>
      <c r="GN48" s="19"/>
      <c r="GP48" s="8"/>
      <c r="GQ48" s="7"/>
      <c r="GR48" s="19"/>
      <c r="GS48" s="19"/>
      <c r="GT48" s="19"/>
      <c r="GU48" s="19"/>
      <c r="GW48" s="8"/>
      <c r="GX48" s="7"/>
      <c r="GY48" s="19"/>
      <c r="GZ48" s="19"/>
      <c r="HA48" s="19"/>
      <c r="HB48" s="19"/>
      <c r="HD48" s="8"/>
      <c r="HE48" s="7"/>
      <c r="HF48" s="19"/>
      <c r="HG48" s="19"/>
      <c r="HH48" s="19"/>
      <c r="HI48" s="19"/>
      <c r="HK48" s="8"/>
      <c r="HL48" s="7"/>
      <c r="HM48" s="19"/>
      <c r="HN48" s="19"/>
      <c r="HO48" s="19"/>
      <c r="HP48" s="19"/>
      <c r="HR48" s="8"/>
      <c r="HS48" s="7"/>
      <c r="HT48" s="19"/>
      <c r="HU48" s="19"/>
      <c r="HV48" s="19"/>
      <c r="HW48" s="19"/>
      <c r="HY48" s="8"/>
      <c r="HZ48" s="7"/>
      <c r="IA48" s="19"/>
      <c r="IB48" s="19"/>
      <c r="IC48" s="19"/>
      <c r="ID48" s="19"/>
      <c r="IF48" s="8"/>
      <c r="IG48" s="7"/>
      <c r="IH48" s="19"/>
      <c r="II48" s="19"/>
      <c r="IJ48" s="19"/>
      <c r="IK48" s="19"/>
      <c r="IM48" s="8"/>
      <c r="IN48" s="7"/>
      <c r="IO48" s="19"/>
      <c r="IP48" s="19"/>
      <c r="IQ48" s="19"/>
      <c r="IR48" s="19"/>
      <c r="IT48" s="8"/>
      <c r="IU48" s="7"/>
      <c r="IV48" s="19"/>
      <c r="IW48" s="19"/>
      <c r="IX48" s="19"/>
      <c r="IY48" s="19"/>
      <c r="JA48" s="8"/>
      <c r="JB48" s="7"/>
      <c r="JC48" s="19"/>
      <c r="JD48" s="19"/>
      <c r="JE48" s="19"/>
      <c r="JF48" s="19"/>
      <c r="JH48" s="8"/>
      <c r="JI48" s="7"/>
      <c r="JJ48" s="19"/>
      <c r="JK48" s="19"/>
      <c r="JL48" s="19"/>
      <c r="JM48" s="19"/>
      <c r="JO48" s="8"/>
      <c r="JP48" s="7"/>
      <c r="JQ48" s="19"/>
      <c r="JR48" s="19"/>
      <c r="JS48" s="19"/>
      <c r="JT48" s="19"/>
      <c r="JV48" s="8"/>
      <c r="JW48" s="7"/>
      <c r="JX48" s="19"/>
      <c r="JY48" s="19"/>
      <c r="JZ48" s="19"/>
      <c r="KA48" s="19"/>
      <c r="KC48" s="8"/>
      <c r="KD48" s="7"/>
      <c r="KE48" s="19"/>
      <c r="KF48" s="19"/>
      <c r="KG48" s="19"/>
      <c r="KH48" s="19"/>
      <c r="KJ48" s="8"/>
      <c r="KK48" s="7"/>
      <c r="KL48" s="19"/>
      <c r="KM48" s="19"/>
      <c r="KN48" s="19"/>
      <c r="KO48" s="19"/>
      <c r="KQ48" s="8"/>
      <c r="KR48" s="7"/>
      <c r="KS48" s="19"/>
      <c r="KT48" s="19"/>
      <c r="KU48" s="19"/>
      <c r="KV48" s="19"/>
      <c r="KX48" s="8"/>
      <c r="KY48" s="7"/>
      <c r="KZ48" s="19"/>
      <c r="LA48" s="19"/>
      <c r="LB48" s="19"/>
      <c r="LC48" s="19"/>
      <c r="LE48" s="8"/>
      <c r="LF48" s="7"/>
      <c r="LG48" s="19"/>
      <c r="LH48" s="19"/>
      <c r="LI48" s="19"/>
      <c r="LJ48" s="19"/>
      <c r="LL48" s="8"/>
      <c r="LM48" s="7"/>
      <c r="LN48" s="19"/>
      <c r="LO48" s="19"/>
      <c r="LP48" s="19"/>
      <c r="LQ48" s="19"/>
      <c r="LS48" s="8"/>
      <c r="LT48" s="7"/>
      <c r="LU48" s="19"/>
      <c r="LV48" s="19"/>
      <c r="LW48" s="19"/>
      <c r="LX48" s="19"/>
      <c r="LZ48" s="8"/>
      <c r="MA48" s="7"/>
      <c r="MB48" s="19"/>
      <c r="MC48" s="19"/>
      <c r="MD48" s="19"/>
      <c r="ME48" s="19"/>
      <c r="MG48" s="8"/>
      <c r="MH48" s="7"/>
      <c r="MI48" s="19"/>
      <c r="MJ48" s="19"/>
      <c r="MK48" s="19"/>
      <c r="ML48" s="19"/>
      <c r="MN48" s="8"/>
      <c r="MO48" s="7"/>
      <c r="MP48" s="19"/>
      <c r="MQ48" s="19"/>
      <c r="MR48" s="19"/>
      <c r="MS48" s="19"/>
      <c r="MU48" s="8"/>
      <c r="MV48" s="7"/>
      <c r="MW48" s="19"/>
      <c r="MX48" s="19"/>
      <c r="MY48" s="19"/>
      <c r="MZ48" s="19"/>
      <c r="NB48" s="8"/>
      <c r="NC48" s="7"/>
      <c r="ND48" s="19"/>
      <c r="NE48" s="19"/>
      <c r="NF48" s="19"/>
      <c r="NG48" s="19"/>
      <c r="NI48" s="8"/>
      <c r="NJ48" s="7"/>
      <c r="NK48" s="19"/>
      <c r="NL48" s="19"/>
      <c r="NM48" s="19"/>
      <c r="NN48" s="19"/>
      <c r="NP48" s="8"/>
      <c r="NQ48" s="7"/>
      <c r="NR48" s="19"/>
      <c r="NS48" s="19"/>
      <c r="NT48" s="19"/>
      <c r="NU48" s="19"/>
      <c r="NW48" s="8"/>
      <c r="NX48" s="7"/>
      <c r="NY48" s="19"/>
      <c r="NZ48" s="19"/>
      <c r="OA48" s="19"/>
      <c r="OB48" s="19"/>
      <c r="OD48" s="8"/>
      <c r="OE48" s="7"/>
      <c r="OF48" s="19"/>
      <c r="OG48" s="19"/>
      <c r="OH48" s="19"/>
      <c r="OI48" s="19"/>
      <c r="OK48" s="8"/>
      <c r="OL48" s="7"/>
      <c r="OM48" s="19"/>
      <c r="ON48" s="19"/>
      <c r="OO48" s="19"/>
      <c r="OP48" s="19"/>
      <c r="OR48" s="8"/>
      <c r="OS48" s="7"/>
      <c r="OT48" s="19"/>
      <c r="OU48" s="19"/>
      <c r="OV48" s="19"/>
      <c r="OW48" s="19"/>
      <c r="OY48" s="8"/>
      <c r="OZ48" s="7"/>
      <c r="PA48" s="19"/>
      <c r="PB48" s="19"/>
      <c r="PC48" s="19"/>
      <c r="PD48" s="19"/>
      <c r="PF48" s="8"/>
      <c r="PG48" s="7"/>
      <c r="PH48" s="19"/>
      <c r="PI48" s="19"/>
      <c r="PJ48" s="19"/>
      <c r="PK48" s="19"/>
      <c r="PM48" s="8"/>
    </row>
    <row r="49" spans="1:429" s="1" customFormat="1" ht="26" customHeight="1" outlineLevel="1">
      <c r="B49" s="471"/>
      <c r="C49" s="7"/>
      <c r="D49" s="19"/>
      <c r="E49" s="19"/>
      <c r="F49" s="19"/>
      <c r="G49" s="19"/>
      <c r="I49" s="8"/>
      <c r="J49" s="7"/>
      <c r="K49" s="19"/>
      <c r="L49" s="19"/>
      <c r="M49" s="19"/>
      <c r="N49" s="19"/>
      <c r="P49" s="8"/>
      <c r="Q49" s="7"/>
      <c r="R49" s="19"/>
      <c r="S49" s="19"/>
      <c r="T49" s="19"/>
      <c r="U49" s="19"/>
      <c r="W49" s="8"/>
      <c r="X49" s="7"/>
      <c r="Y49" s="19"/>
      <c r="Z49" s="19"/>
      <c r="AA49" s="19"/>
      <c r="AB49" s="19"/>
      <c r="AD49" s="8"/>
      <c r="AE49" s="7"/>
      <c r="AF49" s="19"/>
      <c r="AG49" s="19"/>
      <c r="AH49" s="19"/>
      <c r="AI49" s="19"/>
      <c r="AK49" s="8"/>
      <c r="AL49" s="7"/>
      <c r="AM49" s="19"/>
      <c r="AN49" s="19"/>
      <c r="AO49" s="19"/>
      <c r="AP49" s="19"/>
      <c r="AR49" s="8"/>
      <c r="AS49" s="7"/>
      <c r="AT49" s="19"/>
      <c r="AU49" s="19"/>
      <c r="AV49" s="19"/>
      <c r="AW49" s="19"/>
      <c r="AY49" s="8"/>
      <c r="AZ49" s="7"/>
      <c r="BA49" s="19"/>
      <c r="BB49" s="19"/>
      <c r="BC49" s="19"/>
      <c r="BD49" s="19"/>
      <c r="BF49" s="8"/>
      <c r="BG49" s="7"/>
      <c r="BH49" s="19"/>
      <c r="BI49" s="19"/>
      <c r="BJ49" s="19"/>
      <c r="BK49" s="19"/>
      <c r="BM49" s="8"/>
      <c r="BN49" s="7"/>
      <c r="BO49" s="19"/>
      <c r="BP49" s="19"/>
      <c r="BQ49" s="19"/>
      <c r="BR49" s="19"/>
      <c r="BT49" s="8"/>
      <c r="BU49" s="7"/>
      <c r="BV49" s="19"/>
      <c r="BW49" s="19"/>
      <c r="BX49" s="19"/>
      <c r="BY49" s="19"/>
      <c r="CA49" s="8"/>
      <c r="CB49" s="7"/>
      <c r="CC49" s="19"/>
      <c r="CD49" s="19"/>
      <c r="CE49" s="19"/>
      <c r="CF49" s="19"/>
      <c r="CH49" s="8"/>
      <c r="CI49" s="7"/>
      <c r="CJ49" s="19"/>
      <c r="CK49" s="19"/>
      <c r="CL49" s="19"/>
      <c r="CM49" s="19"/>
      <c r="CO49" s="8"/>
      <c r="CP49" s="7"/>
      <c r="CQ49" s="19"/>
      <c r="CR49" s="19"/>
      <c r="CS49" s="19"/>
      <c r="CT49" s="19"/>
      <c r="CV49" s="8"/>
      <c r="CW49" s="7"/>
      <c r="CX49" s="19"/>
      <c r="CY49" s="19"/>
      <c r="CZ49" s="19"/>
      <c r="DA49" s="19"/>
      <c r="DC49" s="8"/>
      <c r="DD49" s="7"/>
      <c r="DE49" s="19"/>
      <c r="DF49" s="19"/>
      <c r="DG49" s="19"/>
      <c r="DH49" s="19"/>
      <c r="DJ49" s="8"/>
      <c r="DK49" s="7"/>
      <c r="DL49" s="19"/>
      <c r="DM49" s="19"/>
      <c r="DN49" s="19"/>
      <c r="DO49" s="19"/>
      <c r="DQ49" s="8"/>
      <c r="DR49" s="7"/>
      <c r="DS49" s="19"/>
      <c r="DT49" s="19"/>
      <c r="DU49" s="19"/>
      <c r="DV49" s="19"/>
      <c r="DX49" s="8"/>
      <c r="DY49" s="7"/>
      <c r="DZ49" s="19"/>
      <c r="EA49" s="19"/>
      <c r="EB49" s="19"/>
      <c r="EC49" s="19"/>
      <c r="EE49" s="8"/>
      <c r="EF49" s="7" t="s">
        <v>112</v>
      </c>
      <c r="EG49" s="19" t="s">
        <v>216</v>
      </c>
      <c r="EH49" s="19"/>
      <c r="EI49" s="19"/>
      <c r="EJ49" s="19"/>
      <c r="EL49" s="8">
        <v>4</v>
      </c>
      <c r="EM49" s="7" t="s">
        <v>112</v>
      </c>
      <c r="EN49" s="19" t="s">
        <v>216</v>
      </c>
      <c r="EO49" s="19"/>
      <c r="EP49" s="19"/>
      <c r="EQ49" s="19"/>
      <c r="ES49" s="8">
        <v>5</v>
      </c>
      <c r="ET49" s="7" t="s">
        <v>112</v>
      </c>
      <c r="EU49" s="19" t="s">
        <v>216</v>
      </c>
      <c r="EV49" s="19"/>
      <c r="EW49" s="19"/>
      <c r="EX49" s="19"/>
      <c r="EZ49" s="8">
        <v>6</v>
      </c>
      <c r="FA49" s="7"/>
      <c r="FB49" s="19"/>
      <c r="FC49" s="19"/>
      <c r="FD49" s="19"/>
      <c r="FE49" s="19"/>
      <c r="FG49" s="8"/>
      <c r="FH49" s="7"/>
      <c r="FI49" s="19"/>
      <c r="FJ49" s="19"/>
      <c r="FK49" s="19"/>
      <c r="FL49" s="19"/>
      <c r="FN49" s="8"/>
      <c r="FO49" s="7"/>
      <c r="FP49" s="19"/>
      <c r="FQ49" s="19"/>
      <c r="FR49" s="19"/>
      <c r="FS49" s="19"/>
      <c r="FU49" s="8"/>
      <c r="FV49" s="7"/>
      <c r="FW49" s="19"/>
      <c r="FX49" s="19"/>
      <c r="FY49" s="19"/>
      <c r="FZ49" s="19"/>
      <c r="GB49" s="8"/>
      <c r="GC49" s="7"/>
      <c r="GD49" s="19"/>
      <c r="GE49" s="19"/>
      <c r="GF49" s="19"/>
      <c r="GG49" s="19"/>
      <c r="GI49" s="8"/>
      <c r="GJ49" s="7"/>
      <c r="GK49" s="19"/>
      <c r="GL49" s="19"/>
      <c r="GM49" s="19"/>
      <c r="GN49" s="19"/>
      <c r="GP49" s="8"/>
      <c r="GQ49" s="7"/>
      <c r="GR49" s="19"/>
      <c r="GS49" s="19"/>
      <c r="GT49" s="19"/>
      <c r="GU49" s="19"/>
      <c r="GW49" s="8"/>
      <c r="GX49" s="7"/>
      <c r="GY49" s="19"/>
      <c r="GZ49" s="19"/>
      <c r="HA49" s="19"/>
      <c r="HB49" s="19"/>
      <c r="HD49" s="8"/>
      <c r="HE49" s="7"/>
      <c r="HF49" s="19"/>
      <c r="HG49" s="19"/>
      <c r="HH49" s="19"/>
      <c r="HI49" s="19"/>
      <c r="HK49" s="8"/>
      <c r="HL49" s="7"/>
      <c r="HM49" s="19"/>
      <c r="HN49" s="19"/>
      <c r="HO49" s="19"/>
      <c r="HP49" s="19"/>
      <c r="HR49" s="8"/>
      <c r="HS49" s="7"/>
      <c r="HT49" s="19"/>
      <c r="HU49" s="19"/>
      <c r="HV49" s="19"/>
      <c r="HW49" s="19"/>
      <c r="HY49" s="8"/>
      <c r="HZ49" s="7"/>
      <c r="IA49" s="19"/>
      <c r="IB49" s="19"/>
      <c r="IC49" s="19"/>
      <c r="ID49" s="19"/>
      <c r="IF49" s="8"/>
      <c r="IG49" s="7"/>
      <c r="IH49" s="19"/>
      <c r="II49" s="19"/>
      <c r="IJ49" s="19"/>
      <c r="IK49" s="19"/>
      <c r="IM49" s="8"/>
      <c r="IN49" s="7"/>
      <c r="IO49" s="19"/>
      <c r="IP49" s="19"/>
      <c r="IQ49" s="19"/>
      <c r="IR49" s="19"/>
      <c r="IT49" s="8"/>
      <c r="IU49" s="7"/>
      <c r="IV49" s="19"/>
      <c r="IW49" s="19"/>
      <c r="IX49" s="19"/>
      <c r="IY49" s="19"/>
      <c r="JA49" s="8"/>
      <c r="JB49" s="7"/>
      <c r="JC49" s="19"/>
      <c r="JD49" s="19"/>
      <c r="JE49" s="19"/>
      <c r="JF49" s="19"/>
      <c r="JH49" s="8"/>
      <c r="JI49" s="7"/>
      <c r="JJ49" s="19"/>
      <c r="JK49" s="19"/>
      <c r="JL49" s="19"/>
      <c r="JM49" s="19"/>
      <c r="JO49" s="8"/>
      <c r="JP49" s="7"/>
      <c r="JQ49" s="19"/>
      <c r="JR49" s="19"/>
      <c r="JS49" s="19"/>
      <c r="JT49" s="19"/>
      <c r="JV49" s="8"/>
      <c r="JW49" s="7"/>
      <c r="JX49" s="19"/>
      <c r="JY49" s="19"/>
      <c r="JZ49" s="19"/>
      <c r="KA49" s="19"/>
      <c r="KC49" s="8"/>
      <c r="KD49" s="7"/>
      <c r="KE49" s="19"/>
      <c r="KF49" s="19"/>
      <c r="KG49" s="19"/>
      <c r="KH49" s="19"/>
      <c r="KJ49" s="8"/>
      <c r="KK49" s="7"/>
      <c r="KL49" s="19"/>
      <c r="KM49" s="19"/>
      <c r="KN49" s="19"/>
      <c r="KO49" s="19"/>
      <c r="KQ49" s="8"/>
      <c r="KR49" s="7"/>
      <c r="KS49" s="19"/>
      <c r="KT49" s="19"/>
      <c r="KU49" s="19"/>
      <c r="KV49" s="19"/>
      <c r="KX49" s="8"/>
      <c r="KY49" s="7"/>
      <c r="KZ49" s="19"/>
      <c r="LA49" s="19"/>
      <c r="LB49" s="19"/>
      <c r="LC49" s="19"/>
      <c r="LE49" s="8"/>
      <c r="LF49" s="7"/>
      <c r="LG49" s="19"/>
      <c r="LH49" s="19"/>
      <c r="LI49" s="19"/>
      <c r="LJ49" s="19"/>
      <c r="LL49" s="8"/>
      <c r="LM49" s="7"/>
      <c r="LN49" s="19"/>
      <c r="LO49" s="19"/>
      <c r="LP49" s="19"/>
      <c r="LQ49" s="19"/>
      <c r="LS49" s="8"/>
      <c r="LT49" s="7"/>
      <c r="LU49" s="19"/>
      <c r="LV49" s="19"/>
      <c r="LW49" s="19"/>
      <c r="LX49" s="19"/>
      <c r="LZ49" s="8"/>
      <c r="MA49" s="7"/>
      <c r="MB49" s="19"/>
      <c r="MC49" s="19"/>
      <c r="MD49" s="19"/>
      <c r="ME49" s="19"/>
      <c r="MG49" s="8"/>
      <c r="MH49" s="7"/>
      <c r="MI49" s="19"/>
      <c r="MJ49" s="19"/>
      <c r="MK49" s="19"/>
      <c r="ML49" s="19"/>
      <c r="MN49" s="8"/>
      <c r="MO49" s="7"/>
      <c r="MP49" s="19"/>
      <c r="MQ49" s="19"/>
      <c r="MR49" s="19"/>
      <c r="MS49" s="19"/>
      <c r="MU49" s="8"/>
      <c r="MV49" s="7"/>
      <c r="MW49" s="19"/>
      <c r="MX49" s="19"/>
      <c r="MY49" s="19"/>
      <c r="MZ49" s="19"/>
      <c r="NB49" s="8"/>
      <c r="NC49" s="7"/>
      <c r="ND49" s="19"/>
      <c r="NE49" s="19"/>
      <c r="NF49" s="19"/>
      <c r="NG49" s="19"/>
      <c r="NI49" s="8"/>
      <c r="NJ49" s="7"/>
      <c r="NK49" s="19"/>
      <c r="NL49" s="19"/>
      <c r="NM49" s="19"/>
      <c r="NN49" s="19"/>
      <c r="NP49" s="8"/>
      <c r="NQ49" s="7"/>
      <c r="NR49" s="19"/>
      <c r="NS49" s="19"/>
      <c r="NT49" s="19"/>
      <c r="NU49" s="19"/>
      <c r="NW49" s="8"/>
      <c r="NX49" s="7"/>
      <c r="NY49" s="19"/>
      <c r="NZ49" s="19"/>
      <c r="OA49" s="19"/>
      <c r="OB49" s="19"/>
      <c r="OD49" s="8"/>
      <c r="OE49" s="7"/>
      <c r="OF49" s="19"/>
      <c r="OG49" s="19"/>
      <c r="OH49" s="19"/>
      <c r="OI49" s="19"/>
      <c r="OK49" s="8"/>
      <c r="OL49" s="7"/>
      <c r="OM49" s="19"/>
      <c r="ON49" s="19"/>
      <c r="OO49" s="19"/>
      <c r="OP49" s="19"/>
      <c r="OR49" s="8"/>
      <c r="OS49" s="7"/>
      <c r="OT49" s="19"/>
      <c r="OU49" s="19"/>
      <c r="OV49" s="19"/>
      <c r="OW49" s="19"/>
      <c r="OY49" s="8"/>
      <c r="OZ49" s="7"/>
      <c r="PA49" s="19"/>
      <c r="PB49" s="19"/>
      <c r="PC49" s="19"/>
      <c r="PD49" s="19"/>
      <c r="PF49" s="8"/>
      <c r="PG49" s="7"/>
      <c r="PH49" s="19"/>
      <c r="PI49" s="19"/>
      <c r="PJ49" s="19"/>
      <c r="PK49" s="19"/>
      <c r="PM49" s="8"/>
    </row>
    <row r="50" spans="1:429" s="1" customFormat="1" ht="26" customHeight="1" outlineLevel="1">
      <c r="B50" s="471"/>
      <c r="C50" s="7"/>
      <c r="D50" s="19"/>
      <c r="E50" s="19"/>
      <c r="F50" s="19"/>
      <c r="G50" s="19"/>
      <c r="I50" s="8"/>
      <c r="J50" s="7"/>
      <c r="K50" s="19"/>
      <c r="L50" s="19"/>
      <c r="M50" s="19"/>
      <c r="N50" s="19"/>
      <c r="P50" s="8"/>
      <c r="Q50" s="7"/>
      <c r="R50" s="19"/>
      <c r="S50" s="19"/>
      <c r="T50" s="19"/>
      <c r="U50" s="19"/>
      <c r="W50" s="8"/>
      <c r="X50" s="7"/>
      <c r="Y50" s="19"/>
      <c r="Z50" s="19"/>
      <c r="AA50" s="19"/>
      <c r="AB50" s="19"/>
      <c r="AD50" s="8"/>
      <c r="AE50" s="7"/>
      <c r="AF50" s="19"/>
      <c r="AG50" s="19"/>
      <c r="AH50" s="19"/>
      <c r="AI50" s="19"/>
      <c r="AK50" s="8"/>
      <c r="AL50" s="7"/>
      <c r="AM50" s="19"/>
      <c r="AN50" s="19"/>
      <c r="AO50" s="19"/>
      <c r="AP50" s="19"/>
      <c r="AR50" s="8"/>
      <c r="AS50" s="7"/>
      <c r="AT50" s="19"/>
      <c r="AU50" s="19"/>
      <c r="AV50" s="19"/>
      <c r="AW50" s="19"/>
      <c r="AY50" s="8"/>
      <c r="AZ50" s="7"/>
      <c r="BA50" s="19"/>
      <c r="BB50" s="19"/>
      <c r="BC50" s="19"/>
      <c r="BD50" s="19"/>
      <c r="BF50" s="8"/>
      <c r="BG50" s="7"/>
      <c r="BH50" s="19"/>
      <c r="BI50" s="19"/>
      <c r="BJ50" s="19"/>
      <c r="BK50" s="19"/>
      <c r="BM50" s="8"/>
      <c r="BN50" s="7"/>
      <c r="BO50" s="19"/>
      <c r="BP50" s="19"/>
      <c r="BQ50" s="19"/>
      <c r="BR50" s="19"/>
      <c r="BT50" s="8"/>
      <c r="BU50" s="7"/>
      <c r="BV50" s="19"/>
      <c r="BW50" s="19"/>
      <c r="BX50" s="19"/>
      <c r="BY50" s="19"/>
      <c r="CA50" s="8"/>
      <c r="CB50" s="7"/>
      <c r="CC50" s="19"/>
      <c r="CD50" s="19"/>
      <c r="CE50" s="19"/>
      <c r="CF50" s="19"/>
      <c r="CH50" s="8"/>
      <c r="CI50" s="7"/>
      <c r="CJ50" s="19"/>
      <c r="CK50" s="19"/>
      <c r="CL50" s="19"/>
      <c r="CM50" s="19"/>
      <c r="CO50" s="8"/>
      <c r="CP50" s="7"/>
      <c r="CQ50" s="19"/>
      <c r="CR50" s="19"/>
      <c r="CS50" s="19"/>
      <c r="CT50" s="19"/>
      <c r="CV50" s="8"/>
      <c r="CW50" s="7"/>
      <c r="CX50" s="19"/>
      <c r="CY50" s="19"/>
      <c r="CZ50" s="19"/>
      <c r="DA50" s="19"/>
      <c r="DC50" s="8"/>
      <c r="DD50" s="7"/>
      <c r="DE50" s="19"/>
      <c r="DF50" s="19"/>
      <c r="DG50" s="19"/>
      <c r="DH50" s="19"/>
      <c r="DJ50" s="8"/>
      <c r="DK50" s="7"/>
      <c r="DL50" s="19"/>
      <c r="DM50" s="19"/>
      <c r="DN50" s="19"/>
      <c r="DO50" s="19"/>
      <c r="DQ50" s="8"/>
      <c r="DR50" s="7"/>
      <c r="DS50" s="19"/>
      <c r="DT50" s="19"/>
      <c r="DU50" s="19"/>
      <c r="DV50" s="19"/>
      <c r="DX50" s="8"/>
      <c r="DY50" s="7"/>
      <c r="DZ50" s="19"/>
      <c r="EA50" s="19"/>
      <c r="EB50" s="19"/>
      <c r="EC50" s="19"/>
      <c r="EE50" s="8"/>
      <c r="EF50" s="7"/>
      <c r="EG50" s="19"/>
      <c r="EH50" s="19"/>
      <c r="EI50" s="19"/>
      <c r="EJ50" s="19"/>
      <c r="EL50" s="8"/>
      <c r="EM50" s="7"/>
      <c r="EN50" s="19"/>
      <c r="EO50" s="19"/>
      <c r="EP50" s="19"/>
      <c r="EQ50" s="19"/>
      <c r="ES50" s="8"/>
      <c r="ET50" s="7"/>
      <c r="EU50" s="19"/>
      <c r="EV50" s="19"/>
      <c r="EW50" s="19"/>
      <c r="EX50" s="19"/>
      <c r="EZ50" s="8"/>
      <c r="FA50" s="7"/>
      <c r="FB50" s="19"/>
      <c r="FC50" s="19"/>
      <c r="FD50" s="19"/>
      <c r="FE50" s="19"/>
      <c r="FG50" s="8"/>
      <c r="FH50" s="7"/>
      <c r="FI50" s="19"/>
      <c r="FJ50" s="19"/>
      <c r="FK50" s="19"/>
      <c r="FL50" s="19"/>
      <c r="FN50" s="8"/>
      <c r="FO50" s="7"/>
      <c r="FP50" s="19"/>
      <c r="FQ50" s="19"/>
      <c r="FR50" s="19"/>
      <c r="FS50" s="19"/>
      <c r="FU50" s="8"/>
      <c r="FV50" s="7"/>
      <c r="FW50" s="19"/>
      <c r="FX50" s="19"/>
      <c r="FY50" s="19"/>
      <c r="FZ50" s="19"/>
      <c r="GB50" s="8"/>
      <c r="GC50" s="7"/>
      <c r="GD50" s="19"/>
      <c r="GE50" s="19"/>
      <c r="GF50" s="19"/>
      <c r="GG50" s="19"/>
      <c r="GI50" s="8"/>
      <c r="GJ50" s="7"/>
      <c r="GK50" s="19"/>
      <c r="GL50" s="19"/>
      <c r="GM50" s="19"/>
      <c r="GN50" s="19"/>
      <c r="GP50" s="8"/>
      <c r="GQ50" s="7"/>
      <c r="GR50" s="19"/>
      <c r="GS50" s="19"/>
      <c r="GT50" s="19"/>
      <c r="GU50" s="19"/>
      <c r="GW50" s="8"/>
      <c r="GX50" s="7"/>
      <c r="GY50" s="19"/>
      <c r="GZ50" s="19"/>
      <c r="HA50" s="19"/>
      <c r="HB50" s="19"/>
      <c r="HD50" s="8"/>
      <c r="HE50" s="7"/>
      <c r="HF50" s="19"/>
      <c r="HG50" s="19"/>
      <c r="HH50" s="19"/>
      <c r="HI50" s="19"/>
      <c r="HK50" s="8"/>
      <c r="HL50" s="7"/>
      <c r="HM50" s="19"/>
      <c r="HN50" s="19"/>
      <c r="HO50" s="19"/>
      <c r="HP50" s="19"/>
      <c r="HR50" s="8"/>
      <c r="HS50" s="7"/>
      <c r="HT50" s="19"/>
      <c r="HU50" s="19"/>
      <c r="HV50" s="19"/>
      <c r="HW50" s="19"/>
      <c r="HY50" s="8"/>
      <c r="HZ50" s="7"/>
      <c r="IA50" s="19"/>
      <c r="IB50" s="19"/>
      <c r="IC50" s="19"/>
      <c r="ID50" s="19"/>
      <c r="IF50" s="8"/>
      <c r="IG50" s="7"/>
      <c r="IH50" s="19"/>
      <c r="II50" s="19"/>
      <c r="IJ50" s="19"/>
      <c r="IK50" s="19"/>
      <c r="IM50" s="8"/>
      <c r="IN50" s="7"/>
      <c r="IO50" s="19"/>
      <c r="IP50" s="19"/>
      <c r="IQ50" s="19"/>
      <c r="IR50" s="19"/>
      <c r="IT50" s="8"/>
      <c r="IU50" s="7"/>
      <c r="IV50" s="19"/>
      <c r="IW50" s="19"/>
      <c r="IX50" s="19"/>
      <c r="IY50" s="19"/>
      <c r="JA50" s="8"/>
      <c r="JB50" s="7"/>
      <c r="JC50" s="19"/>
      <c r="JD50" s="19"/>
      <c r="JE50" s="19"/>
      <c r="JF50" s="19"/>
      <c r="JH50" s="8"/>
      <c r="JI50" s="7"/>
      <c r="JJ50" s="19"/>
      <c r="JK50" s="19"/>
      <c r="JL50" s="19"/>
      <c r="JM50" s="19"/>
      <c r="JO50" s="8"/>
      <c r="JP50" s="7"/>
      <c r="JQ50" s="19"/>
      <c r="JR50" s="19"/>
      <c r="JS50" s="19"/>
      <c r="JT50" s="19"/>
      <c r="JV50" s="8"/>
      <c r="JW50" s="7"/>
      <c r="JX50" s="19"/>
      <c r="JY50" s="19"/>
      <c r="JZ50" s="19"/>
      <c r="KA50" s="19"/>
      <c r="KC50" s="8"/>
      <c r="KD50" s="7"/>
      <c r="KE50" s="19"/>
      <c r="KF50" s="19"/>
      <c r="KG50" s="19"/>
      <c r="KH50" s="19"/>
      <c r="KJ50" s="8"/>
      <c r="KK50" s="7"/>
      <c r="KL50" s="19"/>
      <c r="KM50" s="19"/>
      <c r="KN50" s="19"/>
      <c r="KO50" s="19"/>
      <c r="KQ50" s="8"/>
      <c r="KR50" s="7"/>
      <c r="KS50" s="19"/>
      <c r="KT50" s="19"/>
      <c r="KU50" s="19"/>
      <c r="KV50" s="19"/>
      <c r="KX50" s="8"/>
      <c r="KY50" s="7"/>
      <c r="KZ50" s="19"/>
      <c r="LA50" s="19"/>
      <c r="LB50" s="19"/>
      <c r="LC50" s="19"/>
      <c r="LE50" s="8"/>
      <c r="LF50" s="7"/>
      <c r="LG50" s="19"/>
      <c r="LH50" s="19"/>
      <c r="LI50" s="19"/>
      <c r="LJ50" s="19"/>
      <c r="LL50" s="8"/>
      <c r="LM50" s="7"/>
      <c r="LN50" s="19"/>
      <c r="LO50" s="19"/>
      <c r="LP50" s="19"/>
      <c r="LQ50" s="19"/>
      <c r="LS50" s="8"/>
      <c r="LT50" s="7"/>
      <c r="LU50" s="19"/>
      <c r="LV50" s="19"/>
      <c r="LW50" s="19"/>
      <c r="LX50" s="19"/>
      <c r="LZ50" s="8"/>
      <c r="MA50" s="7"/>
      <c r="MB50" s="19"/>
      <c r="MC50" s="19"/>
      <c r="MD50" s="19"/>
      <c r="ME50" s="19"/>
      <c r="MG50" s="8"/>
      <c r="MH50" s="7"/>
      <c r="MI50" s="19"/>
      <c r="MJ50" s="19"/>
      <c r="MK50" s="19"/>
      <c r="ML50" s="19"/>
      <c r="MN50" s="8"/>
      <c r="MO50" s="7"/>
      <c r="MP50" s="19"/>
      <c r="MQ50" s="19"/>
      <c r="MR50" s="19"/>
      <c r="MS50" s="19"/>
      <c r="MU50" s="8"/>
      <c r="MV50" s="7"/>
      <c r="MW50" s="19"/>
      <c r="MX50" s="19"/>
      <c r="MY50" s="19"/>
      <c r="MZ50" s="19"/>
      <c r="NB50" s="8"/>
      <c r="NC50" s="7"/>
      <c r="ND50" s="19"/>
      <c r="NE50" s="19"/>
      <c r="NF50" s="19"/>
      <c r="NG50" s="19"/>
      <c r="NI50" s="8"/>
      <c r="NJ50" s="7"/>
      <c r="NK50" s="19"/>
      <c r="NL50" s="19"/>
      <c r="NM50" s="19"/>
      <c r="NN50" s="19"/>
      <c r="NP50" s="8"/>
      <c r="NQ50" s="7"/>
      <c r="NR50" s="19"/>
      <c r="NS50" s="19"/>
      <c r="NT50" s="19"/>
      <c r="NU50" s="19"/>
      <c r="NW50" s="8"/>
      <c r="NX50" s="7"/>
      <c r="NY50" s="19"/>
      <c r="NZ50" s="19"/>
      <c r="OA50" s="19"/>
      <c r="OB50" s="19"/>
      <c r="OD50" s="8"/>
      <c r="OE50" s="7"/>
      <c r="OF50" s="19"/>
      <c r="OG50" s="19"/>
      <c r="OH50" s="19"/>
      <c r="OI50" s="19"/>
      <c r="OK50" s="8"/>
      <c r="OL50" s="7"/>
      <c r="OM50" s="19"/>
      <c r="ON50" s="19"/>
      <c r="OO50" s="19"/>
      <c r="OP50" s="19"/>
      <c r="OR50" s="8"/>
      <c r="OS50" s="7"/>
      <c r="OT50" s="19"/>
      <c r="OU50" s="19"/>
      <c r="OV50" s="19"/>
      <c r="OW50" s="19"/>
      <c r="OY50" s="8"/>
      <c r="OZ50" s="7"/>
      <c r="PA50" s="19"/>
      <c r="PB50" s="19"/>
      <c r="PC50" s="19"/>
      <c r="PD50" s="19"/>
      <c r="PF50" s="8"/>
      <c r="PG50" s="7"/>
      <c r="PH50" s="19"/>
      <c r="PI50" s="19"/>
      <c r="PJ50" s="19"/>
      <c r="PK50" s="19"/>
      <c r="PM50" s="8"/>
    </row>
    <row r="51" spans="1:429" s="1" customFormat="1" ht="26" customHeight="1" outlineLevel="1">
      <c r="B51" s="471"/>
      <c r="C51" s="7"/>
      <c r="D51" s="19"/>
      <c r="E51" s="19"/>
      <c r="F51" s="19"/>
      <c r="G51" s="19"/>
      <c r="I51" s="8"/>
      <c r="J51" s="7"/>
      <c r="K51" s="19"/>
      <c r="L51" s="19"/>
      <c r="M51" s="19"/>
      <c r="N51" s="19"/>
      <c r="P51" s="8"/>
      <c r="Q51" s="7"/>
      <c r="R51" s="19"/>
      <c r="S51" s="19"/>
      <c r="T51" s="19"/>
      <c r="U51" s="19"/>
      <c r="W51" s="8"/>
      <c r="X51" s="7"/>
      <c r="Y51" s="19"/>
      <c r="Z51" s="19"/>
      <c r="AA51" s="19"/>
      <c r="AB51" s="19"/>
      <c r="AD51" s="8"/>
      <c r="AE51" s="7"/>
      <c r="AF51" s="19"/>
      <c r="AG51" s="19"/>
      <c r="AH51" s="19"/>
      <c r="AI51" s="19"/>
      <c r="AK51" s="8"/>
      <c r="AL51" s="7"/>
      <c r="AM51" s="19"/>
      <c r="AN51" s="19"/>
      <c r="AO51" s="19"/>
      <c r="AP51" s="19"/>
      <c r="AR51" s="8"/>
      <c r="AS51" s="7"/>
      <c r="AT51" s="19"/>
      <c r="AU51" s="19"/>
      <c r="AV51" s="19"/>
      <c r="AW51" s="19"/>
      <c r="AY51" s="8"/>
      <c r="AZ51" s="7"/>
      <c r="BA51" s="19"/>
      <c r="BB51" s="19"/>
      <c r="BC51" s="19"/>
      <c r="BD51" s="19"/>
      <c r="BF51" s="8"/>
      <c r="BG51" s="7"/>
      <c r="BH51" s="19"/>
      <c r="BI51" s="19"/>
      <c r="BJ51" s="19"/>
      <c r="BK51" s="19"/>
      <c r="BM51" s="8"/>
      <c r="BN51" s="7"/>
      <c r="BO51" s="19"/>
      <c r="BP51" s="19"/>
      <c r="BQ51" s="19"/>
      <c r="BR51" s="19"/>
      <c r="BT51" s="8"/>
      <c r="BU51" s="7"/>
      <c r="BV51" s="19"/>
      <c r="BW51" s="19"/>
      <c r="BX51" s="19"/>
      <c r="BY51" s="19"/>
      <c r="CA51" s="8"/>
      <c r="CB51" s="7"/>
      <c r="CC51" s="19"/>
      <c r="CD51" s="19"/>
      <c r="CE51" s="19"/>
      <c r="CF51" s="19"/>
      <c r="CH51" s="8"/>
      <c r="CI51" s="7"/>
      <c r="CJ51" s="19"/>
      <c r="CK51" s="19"/>
      <c r="CL51" s="19"/>
      <c r="CM51" s="19"/>
      <c r="CO51" s="8"/>
      <c r="CP51" s="7"/>
      <c r="CQ51" s="19"/>
      <c r="CR51" s="19"/>
      <c r="CS51" s="19"/>
      <c r="CT51" s="19"/>
      <c r="CV51" s="8"/>
      <c r="CW51" s="7"/>
      <c r="CX51" s="19"/>
      <c r="CY51" s="19"/>
      <c r="CZ51" s="19"/>
      <c r="DA51" s="19"/>
      <c r="DC51" s="8"/>
      <c r="DD51" s="7"/>
      <c r="DE51" s="19"/>
      <c r="DF51" s="19"/>
      <c r="DG51" s="19"/>
      <c r="DH51" s="19"/>
      <c r="DJ51" s="8"/>
      <c r="DK51" s="7"/>
      <c r="DL51" s="19"/>
      <c r="DM51" s="19"/>
      <c r="DN51" s="19"/>
      <c r="DO51" s="19"/>
      <c r="DQ51" s="8"/>
      <c r="DR51" s="7"/>
      <c r="DS51" s="19"/>
      <c r="DT51" s="19"/>
      <c r="DU51" s="19"/>
      <c r="DV51" s="19"/>
      <c r="DX51" s="8"/>
      <c r="DY51" s="7"/>
      <c r="DZ51" s="19"/>
      <c r="EA51" s="19"/>
      <c r="EB51" s="19"/>
      <c r="EC51" s="19"/>
      <c r="EE51" s="8"/>
      <c r="EF51" s="7"/>
      <c r="EG51" s="19"/>
      <c r="EH51" s="19"/>
      <c r="EI51" s="19"/>
      <c r="EJ51" s="19"/>
      <c r="EL51" s="8"/>
      <c r="EM51" s="7"/>
      <c r="EN51" s="19"/>
      <c r="EO51" s="19"/>
      <c r="EP51" s="19"/>
      <c r="EQ51" s="19"/>
      <c r="ES51" s="8"/>
      <c r="ET51" s="7"/>
      <c r="EU51" s="19"/>
      <c r="EV51" s="19"/>
      <c r="EW51" s="19"/>
      <c r="EX51" s="19"/>
      <c r="EZ51" s="8"/>
      <c r="FA51" s="7"/>
      <c r="FB51" s="19"/>
      <c r="FC51" s="19"/>
      <c r="FD51" s="19"/>
      <c r="FE51" s="19"/>
      <c r="FG51" s="8"/>
      <c r="FH51" s="7"/>
      <c r="FI51" s="19"/>
      <c r="FJ51" s="19"/>
      <c r="FK51" s="19"/>
      <c r="FL51" s="19"/>
      <c r="FN51" s="8"/>
      <c r="FO51" s="7"/>
      <c r="FP51" s="19"/>
      <c r="FQ51" s="19"/>
      <c r="FR51" s="19"/>
      <c r="FS51" s="19"/>
      <c r="FU51" s="8"/>
      <c r="FV51" s="7"/>
      <c r="FW51" s="19"/>
      <c r="FX51" s="19"/>
      <c r="FY51" s="19"/>
      <c r="FZ51" s="19"/>
      <c r="GB51" s="8"/>
      <c r="GC51" s="7"/>
      <c r="GD51" s="19"/>
      <c r="GE51" s="19"/>
      <c r="GF51" s="19"/>
      <c r="GG51" s="19"/>
      <c r="GI51" s="8"/>
      <c r="GJ51" s="7"/>
      <c r="GK51" s="19"/>
      <c r="GL51" s="19"/>
      <c r="GM51" s="19"/>
      <c r="GN51" s="19"/>
      <c r="GP51" s="8"/>
      <c r="GQ51" s="7"/>
      <c r="GR51" s="19"/>
      <c r="GS51" s="19"/>
      <c r="GT51" s="19"/>
      <c r="GU51" s="19"/>
      <c r="GW51" s="8"/>
      <c r="GX51" s="7"/>
      <c r="GY51" s="19"/>
      <c r="GZ51" s="19"/>
      <c r="HA51" s="19"/>
      <c r="HB51" s="19"/>
      <c r="HD51" s="8"/>
      <c r="HE51" s="7"/>
      <c r="HF51" s="19"/>
      <c r="HG51" s="19"/>
      <c r="HH51" s="19"/>
      <c r="HI51" s="19"/>
      <c r="HK51" s="8"/>
      <c r="HL51" s="7"/>
      <c r="HM51" s="19"/>
      <c r="HN51" s="19"/>
      <c r="HO51" s="19"/>
      <c r="HP51" s="19"/>
      <c r="HR51" s="8"/>
      <c r="HS51" s="7"/>
      <c r="HT51" s="19"/>
      <c r="HU51" s="19"/>
      <c r="HV51" s="19"/>
      <c r="HW51" s="19"/>
      <c r="HY51" s="8"/>
      <c r="HZ51" s="7"/>
      <c r="IA51" s="19"/>
      <c r="IB51" s="19"/>
      <c r="IC51" s="19"/>
      <c r="ID51" s="19"/>
      <c r="IF51" s="8"/>
      <c r="IG51" s="7"/>
      <c r="IH51" s="19"/>
      <c r="II51" s="19"/>
      <c r="IJ51" s="19"/>
      <c r="IK51" s="19"/>
      <c r="IM51" s="8"/>
      <c r="IN51" s="7"/>
      <c r="IO51" s="19"/>
      <c r="IP51" s="19"/>
      <c r="IQ51" s="19"/>
      <c r="IR51" s="19"/>
      <c r="IT51" s="8"/>
      <c r="IU51" s="7"/>
      <c r="IV51" s="19"/>
      <c r="IW51" s="19"/>
      <c r="IX51" s="19"/>
      <c r="IY51" s="19"/>
      <c r="JA51" s="8"/>
      <c r="JB51" s="7"/>
      <c r="JC51" s="19"/>
      <c r="JD51" s="19"/>
      <c r="JE51" s="19"/>
      <c r="JF51" s="19"/>
      <c r="JH51" s="8"/>
      <c r="JI51" s="7"/>
      <c r="JJ51" s="19"/>
      <c r="JK51" s="19"/>
      <c r="JL51" s="19"/>
      <c r="JM51" s="19"/>
      <c r="JO51" s="8"/>
      <c r="JP51" s="7"/>
      <c r="JQ51" s="19"/>
      <c r="JR51" s="19"/>
      <c r="JS51" s="19"/>
      <c r="JT51" s="19"/>
      <c r="JV51" s="8"/>
      <c r="JW51" s="7"/>
      <c r="JX51" s="19"/>
      <c r="JY51" s="19"/>
      <c r="JZ51" s="19"/>
      <c r="KA51" s="19"/>
      <c r="KC51" s="8"/>
      <c r="KD51" s="7"/>
      <c r="KE51" s="19"/>
      <c r="KF51" s="19"/>
      <c r="KG51" s="19"/>
      <c r="KH51" s="19"/>
      <c r="KJ51" s="8"/>
      <c r="KK51" s="7"/>
      <c r="KL51" s="19"/>
      <c r="KM51" s="19"/>
      <c r="KN51" s="19"/>
      <c r="KO51" s="19"/>
      <c r="KQ51" s="8"/>
      <c r="KR51" s="7"/>
      <c r="KS51" s="19"/>
      <c r="KT51" s="19"/>
      <c r="KU51" s="19"/>
      <c r="KV51" s="19"/>
      <c r="KX51" s="8"/>
      <c r="KY51" s="7"/>
      <c r="KZ51" s="19"/>
      <c r="LA51" s="19"/>
      <c r="LB51" s="19"/>
      <c r="LC51" s="19"/>
      <c r="LE51" s="8"/>
      <c r="LF51" s="7"/>
      <c r="LG51" s="19"/>
      <c r="LH51" s="19"/>
      <c r="LI51" s="19"/>
      <c r="LJ51" s="19"/>
      <c r="LL51" s="8"/>
      <c r="LM51" s="7"/>
      <c r="LN51" s="19"/>
      <c r="LO51" s="19"/>
      <c r="LP51" s="19"/>
      <c r="LQ51" s="19"/>
      <c r="LS51" s="8"/>
      <c r="LT51" s="7"/>
      <c r="LU51" s="19"/>
      <c r="LV51" s="19"/>
      <c r="LW51" s="19"/>
      <c r="LX51" s="19"/>
      <c r="LZ51" s="8"/>
      <c r="MA51" s="7"/>
      <c r="MB51" s="19"/>
      <c r="MC51" s="19"/>
      <c r="MD51" s="19"/>
      <c r="ME51" s="19"/>
      <c r="MG51" s="8"/>
      <c r="MH51" s="7"/>
      <c r="MI51" s="19"/>
      <c r="MJ51" s="19"/>
      <c r="MK51" s="19"/>
      <c r="ML51" s="19"/>
      <c r="MN51" s="8"/>
      <c r="MO51" s="7"/>
      <c r="MP51" s="19"/>
      <c r="MQ51" s="19"/>
      <c r="MR51" s="19"/>
      <c r="MS51" s="19"/>
      <c r="MU51" s="8"/>
      <c r="MV51" s="7"/>
      <c r="MW51" s="19"/>
      <c r="MX51" s="19"/>
      <c r="MY51" s="19"/>
      <c r="MZ51" s="19"/>
      <c r="NB51" s="8"/>
      <c r="NC51" s="7"/>
      <c r="ND51" s="19"/>
      <c r="NE51" s="19"/>
      <c r="NF51" s="19"/>
      <c r="NG51" s="19"/>
      <c r="NI51" s="8"/>
      <c r="NJ51" s="7"/>
      <c r="NK51" s="19"/>
      <c r="NL51" s="19"/>
      <c r="NM51" s="19"/>
      <c r="NN51" s="19"/>
      <c r="NP51" s="8"/>
      <c r="NQ51" s="7"/>
      <c r="NR51" s="19"/>
      <c r="NS51" s="19"/>
      <c r="NT51" s="19"/>
      <c r="NU51" s="19"/>
      <c r="NW51" s="8"/>
      <c r="NX51" s="7"/>
      <c r="NY51" s="19"/>
      <c r="NZ51" s="19"/>
      <c r="OA51" s="19"/>
      <c r="OB51" s="19"/>
      <c r="OD51" s="8"/>
      <c r="OE51" s="7"/>
      <c r="OF51" s="19"/>
      <c r="OG51" s="19"/>
      <c r="OH51" s="19"/>
      <c r="OI51" s="19"/>
      <c r="OK51" s="8"/>
      <c r="OL51" s="7"/>
      <c r="OM51" s="19"/>
      <c r="ON51" s="19"/>
      <c r="OO51" s="19"/>
      <c r="OP51" s="19"/>
      <c r="OR51" s="8"/>
      <c r="OS51" s="7"/>
      <c r="OT51" s="19"/>
      <c r="OU51" s="19"/>
      <c r="OV51" s="19"/>
      <c r="OW51" s="19"/>
      <c r="OY51" s="8"/>
      <c r="OZ51" s="7"/>
      <c r="PA51" s="19"/>
      <c r="PB51" s="19"/>
      <c r="PC51" s="19"/>
      <c r="PD51" s="19"/>
      <c r="PF51" s="8"/>
      <c r="PG51" s="7"/>
      <c r="PH51" s="19"/>
      <c r="PI51" s="19"/>
      <c r="PJ51" s="19"/>
      <c r="PK51" s="19"/>
      <c r="PM51" s="8"/>
    </row>
    <row r="52" spans="1:429" s="1" customFormat="1" ht="26" customHeight="1" outlineLevel="1">
      <c r="B52" s="471"/>
      <c r="C52" s="7"/>
      <c r="D52" s="19"/>
      <c r="E52" s="19"/>
      <c r="F52" s="19"/>
      <c r="G52" s="19"/>
      <c r="I52" s="8"/>
      <c r="J52" s="7"/>
      <c r="K52" s="19"/>
      <c r="L52" s="19"/>
      <c r="M52" s="19"/>
      <c r="N52" s="19"/>
      <c r="P52" s="8"/>
      <c r="Q52" s="7"/>
      <c r="R52" s="19"/>
      <c r="S52" s="19"/>
      <c r="T52" s="19"/>
      <c r="U52" s="19"/>
      <c r="W52" s="8"/>
      <c r="X52" s="7"/>
      <c r="Y52" s="19"/>
      <c r="Z52" s="19"/>
      <c r="AA52" s="19"/>
      <c r="AB52" s="19"/>
      <c r="AD52" s="8"/>
      <c r="AE52" s="7"/>
      <c r="AF52" s="19"/>
      <c r="AG52" s="19"/>
      <c r="AH52" s="19"/>
      <c r="AI52" s="19"/>
      <c r="AK52" s="8"/>
      <c r="AL52" s="7"/>
      <c r="AM52" s="19"/>
      <c r="AN52" s="19"/>
      <c r="AO52" s="19"/>
      <c r="AP52" s="19"/>
      <c r="AR52" s="8"/>
      <c r="AS52" s="7"/>
      <c r="AT52" s="19"/>
      <c r="AU52" s="19"/>
      <c r="AV52" s="19"/>
      <c r="AW52" s="19"/>
      <c r="AY52" s="8"/>
      <c r="AZ52" s="7"/>
      <c r="BA52" s="19"/>
      <c r="BB52" s="19"/>
      <c r="BC52" s="19"/>
      <c r="BD52" s="19"/>
      <c r="BF52" s="8"/>
      <c r="BG52" s="7"/>
      <c r="BH52" s="19"/>
      <c r="BI52" s="19"/>
      <c r="BJ52" s="19"/>
      <c r="BK52" s="19"/>
      <c r="BM52" s="8"/>
      <c r="BN52" s="7"/>
      <c r="BO52" s="19"/>
      <c r="BP52" s="19"/>
      <c r="BQ52" s="19"/>
      <c r="BR52" s="19"/>
      <c r="BT52" s="8"/>
      <c r="BU52" s="7"/>
      <c r="BV52" s="19"/>
      <c r="BW52" s="19"/>
      <c r="BX52" s="19"/>
      <c r="BY52" s="19"/>
      <c r="CA52" s="8"/>
      <c r="CB52" s="7"/>
      <c r="CC52" s="19"/>
      <c r="CD52" s="19"/>
      <c r="CE52" s="19"/>
      <c r="CF52" s="19"/>
      <c r="CH52" s="8"/>
      <c r="CI52" s="7"/>
      <c r="CJ52" s="19"/>
      <c r="CK52" s="19"/>
      <c r="CL52" s="19"/>
      <c r="CM52" s="19"/>
      <c r="CO52" s="8"/>
      <c r="CP52" s="7"/>
      <c r="CQ52" s="19"/>
      <c r="CR52" s="19"/>
      <c r="CS52" s="19"/>
      <c r="CT52" s="19"/>
      <c r="CV52" s="8"/>
      <c r="CW52" s="7"/>
      <c r="CX52" s="19"/>
      <c r="CY52" s="19"/>
      <c r="CZ52" s="19"/>
      <c r="DA52" s="19"/>
      <c r="DC52" s="8"/>
      <c r="DD52" s="7"/>
      <c r="DE52" s="19"/>
      <c r="DF52" s="19"/>
      <c r="DG52" s="19"/>
      <c r="DH52" s="19"/>
      <c r="DJ52" s="8"/>
      <c r="DK52" s="7"/>
      <c r="DL52" s="19"/>
      <c r="DM52" s="19"/>
      <c r="DN52" s="19"/>
      <c r="DO52" s="19"/>
      <c r="DQ52" s="8"/>
      <c r="DR52" s="7"/>
      <c r="DS52" s="19"/>
      <c r="DT52" s="19"/>
      <c r="DU52" s="19"/>
      <c r="DV52" s="19"/>
      <c r="DX52" s="8"/>
      <c r="DY52" s="7"/>
      <c r="DZ52" s="19"/>
      <c r="EA52" s="19"/>
      <c r="EB52" s="19"/>
      <c r="EC52" s="19"/>
      <c r="EE52" s="8"/>
      <c r="EF52" s="7"/>
      <c r="EG52" s="19"/>
      <c r="EH52" s="19"/>
      <c r="EI52" s="19"/>
      <c r="EJ52" s="19"/>
      <c r="EL52" s="8"/>
      <c r="EM52" s="7"/>
      <c r="EN52" s="19"/>
      <c r="EO52" s="19"/>
      <c r="EP52" s="19"/>
      <c r="EQ52" s="19"/>
      <c r="ES52" s="8"/>
      <c r="ET52" s="7"/>
      <c r="EU52" s="19"/>
      <c r="EV52" s="19"/>
      <c r="EW52" s="19"/>
      <c r="EX52" s="19"/>
      <c r="EZ52" s="8"/>
      <c r="FA52" s="7"/>
      <c r="FB52" s="19"/>
      <c r="FC52" s="19"/>
      <c r="FD52" s="19"/>
      <c r="FE52" s="19"/>
      <c r="FG52" s="8"/>
      <c r="FH52" s="7"/>
      <c r="FI52" s="19"/>
      <c r="FJ52" s="19"/>
      <c r="FK52" s="19"/>
      <c r="FL52" s="19"/>
      <c r="FN52" s="8"/>
      <c r="FO52" s="7"/>
      <c r="FP52" s="19"/>
      <c r="FQ52" s="19"/>
      <c r="FR52" s="19"/>
      <c r="FS52" s="19"/>
      <c r="FU52" s="8"/>
      <c r="FV52" s="7"/>
      <c r="FW52" s="19"/>
      <c r="FX52" s="19"/>
      <c r="FY52" s="19"/>
      <c r="FZ52" s="19"/>
      <c r="GB52" s="8"/>
      <c r="GC52" s="7"/>
      <c r="GD52" s="19"/>
      <c r="GE52" s="19"/>
      <c r="GF52" s="19"/>
      <c r="GG52" s="19"/>
      <c r="GI52" s="8"/>
      <c r="GJ52" s="7"/>
      <c r="GK52" s="19"/>
      <c r="GL52" s="19"/>
      <c r="GM52" s="19"/>
      <c r="GN52" s="19"/>
      <c r="GP52" s="8"/>
      <c r="GQ52" s="7"/>
      <c r="GR52" s="19"/>
      <c r="GS52" s="19"/>
      <c r="GT52" s="19"/>
      <c r="GU52" s="19"/>
      <c r="GW52" s="8"/>
      <c r="GX52" s="7"/>
      <c r="GY52" s="19"/>
      <c r="GZ52" s="19"/>
      <c r="HA52" s="19"/>
      <c r="HB52" s="19"/>
      <c r="HD52" s="8"/>
      <c r="HE52" s="7"/>
      <c r="HF52" s="19"/>
      <c r="HG52" s="19"/>
      <c r="HH52" s="19"/>
      <c r="HI52" s="19"/>
      <c r="HK52" s="8"/>
      <c r="HL52" s="7"/>
      <c r="HM52" s="19"/>
      <c r="HN52" s="19"/>
      <c r="HO52" s="19"/>
      <c r="HP52" s="19"/>
      <c r="HR52" s="8"/>
      <c r="HS52" s="7"/>
      <c r="HT52" s="19"/>
      <c r="HU52" s="19"/>
      <c r="HV52" s="19"/>
      <c r="HW52" s="19"/>
      <c r="HY52" s="8"/>
      <c r="HZ52" s="7"/>
      <c r="IA52" s="19"/>
      <c r="IB52" s="19"/>
      <c r="IC52" s="19"/>
      <c r="ID52" s="19"/>
      <c r="IF52" s="8"/>
      <c r="IG52" s="7"/>
      <c r="IH52" s="19"/>
      <c r="II52" s="19"/>
      <c r="IJ52" s="19"/>
      <c r="IK52" s="19"/>
      <c r="IM52" s="8"/>
      <c r="IN52" s="7"/>
      <c r="IO52" s="19"/>
      <c r="IP52" s="19"/>
      <c r="IQ52" s="19"/>
      <c r="IR52" s="19"/>
      <c r="IT52" s="8"/>
      <c r="IU52" s="7"/>
      <c r="IV52" s="19"/>
      <c r="IW52" s="19"/>
      <c r="IX52" s="19"/>
      <c r="IY52" s="19"/>
      <c r="JA52" s="8"/>
      <c r="JB52" s="7"/>
      <c r="JC52" s="19"/>
      <c r="JD52" s="19"/>
      <c r="JE52" s="19"/>
      <c r="JF52" s="19"/>
      <c r="JH52" s="8"/>
      <c r="JI52" s="7"/>
      <c r="JJ52" s="19"/>
      <c r="JK52" s="19"/>
      <c r="JL52" s="19"/>
      <c r="JM52" s="19"/>
      <c r="JO52" s="8"/>
      <c r="JP52" s="7"/>
      <c r="JQ52" s="19"/>
      <c r="JR52" s="19"/>
      <c r="JS52" s="19"/>
      <c r="JT52" s="19"/>
      <c r="JV52" s="8"/>
      <c r="JW52" s="7"/>
      <c r="JX52" s="19"/>
      <c r="JY52" s="19"/>
      <c r="JZ52" s="19"/>
      <c r="KA52" s="19"/>
      <c r="KC52" s="8"/>
      <c r="KD52" s="7"/>
      <c r="KE52" s="19"/>
      <c r="KF52" s="19"/>
      <c r="KG52" s="19"/>
      <c r="KH52" s="19"/>
      <c r="KJ52" s="8"/>
      <c r="KK52" s="7"/>
      <c r="KL52" s="19"/>
      <c r="KM52" s="19"/>
      <c r="KN52" s="19"/>
      <c r="KO52" s="19"/>
      <c r="KQ52" s="8"/>
      <c r="KR52" s="7"/>
      <c r="KS52" s="19"/>
      <c r="KT52" s="19"/>
      <c r="KU52" s="19"/>
      <c r="KV52" s="19"/>
      <c r="KX52" s="8"/>
      <c r="KY52" s="7"/>
      <c r="KZ52" s="19"/>
      <c r="LA52" s="19"/>
      <c r="LB52" s="19"/>
      <c r="LC52" s="19"/>
      <c r="LE52" s="8"/>
      <c r="LF52" s="7"/>
      <c r="LG52" s="19"/>
      <c r="LH52" s="19"/>
      <c r="LI52" s="19"/>
      <c r="LJ52" s="19"/>
      <c r="LL52" s="8"/>
      <c r="LM52" s="7"/>
      <c r="LN52" s="19"/>
      <c r="LO52" s="19"/>
      <c r="LP52" s="19"/>
      <c r="LQ52" s="19"/>
      <c r="LS52" s="8"/>
      <c r="LT52" s="7"/>
      <c r="LU52" s="19"/>
      <c r="LV52" s="19"/>
      <c r="LW52" s="19"/>
      <c r="LX52" s="19"/>
      <c r="LZ52" s="8"/>
      <c r="MA52" s="7"/>
      <c r="MB52" s="19"/>
      <c r="MC52" s="19"/>
      <c r="MD52" s="19"/>
      <c r="ME52" s="19"/>
      <c r="MG52" s="8"/>
      <c r="MH52" s="7"/>
      <c r="MI52" s="19"/>
      <c r="MJ52" s="19"/>
      <c r="MK52" s="19"/>
      <c r="ML52" s="19"/>
      <c r="MN52" s="8"/>
      <c r="MO52" s="7"/>
      <c r="MP52" s="19"/>
      <c r="MQ52" s="19"/>
      <c r="MR52" s="19"/>
      <c r="MS52" s="19"/>
      <c r="MU52" s="8"/>
      <c r="MV52" s="7"/>
      <c r="MW52" s="19"/>
      <c r="MX52" s="19"/>
      <c r="MY52" s="19"/>
      <c r="MZ52" s="19"/>
      <c r="NB52" s="8"/>
      <c r="NC52" s="7"/>
      <c r="ND52" s="19"/>
      <c r="NE52" s="19"/>
      <c r="NF52" s="19"/>
      <c r="NG52" s="19"/>
      <c r="NI52" s="8"/>
      <c r="NJ52" s="7"/>
      <c r="NK52" s="19"/>
      <c r="NL52" s="19"/>
      <c r="NM52" s="19"/>
      <c r="NN52" s="19"/>
      <c r="NP52" s="8"/>
      <c r="NQ52" s="7"/>
      <c r="NR52" s="19"/>
      <c r="NS52" s="19"/>
      <c r="NT52" s="19"/>
      <c r="NU52" s="19"/>
      <c r="NW52" s="8"/>
      <c r="NX52" s="7"/>
      <c r="NY52" s="19"/>
      <c r="NZ52" s="19"/>
      <c r="OA52" s="19"/>
      <c r="OB52" s="19"/>
      <c r="OD52" s="8"/>
      <c r="OE52" s="7"/>
      <c r="OF52" s="19"/>
      <c r="OG52" s="19"/>
      <c r="OH52" s="19"/>
      <c r="OI52" s="19"/>
      <c r="OK52" s="8"/>
      <c r="OL52" s="7"/>
      <c r="OM52" s="19"/>
      <c r="ON52" s="19"/>
      <c r="OO52" s="19"/>
      <c r="OP52" s="19"/>
      <c r="OR52" s="8"/>
      <c r="OS52" s="7"/>
      <c r="OT52" s="19"/>
      <c r="OU52" s="19"/>
      <c r="OV52" s="19"/>
      <c r="OW52" s="19"/>
      <c r="OY52" s="8"/>
      <c r="OZ52" s="7"/>
      <c r="PA52" s="19"/>
      <c r="PB52" s="19"/>
      <c r="PC52" s="19"/>
      <c r="PD52" s="19"/>
      <c r="PF52" s="8"/>
      <c r="PG52" s="7"/>
      <c r="PH52" s="19"/>
      <c r="PI52" s="19"/>
      <c r="PJ52" s="19"/>
      <c r="PK52" s="19"/>
      <c r="PM52" s="8"/>
    </row>
    <row r="53" spans="1:429" s="1" customFormat="1" ht="26" customHeight="1" outlineLevel="1">
      <c r="B53" s="471"/>
      <c r="C53" s="7"/>
      <c r="D53" s="19"/>
      <c r="E53" s="19"/>
      <c r="F53" s="19"/>
      <c r="G53" s="19"/>
      <c r="I53" s="8"/>
      <c r="J53" s="7"/>
      <c r="K53" s="19"/>
      <c r="L53" s="19"/>
      <c r="M53" s="19"/>
      <c r="N53" s="19"/>
      <c r="P53" s="8"/>
      <c r="Q53" s="7"/>
      <c r="R53" s="19"/>
      <c r="S53" s="19"/>
      <c r="T53" s="19"/>
      <c r="U53" s="19"/>
      <c r="W53" s="8"/>
      <c r="X53" s="7"/>
      <c r="Y53" s="19"/>
      <c r="Z53" s="19"/>
      <c r="AA53" s="19"/>
      <c r="AB53" s="19"/>
      <c r="AD53" s="8"/>
      <c r="AE53" s="7"/>
      <c r="AF53" s="19"/>
      <c r="AG53" s="19"/>
      <c r="AH53" s="19"/>
      <c r="AI53" s="19"/>
      <c r="AK53" s="8"/>
      <c r="AL53" s="7"/>
      <c r="AM53" s="19"/>
      <c r="AN53" s="19"/>
      <c r="AO53" s="19"/>
      <c r="AP53" s="19"/>
      <c r="AR53" s="8"/>
      <c r="AS53" s="7"/>
      <c r="AT53" s="19"/>
      <c r="AU53" s="19"/>
      <c r="AV53" s="19"/>
      <c r="AW53" s="19"/>
      <c r="AY53" s="8"/>
      <c r="AZ53" s="7"/>
      <c r="BA53" s="19"/>
      <c r="BB53" s="19"/>
      <c r="BC53" s="19"/>
      <c r="BD53" s="19"/>
      <c r="BF53" s="8"/>
      <c r="BG53" s="7"/>
      <c r="BH53" s="19"/>
      <c r="BI53" s="19"/>
      <c r="BJ53" s="19"/>
      <c r="BK53" s="19"/>
      <c r="BM53" s="8"/>
      <c r="BN53" s="7"/>
      <c r="BO53" s="19"/>
      <c r="BP53" s="19"/>
      <c r="BQ53" s="19"/>
      <c r="BR53" s="19"/>
      <c r="BT53" s="8"/>
      <c r="BU53" s="7"/>
      <c r="BV53" s="19"/>
      <c r="BW53" s="19"/>
      <c r="BX53" s="19"/>
      <c r="BY53" s="19"/>
      <c r="CA53" s="8"/>
      <c r="CB53" s="7"/>
      <c r="CC53" s="19"/>
      <c r="CD53" s="19"/>
      <c r="CE53" s="19"/>
      <c r="CF53" s="19"/>
      <c r="CH53" s="8"/>
      <c r="CI53" s="7"/>
      <c r="CJ53" s="19"/>
      <c r="CK53" s="19"/>
      <c r="CL53" s="19"/>
      <c r="CM53" s="19"/>
      <c r="CO53" s="8"/>
      <c r="CP53" s="7"/>
      <c r="CQ53" s="19"/>
      <c r="CR53" s="19"/>
      <c r="CS53" s="19"/>
      <c r="CT53" s="19"/>
      <c r="CV53" s="8"/>
      <c r="CW53" s="7"/>
      <c r="CX53" s="19"/>
      <c r="CY53" s="19"/>
      <c r="CZ53" s="19"/>
      <c r="DA53" s="19"/>
      <c r="DC53" s="8"/>
      <c r="DD53" s="7"/>
      <c r="DE53" s="19"/>
      <c r="DF53" s="19"/>
      <c r="DG53" s="19"/>
      <c r="DH53" s="19"/>
      <c r="DJ53" s="8"/>
      <c r="DK53" s="7"/>
      <c r="DL53" s="19"/>
      <c r="DM53" s="19"/>
      <c r="DN53" s="19"/>
      <c r="DO53" s="19"/>
      <c r="DQ53" s="8"/>
      <c r="DR53" s="7"/>
      <c r="DS53" s="19"/>
      <c r="DT53" s="19"/>
      <c r="DU53" s="19"/>
      <c r="DV53" s="19"/>
      <c r="DX53" s="8"/>
      <c r="DY53" s="7"/>
      <c r="DZ53" s="19"/>
      <c r="EA53" s="19"/>
      <c r="EB53" s="19"/>
      <c r="EC53" s="19"/>
      <c r="EE53" s="8"/>
      <c r="EF53" s="7"/>
      <c r="EG53" s="19"/>
      <c r="EH53" s="19"/>
      <c r="EI53" s="19"/>
      <c r="EJ53" s="19"/>
      <c r="EL53" s="8"/>
      <c r="EM53" s="7"/>
      <c r="EN53" s="19"/>
      <c r="EO53" s="19"/>
      <c r="EP53" s="19"/>
      <c r="EQ53" s="19"/>
      <c r="ES53" s="8"/>
      <c r="ET53" s="7"/>
      <c r="EU53" s="19"/>
      <c r="EV53" s="19"/>
      <c r="EW53" s="19"/>
      <c r="EX53" s="19"/>
      <c r="EZ53" s="8"/>
      <c r="FA53" s="7"/>
      <c r="FB53" s="19"/>
      <c r="FC53" s="19"/>
      <c r="FD53" s="19"/>
      <c r="FE53" s="19"/>
      <c r="FG53" s="8"/>
      <c r="FH53" s="7"/>
      <c r="FI53" s="19"/>
      <c r="FJ53" s="19"/>
      <c r="FK53" s="19"/>
      <c r="FL53" s="19"/>
      <c r="FN53" s="8"/>
      <c r="FO53" s="7"/>
      <c r="FP53" s="19"/>
      <c r="FQ53" s="19"/>
      <c r="FR53" s="19"/>
      <c r="FS53" s="19"/>
      <c r="FU53" s="8"/>
      <c r="FV53" s="7"/>
      <c r="FW53" s="19"/>
      <c r="FX53" s="19"/>
      <c r="FY53" s="19"/>
      <c r="FZ53" s="19"/>
      <c r="GB53" s="8"/>
      <c r="GC53" s="7"/>
      <c r="GD53" s="19"/>
      <c r="GE53" s="19"/>
      <c r="GF53" s="19"/>
      <c r="GG53" s="19"/>
      <c r="GI53" s="8"/>
      <c r="GJ53" s="7"/>
      <c r="GK53" s="19"/>
      <c r="GL53" s="19"/>
      <c r="GM53" s="19"/>
      <c r="GN53" s="19"/>
      <c r="GP53" s="8"/>
      <c r="GQ53" s="7"/>
      <c r="GR53" s="19"/>
      <c r="GS53" s="19"/>
      <c r="GT53" s="19"/>
      <c r="GU53" s="19"/>
      <c r="GW53" s="8"/>
      <c r="GX53" s="7"/>
      <c r="GY53" s="19"/>
      <c r="GZ53" s="19"/>
      <c r="HA53" s="19"/>
      <c r="HB53" s="19"/>
      <c r="HD53" s="8"/>
      <c r="HE53" s="7"/>
      <c r="HF53" s="19"/>
      <c r="HG53" s="19"/>
      <c r="HH53" s="19"/>
      <c r="HI53" s="19"/>
      <c r="HK53" s="8"/>
      <c r="HL53" s="7"/>
      <c r="HM53" s="19"/>
      <c r="HN53" s="19"/>
      <c r="HO53" s="19"/>
      <c r="HP53" s="19"/>
      <c r="HR53" s="8"/>
      <c r="HS53" s="7"/>
      <c r="HT53" s="19"/>
      <c r="HU53" s="19"/>
      <c r="HV53" s="19"/>
      <c r="HW53" s="19"/>
      <c r="HY53" s="8"/>
      <c r="HZ53" s="7"/>
      <c r="IA53" s="19"/>
      <c r="IB53" s="19"/>
      <c r="IC53" s="19"/>
      <c r="ID53" s="19"/>
      <c r="IF53" s="8"/>
      <c r="IG53" s="7"/>
      <c r="IH53" s="19"/>
      <c r="II53" s="19"/>
      <c r="IJ53" s="19"/>
      <c r="IK53" s="19"/>
      <c r="IM53" s="8"/>
      <c r="IN53" s="7"/>
      <c r="IO53" s="19"/>
      <c r="IP53" s="19"/>
      <c r="IQ53" s="19"/>
      <c r="IR53" s="19"/>
      <c r="IT53" s="8"/>
      <c r="IU53" s="7"/>
      <c r="IV53" s="19"/>
      <c r="IW53" s="19"/>
      <c r="IX53" s="19"/>
      <c r="IY53" s="19"/>
      <c r="JA53" s="8"/>
      <c r="JB53" s="7"/>
      <c r="JC53" s="19"/>
      <c r="JD53" s="19"/>
      <c r="JE53" s="19"/>
      <c r="JF53" s="19"/>
      <c r="JH53" s="8"/>
      <c r="JI53" s="7"/>
      <c r="JJ53" s="19"/>
      <c r="JK53" s="19"/>
      <c r="JL53" s="19"/>
      <c r="JM53" s="19"/>
      <c r="JO53" s="8"/>
      <c r="JP53" s="7"/>
      <c r="JQ53" s="19"/>
      <c r="JR53" s="19"/>
      <c r="JS53" s="19"/>
      <c r="JT53" s="19"/>
      <c r="JV53" s="8"/>
      <c r="JW53" s="7"/>
      <c r="JX53" s="19"/>
      <c r="JY53" s="19"/>
      <c r="JZ53" s="19"/>
      <c r="KA53" s="19"/>
      <c r="KC53" s="8"/>
      <c r="KD53" s="7"/>
      <c r="KE53" s="19"/>
      <c r="KF53" s="19"/>
      <c r="KG53" s="19"/>
      <c r="KH53" s="19"/>
      <c r="KJ53" s="8"/>
      <c r="KK53" s="7"/>
      <c r="KL53" s="19"/>
      <c r="KM53" s="19"/>
      <c r="KN53" s="19"/>
      <c r="KO53" s="19"/>
      <c r="KQ53" s="8"/>
      <c r="KR53" s="7"/>
      <c r="KS53" s="19"/>
      <c r="KT53" s="19"/>
      <c r="KU53" s="19"/>
      <c r="KV53" s="19"/>
      <c r="KX53" s="8"/>
      <c r="KY53" s="7"/>
      <c r="KZ53" s="19"/>
      <c r="LA53" s="19"/>
      <c r="LB53" s="19"/>
      <c r="LC53" s="19"/>
      <c r="LE53" s="8"/>
      <c r="LF53" s="7"/>
      <c r="LG53" s="19"/>
      <c r="LH53" s="19"/>
      <c r="LI53" s="19"/>
      <c r="LJ53" s="19"/>
      <c r="LL53" s="8"/>
      <c r="LM53" s="7"/>
      <c r="LN53" s="19"/>
      <c r="LO53" s="19"/>
      <c r="LP53" s="19"/>
      <c r="LQ53" s="19"/>
      <c r="LS53" s="8"/>
      <c r="LT53" s="7"/>
      <c r="LU53" s="19"/>
      <c r="LV53" s="19"/>
      <c r="LW53" s="19"/>
      <c r="LX53" s="19"/>
      <c r="LZ53" s="8"/>
      <c r="MA53" s="7"/>
      <c r="MB53" s="19"/>
      <c r="MC53" s="19"/>
      <c r="MD53" s="19"/>
      <c r="ME53" s="19"/>
      <c r="MG53" s="8"/>
      <c r="MH53" s="7"/>
      <c r="MI53" s="19"/>
      <c r="MJ53" s="19"/>
      <c r="MK53" s="19"/>
      <c r="ML53" s="19"/>
      <c r="MN53" s="8"/>
      <c r="MO53" s="7"/>
      <c r="MP53" s="19"/>
      <c r="MQ53" s="19"/>
      <c r="MR53" s="19"/>
      <c r="MS53" s="19"/>
      <c r="MU53" s="8"/>
      <c r="MV53" s="7"/>
      <c r="MW53" s="19"/>
      <c r="MX53" s="19"/>
      <c r="MY53" s="19"/>
      <c r="MZ53" s="19"/>
      <c r="NB53" s="8"/>
      <c r="NC53" s="7"/>
      <c r="ND53" s="19"/>
      <c r="NE53" s="19"/>
      <c r="NF53" s="19"/>
      <c r="NG53" s="19"/>
      <c r="NI53" s="8"/>
      <c r="NJ53" s="7"/>
      <c r="NK53" s="19"/>
      <c r="NL53" s="19"/>
      <c r="NM53" s="19"/>
      <c r="NN53" s="19"/>
      <c r="NP53" s="8"/>
      <c r="NQ53" s="7"/>
      <c r="NR53" s="19"/>
      <c r="NS53" s="19"/>
      <c r="NT53" s="19"/>
      <c r="NU53" s="19"/>
      <c r="NW53" s="8"/>
      <c r="NX53" s="7"/>
      <c r="NY53" s="19"/>
      <c r="NZ53" s="19"/>
      <c r="OA53" s="19"/>
      <c r="OB53" s="19"/>
      <c r="OD53" s="8"/>
      <c r="OE53" s="7"/>
      <c r="OF53" s="19"/>
      <c r="OG53" s="19"/>
      <c r="OH53" s="19"/>
      <c r="OI53" s="19"/>
      <c r="OK53" s="8"/>
      <c r="OL53" s="7"/>
      <c r="OM53" s="19"/>
      <c r="ON53" s="19"/>
      <c r="OO53" s="19"/>
      <c r="OP53" s="19"/>
      <c r="OR53" s="8"/>
      <c r="OS53" s="7"/>
      <c r="OT53" s="19"/>
      <c r="OU53" s="19"/>
      <c r="OV53" s="19"/>
      <c r="OW53" s="19"/>
      <c r="OY53" s="8"/>
      <c r="OZ53" s="7"/>
      <c r="PA53" s="19"/>
      <c r="PB53" s="19"/>
      <c r="PC53" s="19"/>
      <c r="PD53" s="19"/>
      <c r="PF53" s="8"/>
      <c r="PG53" s="7"/>
      <c r="PH53" s="19"/>
      <c r="PI53" s="19"/>
      <c r="PJ53" s="19"/>
      <c r="PK53" s="19"/>
      <c r="PM53" s="8"/>
    </row>
    <row r="54" spans="1:429" s="475" customFormat="1" ht="19" customHeight="1">
      <c r="A54" s="6" t="s">
        <v>71</v>
      </c>
      <c r="B54" s="472"/>
      <c r="C54" s="10"/>
      <c r="D54" s="20"/>
      <c r="E54" s="20"/>
      <c r="F54" s="20"/>
      <c r="G54" s="20"/>
      <c r="H54" s="10"/>
      <c r="I54" s="10"/>
      <c r="J54" s="10"/>
      <c r="K54" s="20"/>
      <c r="L54" s="20"/>
      <c r="M54" s="20"/>
      <c r="N54" s="20"/>
      <c r="O54" s="10"/>
      <c r="P54" s="10"/>
      <c r="Q54" s="10"/>
      <c r="R54" s="20"/>
      <c r="S54" s="20"/>
      <c r="T54" s="20"/>
      <c r="U54" s="20"/>
      <c r="V54" s="10"/>
      <c r="W54" s="10"/>
      <c r="X54" s="10"/>
      <c r="Y54" s="20"/>
      <c r="Z54" s="20"/>
      <c r="AA54" s="20"/>
      <c r="AB54" s="20"/>
      <c r="AC54" s="10"/>
      <c r="AD54" s="10"/>
      <c r="AE54" s="10"/>
      <c r="AF54" s="20"/>
      <c r="AG54" s="20"/>
      <c r="AH54" s="20"/>
      <c r="AI54" s="20"/>
      <c r="AJ54" s="10"/>
      <c r="AK54" s="10"/>
      <c r="AL54" s="10"/>
      <c r="AM54" s="20"/>
      <c r="AN54" s="20"/>
      <c r="AO54" s="20"/>
      <c r="AP54" s="20"/>
      <c r="AQ54" s="10"/>
      <c r="AR54" s="10"/>
      <c r="AS54" s="10"/>
      <c r="AT54" s="20"/>
      <c r="AU54" s="20"/>
      <c r="AV54" s="20"/>
      <c r="AW54" s="20"/>
      <c r="AX54" s="10"/>
      <c r="AY54" s="10"/>
      <c r="AZ54" s="10"/>
      <c r="BA54" s="20"/>
      <c r="BB54" s="20"/>
      <c r="BC54" s="20"/>
      <c r="BD54" s="20"/>
      <c r="BE54" s="10"/>
      <c r="BF54" s="10"/>
      <c r="BG54" s="10"/>
      <c r="BH54" s="20"/>
      <c r="BI54" s="20"/>
      <c r="BJ54" s="20"/>
      <c r="BK54" s="20"/>
      <c r="BL54" s="10"/>
      <c r="BM54" s="10"/>
      <c r="BN54" s="10"/>
      <c r="BO54" s="20"/>
      <c r="BP54" s="20"/>
      <c r="BQ54" s="20"/>
      <c r="BR54" s="20"/>
      <c r="BS54" s="10"/>
      <c r="BT54" s="10"/>
      <c r="BU54" s="10"/>
      <c r="BV54" s="20"/>
      <c r="BW54" s="20"/>
      <c r="BX54" s="20"/>
      <c r="BY54" s="20"/>
      <c r="BZ54" s="10"/>
      <c r="CA54" s="10"/>
      <c r="CB54" s="10"/>
      <c r="CC54" s="20"/>
      <c r="CD54" s="20"/>
      <c r="CE54" s="20"/>
      <c r="CF54" s="20"/>
      <c r="CG54" s="10"/>
      <c r="CH54" s="10"/>
      <c r="CI54" s="10"/>
      <c r="CJ54" s="20"/>
      <c r="CK54" s="20"/>
      <c r="CL54" s="20"/>
      <c r="CM54" s="20"/>
      <c r="CN54" s="10"/>
      <c r="CO54" s="10"/>
      <c r="CP54" s="10"/>
      <c r="CQ54" s="20"/>
      <c r="CR54" s="20"/>
      <c r="CS54" s="20"/>
      <c r="CT54" s="20"/>
      <c r="CU54" s="10"/>
      <c r="CV54" s="10"/>
      <c r="CW54" s="10"/>
      <c r="CX54" s="20"/>
      <c r="CY54" s="20"/>
      <c r="CZ54" s="20"/>
      <c r="DA54" s="20"/>
      <c r="DB54" s="10"/>
      <c r="DC54" s="10"/>
      <c r="DD54" s="10"/>
      <c r="DE54" s="20"/>
      <c r="DF54" s="20"/>
      <c r="DG54" s="20"/>
      <c r="DH54" s="20"/>
      <c r="DI54" s="10"/>
      <c r="DJ54" s="10"/>
      <c r="DK54" s="26"/>
      <c r="DL54" s="26"/>
      <c r="DM54" s="26"/>
      <c r="DN54" s="26"/>
      <c r="DO54" s="26"/>
      <c r="DP54" s="26"/>
      <c r="DQ54" s="26"/>
      <c r="DR54" s="26"/>
      <c r="DS54" s="26"/>
      <c r="DT54" s="26"/>
      <c r="DU54" s="26"/>
      <c r="DV54" s="26"/>
      <c r="DW54" s="26"/>
      <c r="DX54" s="26"/>
      <c r="DY54" s="10"/>
      <c r="DZ54" s="20"/>
      <c r="EA54" s="20"/>
      <c r="EB54" s="20"/>
      <c r="EC54" s="20"/>
      <c r="ED54" s="10"/>
      <c r="EE54" s="10"/>
      <c r="EF54" s="10"/>
      <c r="EG54" s="20"/>
      <c r="EH54" s="20"/>
      <c r="EI54" s="20"/>
      <c r="EJ54" s="20"/>
      <c r="EK54" s="10"/>
      <c r="EL54" s="10"/>
      <c r="EM54" s="10"/>
      <c r="EN54" s="20"/>
      <c r="EO54" s="20"/>
      <c r="EP54" s="20"/>
      <c r="EQ54" s="20"/>
      <c r="ER54" s="10"/>
      <c r="ES54" s="10"/>
      <c r="ET54" s="10"/>
      <c r="EU54" s="20"/>
      <c r="EV54" s="20"/>
      <c r="EW54" s="20"/>
      <c r="EX54" s="20"/>
      <c r="EY54" s="10"/>
      <c r="EZ54" s="10"/>
      <c r="FA54" s="10"/>
      <c r="FB54" s="20"/>
      <c r="FC54" s="20"/>
      <c r="FD54" s="20"/>
      <c r="FE54" s="20"/>
      <c r="FF54" s="10"/>
      <c r="FG54" s="10"/>
      <c r="FH54" s="10"/>
      <c r="FI54" s="20"/>
      <c r="FJ54" s="20"/>
      <c r="FK54" s="20"/>
      <c r="FL54" s="20"/>
      <c r="FM54" s="10"/>
      <c r="FN54" s="10"/>
      <c r="FO54" s="10"/>
      <c r="FP54" s="20"/>
      <c r="FQ54" s="20"/>
      <c r="FR54" s="20"/>
      <c r="FS54" s="20"/>
      <c r="FT54" s="10"/>
      <c r="FU54" s="10"/>
      <c r="FV54" s="10"/>
      <c r="FW54" s="20"/>
      <c r="FX54" s="20"/>
      <c r="FY54" s="20"/>
      <c r="FZ54" s="20"/>
      <c r="GA54" s="10"/>
      <c r="GB54" s="10"/>
      <c r="GC54" s="10"/>
      <c r="GD54" s="20"/>
      <c r="GE54" s="20"/>
      <c r="GF54" s="20"/>
      <c r="GG54" s="20"/>
      <c r="GH54" s="10"/>
      <c r="GI54" s="10"/>
      <c r="GJ54" s="10"/>
      <c r="GK54" s="20"/>
      <c r="GL54" s="20"/>
      <c r="GM54" s="20"/>
      <c r="GN54" s="20"/>
      <c r="GO54" s="10"/>
      <c r="GP54" s="10"/>
      <c r="GQ54" s="10"/>
      <c r="GR54" s="20"/>
      <c r="GS54" s="20"/>
      <c r="GT54" s="20"/>
      <c r="GU54" s="20"/>
      <c r="GV54" s="10"/>
      <c r="GW54" s="10"/>
      <c r="GX54" s="10"/>
      <c r="GY54" s="20"/>
      <c r="GZ54" s="20"/>
      <c r="HA54" s="20"/>
      <c r="HB54" s="20"/>
      <c r="HC54" s="10"/>
      <c r="HD54" s="10"/>
      <c r="HE54" s="10"/>
      <c r="HF54" s="20"/>
      <c r="HG54" s="20"/>
      <c r="HH54" s="20"/>
      <c r="HI54" s="20"/>
      <c r="HJ54" s="10"/>
      <c r="HK54" s="10"/>
      <c r="HL54" s="10"/>
      <c r="HM54" s="20"/>
      <c r="HN54" s="20"/>
      <c r="HO54" s="20"/>
      <c r="HP54" s="20"/>
      <c r="HQ54" s="10"/>
      <c r="HR54" s="10"/>
      <c r="HS54" s="10"/>
      <c r="HT54" s="20"/>
      <c r="HU54" s="20"/>
      <c r="HV54" s="20"/>
      <c r="HW54" s="20"/>
      <c r="HX54" s="10"/>
      <c r="HY54" s="10"/>
      <c r="HZ54" s="10"/>
      <c r="IA54" s="20"/>
      <c r="IB54" s="20"/>
      <c r="IC54" s="20"/>
      <c r="ID54" s="20"/>
      <c r="IE54" s="10"/>
      <c r="IF54" s="10"/>
      <c r="IG54" s="10"/>
      <c r="IH54" s="20"/>
      <c r="II54" s="20"/>
      <c r="IJ54" s="20"/>
      <c r="IK54" s="20"/>
      <c r="IL54" s="10"/>
      <c r="IM54" s="10"/>
      <c r="IN54" s="10"/>
      <c r="IO54" s="20"/>
      <c r="IP54" s="20"/>
      <c r="IQ54" s="20"/>
      <c r="IR54" s="20"/>
      <c r="IS54" s="10"/>
      <c r="IT54" s="10"/>
      <c r="IU54" s="10"/>
      <c r="IV54" s="20"/>
      <c r="IW54" s="20"/>
      <c r="IX54" s="20"/>
      <c r="IY54" s="20"/>
      <c r="IZ54" s="10"/>
      <c r="JA54" s="10"/>
      <c r="JB54" s="10"/>
      <c r="JC54" s="20"/>
      <c r="JD54" s="20"/>
      <c r="JE54" s="20"/>
      <c r="JF54" s="20"/>
      <c r="JG54" s="10"/>
      <c r="JH54" s="10"/>
      <c r="JI54" s="10"/>
      <c r="JJ54" s="20"/>
      <c r="JK54" s="20"/>
      <c r="JL54" s="20"/>
      <c r="JM54" s="20"/>
      <c r="JN54" s="10"/>
      <c r="JO54" s="10"/>
      <c r="JP54" s="10"/>
      <c r="JQ54" s="20"/>
      <c r="JR54" s="20"/>
      <c r="JS54" s="20"/>
      <c r="JT54" s="20"/>
      <c r="JU54" s="10"/>
      <c r="JV54" s="10"/>
      <c r="JW54" s="10"/>
      <c r="JX54" s="20"/>
      <c r="JY54" s="20"/>
      <c r="JZ54" s="20"/>
      <c r="KA54" s="20"/>
      <c r="KB54" s="10"/>
      <c r="KC54" s="10"/>
      <c r="KD54" s="10"/>
      <c r="KE54" s="20"/>
      <c r="KF54" s="20"/>
      <c r="KG54" s="20"/>
      <c r="KH54" s="20"/>
      <c r="KI54" s="10"/>
      <c r="KJ54" s="10"/>
      <c r="KK54" s="10"/>
      <c r="KL54" s="20"/>
      <c r="KM54" s="20"/>
      <c r="KN54" s="20"/>
      <c r="KO54" s="20"/>
      <c r="KP54" s="10"/>
      <c r="KQ54" s="10"/>
      <c r="KR54" s="10"/>
      <c r="KS54" s="20"/>
      <c r="KT54" s="20"/>
      <c r="KU54" s="20"/>
      <c r="KV54" s="20"/>
      <c r="KW54" s="10"/>
      <c r="KX54" s="10"/>
      <c r="KY54" s="10"/>
      <c r="KZ54" s="20"/>
      <c r="LA54" s="20"/>
      <c r="LB54" s="20"/>
      <c r="LC54" s="20"/>
      <c r="LD54" s="10"/>
      <c r="LE54" s="10"/>
      <c r="LF54" s="10"/>
      <c r="LG54" s="20"/>
      <c r="LH54" s="20"/>
      <c r="LI54" s="20"/>
      <c r="LJ54" s="20"/>
      <c r="LK54" s="10"/>
      <c r="LL54" s="10"/>
      <c r="LM54" s="10"/>
      <c r="LN54" s="20"/>
      <c r="LO54" s="20"/>
      <c r="LP54" s="20"/>
      <c r="LQ54" s="20"/>
      <c r="LR54" s="10"/>
      <c r="LS54" s="10"/>
      <c r="LT54" s="10"/>
      <c r="LU54" s="20"/>
      <c r="LV54" s="20"/>
      <c r="LW54" s="20"/>
      <c r="LX54" s="20"/>
      <c r="LY54" s="10"/>
      <c r="LZ54" s="10"/>
      <c r="MA54" s="10"/>
      <c r="MB54" s="20"/>
      <c r="MC54" s="20"/>
      <c r="MD54" s="20"/>
      <c r="ME54" s="20"/>
      <c r="MF54" s="10"/>
      <c r="MG54" s="10"/>
      <c r="MH54" s="10"/>
      <c r="MI54" s="20"/>
      <c r="MJ54" s="20"/>
      <c r="MK54" s="20"/>
      <c r="ML54" s="20"/>
      <c r="MM54" s="10"/>
      <c r="MN54" s="10"/>
      <c r="MO54" s="10"/>
      <c r="MP54" s="20"/>
      <c r="MQ54" s="20"/>
      <c r="MR54" s="20"/>
      <c r="MS54" s="20"/>
      <c r="MT54" s="10"/>
      <c r="MU54" s="10"/>
      <c r="MV54" s="10"/>
      <c r="MW54" s="20"/>
      <c r="MX54" s="20"/>
      <c r="MY54" s="20"/>
      <c r="MZ54" s="20"/>
      <c r="NA54" s="10"/>
      <c r="NB54" s="10"/>
      <c r="NC54" s="10"/>
      <c r="ND54" s="20"/>
      <c r="NE54" s="20"/>
      <c r="NF54" s="20"/>
      <c r="NG54" s="20"/>
      <c r="NH54" s="10"/>
      <c r="NI54" s="10"/>
      <c r="NJ54" s="10"/>
      <c r="NK54" s="20"/>
      <c r="NL54" s="20"/>
      <c r="NM54" s="20"/>
      <c r="NN54" s="20"/>
      <c r="NO54" s="10"/>
      <c r="NP54" s="10"/>
      <c r="NQ54" s="10"/>
      <c r="NR54" s="20"/>
      <c r="NS54" s="20"/>
      <c r="NT54" s="20"/>
      <c r="NU54" s="20"/>
      <c r="NV54" s="10"/>
      <c r="NW54" s="10"/>
      <c r="NX54" s="10"/>
      <c r="NY54" s="20"/>
      <c r="NZ54" s="20"/>
      <c r="OA54" s="20"/>
      <c r="OB54" s="20"/>
      <c r="OC54" s="10"/>
      <c r="OD54" s="10"/>
      <c r="OE54" s="10"/>
      <c r="OF54" s="20"/>
      <c r="OG54" s="20"/>
      <c r="OH54" s="20"/>
      <c r="OI54" s="20"/>
      <c r="OJ54" s="10"/>
      <c r="OK54" s="10"/>
      <c r="OL54" s="10"/>
      <c r="OM54" s="20"/>
      <c r="ON54" s="20"/>
      <c r="OO54" s="20"/>
      <c r="OP54" s="20"/>
      <c r="OQ54" s="10"/>
      <c r="OR54" s="10"/>
      <c r="OS54" s="10"/>
      <c r="OT54" s="20"/>
      <c r="OU54" s="20"/>
      <c r="OV54" s="20"/>
      <c r="OW54" s="20"/>
      <c r="OX54" s="10"/>
      <c r="OY54" s="10"/>
      <c r="OZ54" s="10"/>
      <c r="PA54" s="20"/>
      <c r="PB54" s="20"/>
      <c r="PC54" s="20"/>
      <c r="PD54" s="20"/>
      <c r="PE54" s="10"/>
      <c r="PF54" s="10"/>
      <c r="PG54" s="10"/>
      <c r="PH54" s="20"/>
      <c r="PI54" s="20"/>
      <c r="PJ54" s="20"/>
      <c r="PK54" s="20"/>
      <c r="PL54" s="10"/>
      <c r="PM54" s="10"/>
    </row>
    <row r="55" spans="1:429" s="1" customFormat="1" ht="26" customHeight="1" outlineLevel="1">
      <c r="B55" s="471"/>
      <c r="C55" s="7"/>
      <c r="D55" s="19"/>
      <c r="E55" s="19"/>
      <c r="F55" s="19"/>
      <c r="G55" s="19"/>
      <c r="I55" s="8"/>
      <c r="J55" s="7"/>
      <c r="K55" s="19"/>
      <c r="L55" s="19"/>
      <c r="M55" s="19"/>
      <c r="N55" s="19"/>
      <c r="P55" s="8"/>
      <c r="Q55" s="7"/>
      <c r="R55" s="19"/>
      <c r="S55" s="19"/>
      <c r="T55" s="19"/>
      <c r="U55" s="19"/>
      <c r="W55" s="8"/>
      <c r="X55" s="7"/>
      <c r="Y55" s="19"/>
      <c r="Z55" s="19"/>
      <c r="AA55" s="19"/>
      <c r="AB55" s="19"/>
      <c r="AD55" s="8"/>
      <c r="AE55" s="7"/>
      <c r="AF55" s="19"/>
      <c r="AG55" s="19"/>
      <c r="AH55" s="19"/>
      <c r="AI55" s="19"/>
      <c r="AK55" s="8"/>
      <c r="AL55" s="7"/>
      <c r="AM55" s="19"/>
      <c r="AN55" s="19"/>
      <c r="AO55" s="19"/>
      <c r="AP55" s="19"/>
      <c r="AR55" s="8"/>
      <c r="AS55" s="7"/>
      <c r="AT55" s="19"/>
      <c r="AU55" s="19"/>
      <c r="AV55" s="19"/>
      <c r="AW55" s="19"/>
      <c r="AY55" s="8"/>
      <c r="AZ55" s="7"/>
      <c r="BA55" s="19"/>
      <c r="BB55" s="19"/>
      <c r="BC55" s="19"/>
      <c r="BD55" s="19"/>
      <c r="BF55" s="8"/>
      <c r="BG55" s="7"/>
      <c r="BH55" s="19"/>
      <c r="BI55" s="19"/>
      <c r="BJ55" s="19"/>
      <c r="BK55" s="19"/>
      <c r="BM55" s="8"/>
      <c r="BN55" s="7"/>
      <c r="BO55" s="19"/>
      <c r="BP55" s="19"/>
      <c r="BQ55" s="19"/>
      <c r="BR55" s="19"/>
      <c r="BT55" s="8"/>
      <c r="BU55" s="7"/>
      <c r="BV55" s="19"/>
      <c r="BW55" s="19"/>
      <c r="BX55" s="19"/>
      <c r="BY55" s="19"/>
      <c r="CA55" s="8"/>
      <c r="CB55" s="7"/>
      <c r="CC55" s="19"/>
      <c r="CD55" s="19"/>
      <c r="CE55" s="19"/>
      <c r="CF55" s="19"/>
      <c r="CH55" s="8"/>
      <c r="CI55" s="7"/>
      <c r="CJ55" s="19"/>
      <c r="CK55" s="19"/>
      <c r="CL55" s="19"/>
      <c r="CM55" s="19"/>
      <c r="CO55" s="8"/>
      <c r="CP55" s="7"/>
      <c r="CQ55" s="19"/>
      <c r="CR55" s="19"/>
      <c r="CS55" s="19"/>
      <c r="CT55" s="19"/>
      <c r="CV55" s="8"/>
      <c r="CW55" s="7"/>
      <c r="CX55" s="19"/>
      <c r="CY55" s="19"/>
      <c r="CZ55" s="19"/>
      <c r="DA55" s="19"/>
      <c r="DC55" s="8"/>
      <c r="DD55" s="7"/>
      <c r="DE55" s="19"/>
      <c r="DF55" s="19"/>
      <c r="DG55" s="19"/>
      <c r="DH55" s="19"/>
      <c r="DJ55" s="8"/>
      <c r="DK55" s="7" t="s">
        <v>107</v>
      </c>
      <c r="DL55" s="19" t="s">
        <v>175</v>
      </c>
      <c r="DM55" s="19"/>
      <c r="DN55" s="19"/>
      <c r="DO55" s="19"/>
      <c r="DQ55" s="8">
        <v>8</v>
      </c>
      <c r="DR55" s="7"/>
      <c r="DS55" s="19" t="s">
        <v>180</v>
      </c>
      <c r="DT55" s="19"/>
      <c r="DU55" s="19"/>
      <c r="DV55" s="19"/>
      <c r="DX55" s="8">
        <v>8</v>
      </c>
      <c r="DY55" s="7"/>
      <c r="DZ55" s="19" t="s">
        <v>180</v>
      </c>
      <c r="EA55" s="19"/>
      <c r="EB55" s="19"/>
      <c r="EC55" s="19"/>
      <c r="EE55" s="8">
        <v>8</v>
      </c>
      <c r="EF55" s="7" t="s">
        <v>107</v>
      </c>
      <c r="EG55" s="19" t="s">
        <v>452</v>
      </c>
      <c r="EH55" s="19"/>
      <c r="EI55" s="19"/>
      <c r="EJ55" s="19"/>
      <c r="EL55" s="8">
        <v>8</v>
      </c>
      <c r="EM55" s="7"/>
      <c r="EN55" s="19" t="s">
        <v>180</v>
      </c>
      <c r="EO55" s="19"/>
      <c r="EP55" s="19"/>
      <c r="EQ55" s="19"/>
      <c r="ES55" s="8">
        <v>8</v>
      </c>
      <c r="ET55" s="7"/>
      <c r="EU55" s="19" t="s">
        <v>180</v>
      </c>
      <c r="EV55" s="19"/>
      <c r="EW55" s="19"/>
      <c r="EX55" s="19"/>
      <c r="EZ55" s="8">
        <v>8</v>
      </c>
      <c r="FA55" s="7"/>
      <c r="FB55" s="19"/>
      <c r="FC55" s="19"/>
      <c r="FD55" s="19"/>
      <c r="FE55" s="19"/>
      <c r="FG55" s="8"/>
      <c r="FH55" s="7"/>
      <c r="FI55" s="19"/>
      <c r="FJ55" s="19"/>
      <c r="FK55" s="19"/>
      <c r="FL55" s="19"/>
      <c r="FN55" s="8"/>
      <c r="FO55" s="7"/>
      <c r="FP55" s="19"/>
      <c r="FQ55" s="19"/>
      <c r="FR55" s="19"/>
      <c r="FS55" s="19"/>
      <c r="FU55" s="8"/>
      <c r="FV55" s="7"/>
      <c r="FW55" s="19"/>
      <c r="FX55" s="19"/>
      <c r="FY55" s="19"/>
      <c r="FZ55" s="19"/>
      <c r="GB55" s="8"/>
      <c r="GC55" s="7"/>
      <c r="GD55" s="19"/>
      <c r="GE55" s="19"/>
      <c r="GF55" s="19"/>
      <c r="GG55" s="19"/>
      <c r="GI55" s="8"/>
      <c r="GJ55" s="7"/>
      <c r="GK55" s="19"/>
      <c r="GL55" s="19"/>
      <c r="GM55" s="19"/>
      <c r="GN55" s="19"/>
      <c r="GP55" s="8"/>
      <c r="GQ55" s="7"/>
      <c r="GR55" s="19"/>
      <c r="GS55" s="19"/>
      <c r="GT55" s="19"/>
      <c r="GU55" s="19"/>
      <c r="GW55" s="8"/>
      <c r="GX55" s="7"/>
      <c r="GY55" s="19"/>
      <c r="GZ55" s="19"/>
      <c r="HA55" s="19"/>
      <c r="HB55" s="19"/>
      <c r="HD55" s="8"/>
      <c r="HE55" s="7"/>
      <c r="HF55" s="19"/>
      <c r="HG55" s="19"/>
      <c r="HH55" s="19"/>
      <c r="HI55" s="19"/>
      <c r="HK55" s="8"/>
      <c r="HL55" s="7"/>
      <c r="HM55" s="19"/>
      <c r="HN55" s="19"/>
      <c r="HO55" s="19"/>
      <c r="HP55" s="19"/>
      <c r="HR55" s="8"/>
      <c r="HS55" s="7"/>
      <c r="HT55" s="19"/>
      <c r="HU55" s="19"/>
      <c r="HV55" s="19"/>
      <c r="HW55" s="19"/>
      <c r="HY55" s="8"/>
      <c r="HZ55" s="7"/>
      <c r="IA55" s="19"/>
      <c r="IB55" s="19"/>
      <c r="IC55" s="19"/>
      <c r="ID55" s="19"/>
      <c r="IF55" s="8"/>
      <c r="IG55" s="7"/>
      <c r="IH55" s="19"/>
      <c r="II55" s="19"/>
      <c r="IJ55" s="19"/>
      <c r="IK55" s="19"/>
      <c r="IM55" s="8"/>
      <c r="IN55" s="7"/>
      <c r="IO55" s="19"/>
      <c r="IP55" s="19"/>
      <c r="IQ55" s="19"/>
      <c r="IR55" s="19"/>
      <c r="IT55" s="8"/>
      <c r="IU55" s="7"/>
      <c r="IV55" s="19"/>
      <c r="IW55" s="19"/>
      <c r="IX55" s="19"/>
      <c r="IY55" s="19"/>
      <c r="JA55" s="8"/>
      <c r="JB55" s="7"/>
      <c r="JC55" s="19"/>
      <c r="JD55" s="19"/>
      <c r="JE55" s="19"/>
      <c r="JF55" s="19"/>
      <c r="JH55" s="8"/>
      <c r="JI55" s="7"/>
      <c r="JJ55" s="19"/>
      <c r="JK55" s="19"/>
      <c r="JL55" s="19"/>
      <c r="JM55" s="19"/>
      <c r="JO55" s="8"/>
      <c r="JP55" s="7"/>
      <c r="JQ55" s="19"/>
      <c r="JR55" s="19"/>
      <c r="JS55" s="19"/>
      <c r="JT55" s="19"/>
      <c r="JV55" s="8"/>
      <c r="JW55" s="7"/>
      <c r="JX55" s="19"/>
      <c r="JY55" s="19"/>
      <c r="JZ55" s="19"/>
      <c r="KA55" s="19"/>
      <c r="KC55" s="8"/>
      <c r="KD55" s="7"/>
      <c r="KE55" s="19"/>
      <c r="KF55" s="19"/>
      <c r="KG55" s="19"/>
      <c r="KH55" s="19"/>
      <c r="KJ55" s="8"/>
      <c r="KK55" s="7"/>
      <c r="KL55" s="19"/>
      <c r="KM55" s="19"/>
      <c r="KN55" s="19"/>
      <c r="KO55" s="19"/>
      <c r="KQ55" s="8"/>
      <c r="KR55" s="7"/>
      <c r="KS55" s="19"/>
      <c r="KT55" s="19"/>
      <c r="KU55" s="19"/>
      <c r="KV55" s="19"/>
      <c r="KX55" s="8"/>
      <c r="KY55" s="7"/>
      <c r="KZ55" s="19"/>
      <c r="LA55" s="19"/>
      <c r="LB55" s="19"/>
      <c r="LC55" s="19"/>
      <c r="LE55" s="8"/>
      <c r="LF55" s="7"/>
      <c r="LG55" s="19"/>
      <c r="LH55" s="19"/>
      <c r="LI55" s="19"/>
      <c r="LJ55" s="19"/>
      <c r="LL55" s="8"/>
      <c r="LM55" s="7"/>
      <c r="LN55" s="19"/>
      <c r="LO55" s="19"/>
      <c r="LP55" s="19"/>
      <c r="LQ55" s="19"/>
      <c r="LS55" s="8"/>
      <c r="LT55" s="7"/>
      <c r="LU55" s="19"/>
      <c r="LV55" s="19"/>
      <c r="LW55" s="19"/>
      <c r="LX55" s="19"/>
      <c r="LZ55" s="8"/>
      <c r="MA55" s="7"/>
      <c r="MB55" s="19"/>
      <c r="MC55" s="19"/>
      <c r="MD55" s="19"/>
      <c r="ME55" s="19"/>
      <c r="MG55" s="8"/>
      <c r="MH55" s="7"/>
      <c r="MI55" s="19"/>
      <c r="MJ55" s="19"/>
      <c r="MK55" s="19"/>
      <c r="ML55" s="19"/>
      <c r="MN55" s="8"/>
      <c r="MO55" s="7"/>
      <c r="MP55" s="19"/>
      <c r="MQ55" s="19"/>
      <c r="MR55" s="19"/>
      <c r="MS55" s="19"/>
      <c r="MU55" s="8"/>
      <c r="MV55" s="7"/>
      <c r="MW55" s="19"/>
      <c r="MX55" s="19"/>
      <c r="MY55" s="19"/>
      <c r="MZ55" s="19"/>
      <c r="NB55" s="8"/>
      <c r="NC55" s="7"/>
      <c r="ND55" s="19"/>
      <c r="NE55" s="19"/>
      <c r="NF55" s="19"/>
      <c r="NG55" s="19"/>
      <c r="NI55" s="8"/>
      <c r="NJ55" s="7"/>
      <c r="NK55" s="19"/>
      <c r="NL55" s="19"/>
      <c r="NM55" s="19"/>
      <c r="NN55" s="19"/>
      <c r="NP55" s="8"/>
      <c r="NQ55" s="7"/>
      <c r="NR55" s="19"/>
      <c r="NS55" s="19"/>
      <c r="NT55" s="19"/>
      <c r="NU55" s="19"/>
      <c r="NW55" s="8"/>
      <c r="NX55" s="7"/>
      <c r="NY55" s="19"/>
      <c r="NZ55" s="19"/>
      <c r="OA55" s="19"/>
      <c r="OB55" s="19"/>
      <c r="OD55" s="8"/>
      <c r="OE55" s="7"/>
      <c r="OF55" s="19"/>
      <c r="OG55" s="19"/>
      <c r="OH55" s="19"/>
      <c r="OI55" s="19"/>
      <c r="OK55" s="8"/>
      <c r="OL55" s="7"/>
      <c r="OM55" s="19"/>
      <c r="ON55" s="19"/>
      <c r="OO55" s="19"/>
      <c r="OP55" s="19"/>
      <c r="OR55" s="8"/>
      <c r="OS55" s="7"/>
      <c r="OT55" s="19"/>
      <c r="OU55" s="19"/>
      <c r="OV55" s="19"/>
      <c r="OW55" s="19"/>
      <c r="OY55" s="8"/>
      <c r="OZ55" s="7"/>
      <c r="PA55" s="19"/>
      <c r="PB55" s="19"/>
      <c r="PC55" s="19"/>
      <c r="PD55" s="19"/>
      <c r="PF55" s="8"/>
      <c r="PG55" s="7"/>
      <c r="PH55" s="19"/>
      <c r="PI55" s="19"/>
      <c r="PJ55" s="19"/>
      <c r="PK55" s="19"/>
      <c r="PM55" s="8"/>
    </row>
    <row r="56" spans="1:429" s="1" customFormat="1" ht="26" customHeight="1" outlineLevel="1">
      <c r="B56" s="471"/>
      <c r="C56" s="7"/>
      <c r="D56" s="19"/>
      <c r="E56" s="19"/>
      <c r="F56" s="19"/>
      <c r="G56" s="19"/>
      <c r="I56" s="8"/>
      <c r="J56" s="7"/>
      <c r="K56" s="19"/>
      <c r="L56" s="19"/>
      <c r="M56" s="19"/>
      <c r="N56" s="19"/>
      <c r="P56" s="8"/>
      <c r="Q56" s="7"/>
      <c r="R56" s="19"/>
      <c r="S56" s="19"/>
      <c r="T56" s="19"/>
      <c r="U56" s="19"/>
      <c r="W56" s="8"/>
      <c r="X56" s="7"/>
      <c r="Y56" s="19"/>
      <c r="Z56" s="19"/>
      <c r="AA56" s="19"/>
      <c r="AB56" s="19"/>
      <c r="AD56" s="8"/>
      <c r="AE56" s="7"/>
      <c r="AF56" s="19"/>
      <c r="AG56" s="19"/>
      <c r="AH56" s="19"/>
      <c r="AI56" s="19"/>
      <c r="AK56" s="8"/>
      <c r="AL56" s="7"/>
      <c r="AM56" s="19"/>
      <c r="AN56" s="19"/>
      <c r="AO56" s="19"/>
      <c r="AP56" s="19"/>
      <c r="AR56" s="8"/>
      <c r="AS56" s="7"/>
      <c r="AT56" s="19"/>
      <c r="AU56" s="19"/>
      <c r="AV56" s="19"/>
      <c r="AW56" s="19"/>
      <c r="AY56" s="8"/>
      <c r="AZ56" s="7"/>
      <c r="BA56" s="19"/>
      <c r="BB56" s="19"/>
      <c r="BC56" s="19"/>
      <c r="BD56" s="19"/>
      <c r="BF56" s="8"/>
      <c r="BG56" s="7"/>
      <c r="BH56" s="19"/>
      <c r="BI56" s="19"/>
      <c r="BJ56" s="19"/>
      <c r="BK56" s="19"/>
      <c r="BM56" s="8"/>
      <c r="BN56" s="7"/>
      <c r="BO56" s="19"/>
      <c r="BP56" s="19"/>
      <c r="BQ56" s="19"/>
      <c r="BR56" s="19"/>
      <c r="BT56" s="8"/>
      <c r="BU56" s="7"/>
      <c r="BV56" s="19"/>
      <c r="BW56" s="19"/>
      <c r="BX56" s="19"/>
      <c r="BY56" s="19"/>
      <c r="CA56" s="8"/>
      <c r="CB56" s="7"/>
      <c r="CC56" s="19"/>
      <c r="CD56" s="19"/>
      <c r="CE56" s="19"/>
      <c r="CF56" s="19"/>
      <c r="CH56" s="8"/>
      <c r="CI56" s="7"/>
      <c r="CJ56" s="19"/>
      <c r="CK56" s="19"/>
      <c r="CL56" s="19"/>
      <c r="CM56" s="19"/>
      <c r="CO56" s="8"/>
      <c r="CP56" s="7"/>
      <c r="CQ56" s="19"/>
      <c r="CR56" s="19"/>
      <c r="CS56" s="19"/>
      <c r="CT56" s="19"/>
      <c r="CV56" s="8"/>
      <c r="CW56" s="7"/>
      <c r="CX56" s="19"/>
      <c r="CY56" s="19"/>
      <c r="CZ56" s="19"/>
      <c r="DA56" s="19"/>
      <c r="DC56" s="8"/>
      <c r="DD56" s="7"/>
      <c r="DE56" s="19"/>
      <c r="DF56" s="19"/>
      <c r="DG56" s="19"/>
      <c r="DH56" s="19"/>
      <c r="DJ56" s="8"/>
      <c r="DK56" s="7" t="s">
        <v>108</v>
      </c>
      <c r="DL56" s="19" t="s">
        <v>159</v>
      </c>
      <c r="DM56" s="19"/>
      <c r="DN56" s="19"/>
      <c r="DO56" s="19"/>
      <c r="DP56" s="1" t="s">
        <v>118</v>
      </c>
      <c r="DQ56" s="8">
        <v>6</v>
      </c>
      <c r="DR56" s="7"/>
      <c r="DS56" s="19" t="s">
        <v>180</v>
      </c>
      <c r="DT56" s="19"/>
      <c r="DU56" s="19"/>
      <c r="DV56" s="19"/>
      <c r="DW56" s="1" t="s">
        <v>118</v>
      </c>
      <c r="DX56" s="8">
        <v>7</v>
      </c>
      <c r="DY56" s="7"/>
      <c r="DZ56" s="19" t="s">
        <v>180</v>
      </c>
      <c r="EA56" s="19"/>
      <c r="EB56" s="19"/>
      <c r="EC56" s="19"/>
      <c r="ED56" s="1" t="s">
        <v>118</v>
      </c>
      <c r="EE56" s="8">
        <v>8</v>
      </c>
      <c r="EF56" s="7" t="s">
        <v>108</v>
      </c>
      <c r="EG56" s="19" t="s">
        <v>453</v>
      </c>
      <c r="EH56" s="19"/>
      <c r="EI56" s="19"/>
      <c r="EJ56" s="19"/>
      <c r="EL56" s="8">
        <v>6</v>
      </c>
      <c r="EM56" s="7"/>
      <c r="EN56" s="19" t="s">
        <v>180</v>
      </c>
      <c r="EO56" s="19"/>
      <c r="EP56" s="19"/>
      <c r="EQ56" s="19"/>
      <c r="ES56" s="8">
        <v>7</v>
      </c>
      <c r="ET56" s="7"/>
      <c r="EU56" s="19" t="s">
        <v>180</v>
      </c>
      <c r="EV56" s="19"/>
      <c r="EW56" s="19"/>
      <c r="EX56" s="19"/>
      <c r="EZ56" s="8">
        <v>8</v>
      </c>
      <c r="FA56" s="7"/>
      <c r="FB56" s="19"/>
      <c r="FC56" s="19"/>
      <c r="FD56" s="19"/>
      <c r="FE56" s="19"/>
      <c r="FG56" s="8"/>
      <c r="FH56" s="7"/>
      <c r="FI56" s="19"/>
      <c r="FJ56" s="19"/>
      <c r="FK56" s="19"/>
      <c r="FL56" s="19"/>
      <c r="FN56" s="8"/>
      <c r="FO56" s="7"/>
      <c r="FP56" s="19"/>
      <c r="FQ56" s="19"/>
      <c r="FR56" s="19"/>
      <c r="FS56" s="19"/>
      <c r="FU56" s="8"/>
      <c r="FV56" s="7"/>
      <c r="FW56" s="19"/>
      <c r="FX56" s="19"/>
      <c r="FY56" s="19"/>
      <c r="FZ56" s="19"/>
      <c r="GB56" s="8"/>
      <c r="GC56" s="7"/>
      <c r="GD56" s="19"/>
      <c r="GE56" s="19"/>
      <c r="GF56" s="19"/>
      <c r="GG56" s="19"/>
      <c r="GI56" s="8"/>
      <c r="GJ56" s="7"/>
      <c r="GK56" s="19"/>
      <c r="GL56" s="19"/>
      <c r="GM56" s="19"/>
      <c r="GN56" s="19"/>
      <c r="GP56" s="8"/>
      <c r="GQ56" s="7"/>
      <c r="GR56" s="19"/>
      <c r="GS56" s="19"/>
      <c r="GT56" s="19"/>
      <c r="GU56" s="19"/>
      <c r="GW56" s="8"/>
      <c r="GX56" s="7"/>
      <c r="GY56" s="19"/>
      <c r="GZ56" s="19"/>
      <c r="HA56" s="19"/>
      <c r="HB56" s="19"/>
      <c r="HD56" s="8"/>
      <c r="HE56" s="7"/>
      <c r="HF56" s="19"/>
      <c r="HG56" s="19"/>
      <c r="HH56" s="19"/>
      <c r="HI56" s="19"/>
      <c r="HK56" s="8"/>
      <c r="HL56" s="7"/>
      <c r="HM56" s="19"/>
      <c r="HN56" s="19"/>
      <c r="HO56" s="19"/>
      <c r="HP56" s="19"/>
      <c r="HR56" s="8"/>
      <c r="HS56" s="7"/>
      <c r="HT56" s="19"/>
      <c r="HU56" s="19"/>
      <c r="HV56" s="19"/>
      <c r="HW56" s="19"/>
      <c r="HY56" s="8"/>
      <c r="HZ56" s="7"/>
      <c r="IA56" s="19"/>
      <c r="IB56" s="19"/>
      <c r="IC56" s="19"/>
      <c r="ID56" s="19"/>
      <c r="IF56" s="8"/>
      <c r="IG56" s="7"/>
      <c r="IH56" s="19"/>
      <c r="II56" s="19"/>
      <c r="IJ56" s="19"/>
      <c r="IK56" s="19"/>
      <c r="IM56" s="8"/>
      <c r="IN56" s="7"/>
      <c r="IO56" s="19"/>
      <c r="IP56" s="19"/>
      <c r="IQ56" s="19"/>
      <c r="IR56" s="19"/>
      <c r="IT56" s="8"/>
      <c r="IU56" s="7"/>
      <c r="IV56" s="19"/>
      <c r="IW56" s="19"/>
      <c r="IX56" s="19"/>
      <c r="IY56" s="19"/>
      <c r="JA56" s="8"/>
      <c r="JB56" s="7"/>
      <c r="JC56" s="19"/>
      <c r="JD56" s="19"/>
      <c r="JE56" s="19"/>
      <c r="JF56" s="19"/>
      <c r="JH56" s="8"/>
      <c r="JI56" s="7"/>
      <c r="JJ56" s="19"/>
      <c r="JK56" s="19"/>
      <c r="JL56" s="19"/>
      <c r="JM56" s="19"/>
      <c r="JO56" s="8"/>
      <c r="JP56" s="7"/>
      <c r="JQ56" s="19"/>
      <c r="JR56" s="19"/>
      <c r="JS56" s="19"/>
      <c r="JT56" s="19"/>
      <c r="JV56" s="8"/>
      <c r="JW56" s="7"/>
      <c r="JX56" s="19"/>
      <c r="JY56" s="19"/>
      <c r="JZ56" s="19"/>
      <c r="KA56" s="19"/>
      <c r="KC56" s="8"/>
      <c r="KD56" s="7"/>
      <c r="KE56" s="19"/>
      <c r="KF56" s="19"/>
      <c r="KG56" s="19"/>
      <c r="KH56" s="19"/>
      <c r="KJ56" s="8"/>
      <c r="KK56" s="7"/>
      <c r="KL56" s="19"/>
      <c r="KM56" s="19"/>
      <c r="KN56" s="19"/>
      <c r="KO56" s="19"/>
      <c r="KQ56" s="8"/>
      <c r="KR56" s="7"/>
      <c r="KS56" s="19"/>
      <c r="KT56" s="19"/>
      <c r="KU56" s="19"/>
      <c r="KV56" s="19"/>
      <c r="KX56" s="8"/>
      <c r="KY56" s="7"/>
      <c r="KZ56" s="19"/>
      <c r="LA56" s="19"/>
      <c r="LB56" s="19"/>
      <c r="LC56" s="19"/>
      <c r="LE56" s="8"/>
      <c r="LF56" s="7"/>
      <c r="LG56" s="19"/>
      <c r="LH56" s="19"/>
      <c r="LI56" s="19"/>
      <c r="LJ56" s="19"/>
      <c r="LL56" s="8"/>
      <c r="LM56" s="7"/>
      <c r="LN56" s="19"/>
      <c r="LO56" s="19"/>
      <c r="LP56" s="19"/>
      <c r="LQ56" s="19"/>
      <c r="LS56" s="8"/>
      <c r="LT56" s="7"/>
      <c r="LU56" s="19"/>
      <c r="LV56" s="19"/>
      <c r="LW56" s="19"/>
      <c r="LX56" s="19"/>
      <c r="LZ56" s="8"/>
      <c r="MA56" s="7"/>
      <c r="MB56" s="19"/>
      <c r="MC56" s="19"/>
      <c r="MD56" s="19"/>
      <c r="ME56" s="19"/>
      <c r="MG56" s="8"/>
      <c r="MH56" s="7"/>
      <c r="MI56" s="19"/>
      <c r="MJ56" s="19"/>
      <c r="MK56" s="19"/>
      <c r="ML56" s="19"/>
      <c r="MN56" s="8"/>
      <c r="MO56" s="7"/>
      <c r="MP56" s="19"/>
      <c r="MQ56" s="19"/>
      <c r="MR56" s="19"/>
      <c r="MS56" s="19"/>
      <c r="MU56" s="8"/>
      <c r="MV56" s="7"/>
      <c r="MW56" s="19"/>
      <c r="MX56" s="19"/>
      <c r="MY56" s="19"/>
      <c r="MZ56" s="19"/>
      <c r="NB56" s="8"/>
      <c r="NC56" s="7"/>
      <c r="ND56" s="19"/>
      <c r="NE56" s="19"/>
      <c r="NF56" s="19"/>
      <c r="NG56" s="19"/>
      <c r="NI56" s="8"/>
      <c r="NJ56" s="7"/>
      <c r="NK56" s="19"/>
      <c r="NL56" s="19"/>
      <c r="NM56" s="19"/>
      <c r="NN56" s="19"/>
      <c r="NP56" s="8"/>
      <c r="NQ56" s="7"/>
      <c r="NR56" s="19"/>
      <c r="NS56" s="19"/>
      <c r="NT56" s="19"/>
      <c r="NU56" s="19"/>
      <c r="NW56" s="8"/>
      <c r="NX56" s="7"/>
      <c r="NY56" s="19"/>
      <c r="NZ56" s="19"/>
      <c r="OA56" s="19"/>
      <c r="OB56" s="19"/>
      <c r="OD56" s="8"/>
      <c r="OE56" s="7"/>
      <c r="OF56" s="19"/>
      <c r="OG56" s="19"/>
      <c r="OH56" s="19"/>
      <c r="OI56" s="19"/>
      <c r="OK56" s="8"/>
      <c r="OL56" s="7"/>
      <c r="OM56" s="19"/>
      <c r="ON56" s="19"/>
      <c r="OO56" s="19"/>
      <c r="OP56" s="19"/>
      <c r="OR56" s="8"/>
      <c r="OS56" s="7"/>
      <c r="OT56" s="19"/>
      <c r="OU56" s="19"/>
      <c r="OV56" s="19"/>
      <c r="OW56" s="19"/>
      <c r="OY56" s="8"/>
      <c r="OZ56" s="7"/>
      <c r="PA56" s="19"/>
      <c r="PB56" s="19"/>
      <c r="PC56" s="19"/>
      <c r="PD56" s="19"/>
      <c r="PF56" s="8"/>
      <c r="PG56" s="7"/>
      <c r="PH56" s="19"/>
      <c r="PI56" s="19"/>
      <c r="PJ56" s="19"/>
      <c r="PK56" s="19"/>
      <c r="PM56" s="8"/>
    </row>
    <row r="57" spans="1:429" s="1" customFormat="1" ht="26" customHeight="1" outlineLevel="1">
      <c r="B57" s="471"/>
      <c r="C57" s="7"/>
      <c r="D57" s="19"/>
      <c r="E57" s="19"/>
      <c r="F57" s="19"/>
      <c r="G57" s="19"/>
      <c r="I57" s="8"/>
      <c r="J57" s="7"/>
      <c r="K57" s="19"/>
      <c r="L57" s="19"/>
      <c r="M57" s="19"/>
      <c r="N57" s="19"/>
      <c r="P57" s="8"/>
      <c r="Q57" s="7"/>
      <c r="R57" s="19"/>
      <c r="S57" s="19"/>
      <c r="T57" s="19"/>
      <c r="U57" s="19"/>
      <c r="W57" s="8"/>
      <c r="X57" s="7"/>
      <c r="Y57" s="19"/>
      <c r="Z57" s="19"/>
      <c r="AA57" s="19"/>
      <c r="AB57" s="19"/>
      <c r="AD57" s="8"/>
      <c r="AE57" s="7"/>
      <c r="AF57" s="19"/>
      <c r="AG57" s="19"/>
      <c r="AH57" s="19"/>
      <c r="AI57" s="19"/>
      <c r="AK57" s="8"/>
      <c r="AL57" s="7"/>
      <c r="AM57" s="19"/>
      <c r="AN57" s="19"/>
      <c r="AO57" s="19"/>
      <c r="AP57" s="19"/>
      <c r="AR57" s="8"/>
      <c r="AS57" s="7"/>
      <c r="AT57" s="19"/>
      <c r="AU57" s="19"/>
      <c r="AV57" s="19"/>
      <c r="AW57" s="19"/>
      <c r="AY57" s="8"/>
      <c r="AZ57" s="7"/>
      <c r="BA57" s="19"/>
      <c r="BB57" s="19"/>
      <c r="BC57" s="19"/>
      <c r="BD57" s="19"/>
      <c r="BF57" s="8"/>
      <c r="BG57" s="7"/>
      <c r="BH57" s="19"/>
      <c r="BI57" s="19"/>
      <c r="BJ57" s="19"/>
      <c r="BK57" s="19"/>
      <c r="BM57" s="8"/>
      <c r="BN57" s="7"/>
      <c r="BO57" s="19"/>
      <c r="BP57" s="19"/>
      <c r="BQ57" s="19"/>
      <c r="BR57" s="19"/>
      <c r="BT57" s="8"/>
      <c r="BU57" s="7"/>
      <c r="BV57" s="19"/>
      <c r="BW57" s="19"/>
      <c r="BX57" s="19"/>
      <c r="BY57" s="19"/>
      <c r="CA57" s="8"/>
      <c r="CB57" s="7"/>
      <c r="CC57" s="19"/>
      <c r="CD57" s="19"/>
      <c r="CE57" s="19"/>
      <c r="CF57" s="19"/>
      <c r="CH57" s="8"/>
      <c r="CI57" s="7"/>
      <c r="CJ57" s="19"/>
      <c r="CK57" s="19"/>
      <c r="CL57" s="19"/>
      <c r="CM57" s="19"/>
      <c r="CO57" s="8"/>
      <c r="CP57" s="7"/>
      <c r="CQ57" s="19"/>
      <c r="CR57" s="19"/>
      <c r="CS57" s="19"/>
      <c r="CT57" s="19"/>
      <c r="CV57" s="8"/>
      <c r="CW57" s="7"/>
      <c r="CX57" s="19"/>
      <c r="CY57" s="19"/>
      <c r="CZ57" s="19"/>
      <c r="DA57" s="19"/>
      <c r="DC57" s="8"/>
      <c r="DD57" s="7"/>
      <c r="DE57" s="19"/>
      <c r="DF57" s="19"/>
      <c r="DG57" s="19"/>
      <c r="DH57" s="19"/>
      <c r="DJ57" s="8"/>
      <c r="DK57" s="7" t="s">
        <v>110</v>
      </c>
      <c r="DL57" s="19" t="s">
        <v>176</v>
      </c>
      <c r="DM57" s="19"/>
      <c r="DN57" s="19"/>
      <c r="DO57" s="19"/>
      <c r="DQ57" s="8">
        <v>8</v>
      </c>
      <c r="DR57" s="7"/>
      <c r="DS57" s="19" t="s">
        <v>180</v>
      </c>
      <c r="DT57" s="19"/>
      <c r="DU57" s="19"/>
      <c r="DV57" s="19"/>
      <c r="DX57" s="8">
        <v>8</v>
      </c>
      <c r="DY57" s="7"/>
      <c r="DZ57" s="19" t="s">
        <v>180</v>
      </c>
      <c r="EA57" s="19"/>
      <c r="EB57" s="19"/>
      <c r="EC57" s="19"/>
      <c r="EE57" s="8">
        <v>8</v>
      </c>
      <c r="EF57" s="7" t="s">
        <v>110</v>
      </c>
      <c r="EG57" s="19" t="s">
        <v>176</v>
      </c>
      <c r="EH57" s="19"/>
      <c r="EI57" s="19"/>
      <c r="EJ57" s="19"/>
      <c r="EL57" s="8">
        <v>6</v>
      </c>
      <c r="EM57" s="7"/>
      <c r="EN57" s="19" t="s">
        <v>180</v>
      </c>
      <c r="EO57" s="19"/>
      <c r="EP57" s="19"/>
      <c r="EQ57" s="19"/>
      <c r="ES57" s="8">
        <v>6</v>
      </c>
      <c r="ET57" s="7"/>
      <c r="EU57" s="19" t="s">
        <v>180</v>
      </c>
      <c r="EV57" s="19"/>
      <c r="EW57" s="19"/>
      <c r="EX57" s="19"/>
      <c r="EZ57" s="8">
        <v>6</v>
      </c>
      <c r="FA57" s="7"/>
      <c r="FB57" s="19"/>
      <c r="FC57" s="19"/>
      <c r="FD57" s="19"/>
      <c r="FE57" s="19"/>
      <c r="FG57" s="8"/>
      <c r="FH57" s="7"/>
      <c r="FI57" s="19"/>
      <c r="FJ57" s="19"/>
      <c r="FK57" s="19"/>
      <c r="FL57" s="19"/>
      <c r="FN57" s="8"/>
      <c r="FO57" s="7"/>
      <c r="FP57" s="19"/>
      <c r="FQ57" s="19"/>
      <c r="FR57" s="19"/>
      <c r="FS57" s="19"/>
      <c r="FU57" s="8"/>
      <c r="FV57" s="7"/>
      <c r="FW57" s="19"/>
      <c r="FX57" s="19"/>
      <c r="FY57" s="19"/>
      <c r="FZ57" s="19"/>
      <c r="GB57" s="8"/>
      <c r="GC57" s="7"/>
      <c r="GD57" s="19"/>
      <c r="GE57" s="19"/>
      <c r="GF57" s="19"/>
      <c r="GG57" s="19"/>
      <c r="GI57" s="8"/>
      <c r="GJ57" s="7"/>
      <c r="GK57" s="19"/>
      <c r="GL57" s="19"/>
      <c r="GM57" s="19"/>
      <c r="GN57" s="19"/>
      <c r="GP57" s="8"/>
      <c r="GQ57" s="7"/>
      <c r="GR57" s="19"/>
      <c r="GS57" s="19"/>
      <c r="GT57" s="19"/>
      <c r="GU57" s="19"/>
      <c r="GW57" s="8"/>
      <c r="GX57" s="7"/>
      <c r="GY57" s="19"/>
      <c r="GZ57" s="19"/>
      <c r="HA57" s="19"/>
      <c r="HB57" s="19"/>
      <c r="HD57" s="8"/>
      <c r="HE57" s="7"/>
      <c r="HF57" s="19"/>
      <c r="HG57" s="19"/>
      <c r="HH57" s="19"/>
      <c r="HI57" s="19"/>
      <c r="HK57" s="8"/>
      <c r="HL57" s="7"/>
      <c r="HM57" s="19"/>
      <c r="HN57" s="19"/>
      <c r="HO57" s="19"/>
      <c r="HP57" s="19"/>
      <c r="HR57" s="8"/>
      <c r="HS57" s="7"/>
      <c r="HT57" s="19"/>
      <c r="HU57" s="19"/>
      <c r="HV57" s="19"/>
      <c r="HW57" s="19"/>
      <c r="HY57" s="8"/>
      <c r="HZ57" s="7"/>
      <c r="IA57" s="19"/>
      <c r="IB57" s="19"/>
      <c r="IC57" s="19"/>
      <c r="ID57" s="19"/>
      <c r="IF57" s="8"/>
      <c r="IG57" s="7"/>
      <c r="IH57" s="19"/>
      <c r="II57" s="19"/>
      <c r="IJ57" s="19"/>
      <c r="IK57" s="19"/>
      <c r="IM57" s="8"/>
      <c r="IN57" s="7"/>
      <c r="IO57" s="19"/>
      <c r="IP57" s="19"/>
      <c r="IQ57" s="19"/>
      <c r="IR57" s="19"/>
      <c r="IT57" s="8"/>
      <c r="IU57" s="7"/>
      <c r="IV57" s="19"/>
      <c r="IW57" s="19"/>
      <c r="IX57" s="19"/>
      <c r="IY57" s="19"/>
      <c r="JA57" s="8"/>
      <c r="JB57" s="7"/>
      <c r="JC57" s="19"/>
      <c r="JD57" s="19"/>
      <c r="JE57" s="19"/>
      <c r="JF57" s="19"/>
      <c r="JH57" s="8"/>
      <c r="JI57" s="7"/>
      <c r="JJ57" s="19"/>
      <c r="JK57" s="19"/>
      <c r="JL57" s="19"/>
      <c r="JM57" s="19"/>
      <c r="JO57" s="8"/>
      <c r="JP57" s="7"/>
      <c r="JQ57" s="19"/>
      <c r="JR57" s="19"/>
      <c r="JS57" s="19"/>
      <c r="JT57" s="19"/>
      <c r="JV57" s="8"/>
      <c r="JW57" s="7"/>
      <c r="JX57" s="19"/>
      <c r="JY57" s="19"/>
      <c r="JZ57" s="19"/>
      <c r="KA57" s="19"/>
      <c r="KC57" s="8"/>
      <c r="KD57" s="7"/>
      <c r="KE57" s="19"/>
      <c r="KF57" s="19"/>
      <c r="KG57" s="19"/>
      <c r="KH57" s="19"/>
      <c r="KJ57" s="8"/>
      <c r="KK57" s="7"/>
      <c r="KL57" s="19"/>
      <c r="KM57" s="19"/>
      <c r="KN57" s="19"/>
      <c r="KO57" s="19"/>
      <c r="KQ57" s="8"/>
      <c r="KR57" s="7"/>
      <c r="KS57" s="19"/>
      <c r="KT57" s="19"/>
      <c r="KU57" s="19"/>
      <c r="KV57" s="19"/>
      <c r="KX57" s="8"/>
      <c r="KY57" s="7"/>
      <c r="KZ57" s="19"/>
      <c r="LA57" s="19"/>
      <c r="LB57" s="19"/>
      <c r="LC57" s="19"/>
      <c r="LE57" s="8"/>
      <c r="LF57" s="7"/>
      <c r="LG57" s="19"/>
      <c r="LH57" s="19"/>
      <c r="LI57" s="19"/>
      <c r="LJ57" s="19"/>
      <c r="LL57" s="8"/>
      <c r="LM57" s="7"/>
      <c r="LN57" s="19"/>
      <c r="LO57" s="19"/>
      <c r="LP57" s="19"/>
      <c r="LQ57" s="19"/>
      <c r="LS57" s="8"/>
      <c r="LT57" s="7"/>
      <c r="LU57" s="19"/>
      <c r="LV57" s="19"/>
      <c r="LW57" s="19"/>
      <c r="LX57" s="19"/>
      <c r="LZ57" s="8"/>
      <c r="MA57" s="7"/>
      <c r="MB57" s="19"/>
      <c r="MC57" s="19"/>
      <c r="MD57" s="19"/>
      <c r="ME57" s="19"/>
      <c r="MG57" s="8"/>
      <c r="MH57" s="7"/>
      <c r="MI57" s="19"/>
      <c r="MJ57" s="19"/>
      <c r="MK57" s="19"/>
      <c r="ML57" s="19"/>
      <c r="MN57" s="8"/>
      <c r="MO57" s="7"/>
      <c r="MP57" s="19"/>
      <c r="MQ57" s="19"/>
      <c r="MR57" s="19"/>
      <c r="MS57" s="19"/>
      <c r="MU57" s="8"/>
      <c r="MV57" s="7"/>
      <c r="MW57" s="19"/>
      <c r="MX57" s="19"/>
      <c r="MY57" s="19"/>
      <c r="MZ57" s="19"/>
      <c r="NB57" s="8"/>
      <c r="NC57" s="7"/>
      <c r="ND57" s="19"/>
      <c r="NE57" s="19"/>
      <c r="NF57" s="19"/>
      <c r="NG57" s="19"/>
      <c r="NI57" s="8"/>
      <c r="NJ57" s="7"/>
      <c r="NK57" s="19"/>
      <c r="NL57" s="19"/>
      <c r="NM57" s="19"/>
      <c r="NN57" s="19"/>
      <c r="NP57" s="8"/>
      <c r="NQ57" s="7"/>
      <c r="NR57" s="19"/>
      <c r="NS57" s="19"/>
      <c r="NT57" s="19"/>
      <c r="NU57" s="19"/>
      <c r="NW57" s="8"/>
      <c r="NX57" s="7"/>
      <c r="NY57" s="19"/>
      <c r="NZ57" s="19"/>
      <c r="OA57" s="19"/>
      <c r="OB57" s="19"/>
      <c r="OD57" s="8"/>
      <c r="OE57" s="7"/>
      <c r="OF57" s="19"/>
      <c r="OG57" s="19"/>
      <c r="OH57" s="19"/>
      <c r="OI57" s="19"/>
      <c r="OK57" s="8"/>
      <c r="OL57" s="7"/>
      <c r="OM57" s="19"/>
      <c r="ON57" s="19"/>
      <c r="OO57" s="19"/>
      <c r="OP57" s="19"/>
      <c r="OR57" s="8"/>
      <c r="OS57" s="7"/>
      <c r="OT57" s="19"/>
      <c r="OU57" s="19"/>
      <c r="OV57" s="19"/>
      <c r="OW57" s="19"/>
      <c r="OY57" s="8"/>
      <c r="OZ57" s="7"/>
      <c r="PA57" s="19"/>
      <c r="PB57" s="19"/>
      <c r="PC57" s="19"/>
      <c r="PD57" s="19"/>
      <c r="PF57" s="8"/>
      <c r="PG57" s="7"/>
      <c r="PH57" s="19"/>
      <c r="PI57" s="19"/>
      <c r="PJ57" s="19"/>
      <c r="PK57" s="19"/>
      <c r="PM57" s="8"/>
    </row>
    <row r="58" spans="1:429" s="1" customFormat="1" ht="26" customHeight="1" outlineLevel="1">
      <c r="B58" s="471"/>
      <c r="C58" s="7"/>
      <c r="D58" s="19"/>
      <c r="E58" s="19"/>
      <c r="F58" s="19"/>
      <c r="G58" s="19"/>
      <c r="I58" s="8"/>
      <c r="J58" s="7"/>
      <c r="K58" s="19"/>
      <c r="L58" s="19"/>
      <c r="M58" s="19"/>
      <c r="N58" s="19"/>
      <c r="P58" s="8"/>
      <c r="Q58" s="7"/>
      <c r="R58" s="19"/>
      <c r="S58" s="19"/>
      <c r="T58" s="19"/>
      <c r="U58" s="19"/>
      <c r="W58" s="8"/>
      <c r="X58" s="7"/>
      <c r="Y58" s="19"/>
      <c r="Z58" s="19"/>
      <c r="AA58" s="19"/>
      <c r="AB58" s="19"/>
      <c r="AD58" s="8"/>
      <c r="AE58" s="7"/>
      <c r="AF58" s="19"/>
      <c r="AG58" s="19"/>
      <c r="AH58" s="19"/>
      <c r="AI58" s="19"/>
      <c r="AK58" s="8"/>
      <c r="AL58" s="7"/>
      <c r="AM58" s="19"/>
      <c r="AN58" s="19"/>
      <c r="AO58" s="19"/>
      <c r="AP58" s="19"/>
      <c r="AR58" s="8"/>
      <c r="AS58" s="7"/>
      <c r="AT58" s="19"/>
      <c r="AU58" s="19"/>
      <c r="AV58" s="19"/>
      <c r="AW58" s="19"/>
      <c r="AY58" s="8"/>
      <c r="AZ58" s="7"/>
      <c r="BA58" s="19"/>
      <c r="BB58" s="19"/>
      <c r="BC58" s="19"/>
      <c r="BD58" s="19"/>
      <c r="BF58" s="8"/>
      <c r="BG58" s="7"/>
      <c r="BH58" s="19"/>
      <c r="BI58" s="19"/>
      <c r="BJ58" s="19"/>
      <c r="BK58" s="19"/>
      <c r="BM58" s="8"/>
      <c r="BN58" s="7"/>
      <c r="BO58" s="19"/>
      <c r="BP58" s="19"/>
      <c r="BQ58" s="19"/>
      <c r="BR58" s="19"/>
      <c r="BT58" s="8"/>
      <c r="BU58" s="7"/>
      <c r="BV58" s="19"/>
      <c r="BW58" s="19"/>
      <c r="BX58" s="19"/>
      <c r="BY58" s="19"/>
      <c r="CA58" s="8"/>
      <c r="CB58" s="7"/>
      <c r="CC58" s="19"/>
      <c r="CD58" s="19"/>
      <c r="CE58" s="19"/>
      <c r="CF58" s="19"/>
      <c r="CH58" s="8"/>
      <c r="CI58" s="7"/>
      <c r="CJ58" s="19"/>
      <c r="CK58" s="19"/>
      <c r="CL58" s="19"/>
      <c r="CM58" s="19"/>
      <c r="CO58" s="8"/>
      <c r="CP58" s="7"/>
      <c r="CQ58" s="19"/>
      <c r="CR58" s="19"/>
      <c r="CS58" s="19"/>
      <c r="CT58" s="19"/>
      <c r="CV58" s="8"/>
      <c r="CW58" s="7"/>
      <c r="CX58" s="19"/>
      <c r="CY58" s="19"/>
      <c r="CZ58" s="19"/>
      <c r="DA58" s="19"/>
      <c r="DC58" s="8"/>
      <c r="DD58" s="7"/>
      <c r="DE58" s="19"/>
      <c r="DF58" s="19"/>
      <c r="DG58" s="19"/>
      <c r="DH58" s="19"/>
      <c r="DJ58" s="8"/>
      <c r="DK58" s="7" t="s">
        <v>111</v>
      </c>
      <c r="DL58" s="19" t="s">
        <v>177</v>
      </c>
      <c r="DM58" s="19"/>
      <c r="DN58" s="19"/>
      <c r="DO58" s="19"/>
      <c r="DQ58" s="8">
        <v>6</v>
      </c>
      <c r="DR58" s="7"/>
      <c r="DS58" s="19" t="s">
        <v>180</v>
      </c>
      <c r="DT58" s="19"/>
      <c r="DU58" s="19"/>
      <c r="DV58" s="19"/>
      <c r="DX58" s="8">
        <v>7</v>
      </c>
      <c r="DY58" s="7"/>
      <c r="DZ58" s="19" t="s">
        <v>180</v>
      </c>
      <c r="EA58" s="19"/>
      <c r="EB58" s="19"/>
      <c r="EC58" s="19"/>
      <c r="EE58" s="8">
        <v>8</v>
      </c>
      <c r="EF58" s="7" t="s">
        <v>111</v>
      </c>
      <c r="EG58" s="19" t="s">
        <v>454</v>
      </c>
      <c r="EH58" s="19"/>
      <c r="EI58" s="19"/>
      <c r="EJ58" s="19"/>
      <c r="EL58" s="8" t="s">
        <v>282</v>
      </c>
      <c r="EM58" s="7"/>
      <c r="EN58" s="19" t="s">
        <v>180</v>
      </c>
      <c r="EO58" s="19"/>
      <c r="EP58" s="19"/>
      <c r="EQ58" s="19"/>
      <c r="ES58" s="8" t="s">
        <v>433</v>
      </c>
      <c r="ET58" s="7"/>
      <c r="EU58" s="19" t="s">
        <v>180</v>
      </c>
      <c r="EV58" s="19"/>
      <c r="EW58" s="19"/>
      <c r="EX58" s="19"/>
      <c r="EZ58" s="8" t="s">
        <v>172</v>
      </c>
      <c r="FA58" s="7"/>
      <c r="FB58" s="19"/>
      <c r="FC58" s="19"/>
      <c r="FD58" s="19"/>
      <c r="FE58" s="19"/>
      <c r="FG58" s="8"/>
      <c r="FH58" s="7"/>
      <c r="FI58" s="19"/>
      <c r="FJ58" s="19"/>
      <c r="FK58" s="19"/>
      <c r="FL58" s="19"/>
      <c r="FN58" s="8"/>
      <c r="FO58" s="7"/>
      <c r="FP58" s="19"/>
      <c r="FQ58" s="19"/>
      <c r="FR58" s="19"/>
      <c r="FS58" s="19"/>
      <c r="FU58" s="8"/>
      <c r="FV58" s="7"/>
      <c r="FW58" s="19"/>
      <c r="FX58" s="19"/>
      <c r="FY58" s="19"/>
      <c r="FZ58" s="19"/>
      <c r="GB58" s="8"/>
      <c r="GC58" s="7"/>
      <c r="GD58" s="19"/>
      <c r="GE58" s="19"/>
      <c r="GF58" s="19"/>
      <c r="GG58" s="19"/>
      <c r="GI58" s="8"/>
      <c r="GJ58" s="7"/>
      <c r="GK58" s="19"/>
      <c r="GL58" s="19"/>
      <c r="GM58" s="19"/>
      <c r="GN58" s="19"/>
      <c r="GP58" s="8"/>
      <c r="GQ58" s="7"/>
      <c r="GR58" s="19"/>
      <c r="GS58" s="19"/>
      <c r="GT58" s="19"/>
      <c r="GU58" s="19"/>
      <c r="GW58" s="8"/>
      <c r="GX58" s="7"/>
      <c r="GY58" s="19"/>
      <c r="GZ58" s="19"/>
      <c r="HA58" s="19"/>
      <c r="HB58" s="19"/>
      <c r="HD58" s="8"/>
      <c r="HE58" s="7"/>
      <c r="HF58" s="19"/>
      <c r="HG58" s="19"/>
      <c r="HH58" s="19"/>
      <c r="HI58" s="19"/>
      <c r="HK58" s="8"/>
      <c r="HL58" s="7"/>
      <c r="HM58" s="19"/>
      <c r="HN58" s="19"/>
      <c r="HO58" s="19"/>
      <c r="HP58" s="19"/>
      <c r="HR58" s="8"/>
      <c r="HS58" s="7"/>
      <c r="HT58" s="19"/>
      <c r="HU58" s="19"/>
      <c r="HV58" s="19"/>
      <c r="HW58" s="19"/>
      <c r="HY58" s="8"/>
      <c r="HZ58" s="7"/>
      <c r="IA58" s="19"/>
      <c r="IB58" s="19"/>
      <c r="IC58" s="19"/>
      <c r="ID58" s="19"/>
      <c r="IF58" s="8"/>
      <c r="IG58" s="7"/>
      <c r="IH58" s="19"/>
      <c r="II58" s="19"/>
      <c r="IJ58" s="19"/>
      <c r="IK58" s="19"/>
      <c r="IM58" s="8"/>
      <c r="IN58" s="7"/>
      <c r="IO58" s="19"/>
      <c r="IP58" s="19"/>
      <c r="IQ58" s="19"/>
      <c r="IR58" s="19"/>
      <c r="IT58" s="8"/>
      <c r="IU58" s="7"/>
      <c r="IV58" s="19"/>
      <c r="IW58" s="19"/>
      <c r="IX58" s="19"/>
      <c r="IY58" s="19"/>
      <c r="JA58" s="8"/>
      <c r="JB58" s="7"/>
      <c r="JC58" s="19"/>
      <c r="JD58" s="19"/>
      <c r="JE58" s="19"/>
      <c r="JF58" s="19"/>
      <c r="JH58" s="8"/>
      <c r="JI58" s="7"/>
      <c r="JJ58" s="19"/>
      <c r="JK58" s="19"/>
      <c r="JL58" s="19"/>
      <c r="JM58" s="19"/>
      <c r="JO58" s="8"/>
      <c r="JP58" s="7"/>
      <c r="JQ58" s="19"/>
      <c r="JR58" s="19"/>
      <c r="JS58" s="19"/>
      <c r="JT58" s="19"/>
      <c r="JV58" s="8"/>
      <c r="JW58" s="7"/>
      <c r="JX58" s="19"/>
      <c r="JY58" s="19"/>
      <c r="JZ58" s="19"/>
      <c r="KA58" s="19"/>
      <c r="KC58" s="8"/>
      <c r="KD58" s="7"/>
      <c r="KE58" s="19"/>
      <c r="KF58" s="19"/>
      <c r="KG58" s="19"/>
      <c r="KH58" s="19"/>
      <c r="KJ58" s="8"/>
      <c r="KK58" s="7"/>
      <c r="KL58" s="19"/>
      <c r="KM58" s="19"/>
      <c r="KN58" s="19"/>
      <c r="KO58" s="19"/>
      <c r="KQ58" s="8"/>
      <c r="KR58" s="7"/>
      <c r="KS58" s="19"/>
      <c r="KT58" s="19"/>
      <c r="KU58" s="19"/>
      <c r="KV58" s="19"/>
      <c r="KX58" s="8"/>
      <c r="KY58" s="7"/>
      <c r="KZ58" s="19"/>
      <c r="LA58" s="19"/>
      <c r="LB58" s="19"/>
      <c r="LC58" s="19"/>
      <c r="LE58" s="8"/>
      <c r="LF58" s="7"/>
      <c r="LG58" s="19"/>
      <c r="LH58" s="19"/>
      <c r="LI58" s="19"/>
      <c r="LJ58" s="19"/>
      <c r="LL58" s="8"/>
      <c r="LM58" s="7"/>
      <c r="LN58" s="19"/>
      <c r="LO58" s="19"/>
      <c r="LP58" s="19"/>
      <c r="LQ58" s="19"/>
      <c r="LS58" s="8"/>
      <c r="LT58" s="7"/>
      <c r="LU58" s="19"/>
      <c r="LV58" s="19"/>
      <c r="LW58" s="19"/>
      <c r="LX58" s="19"/>
      <c r="LZ58" s="8"/>
      <c r="MA58" s="7"/>
      <c r="MB58" s="19"/>
      <c r="MC58" s="19"/>
      <c r="MD58" s="19"/>
      <c r="ME58" s="19"/>
      <c r="MG58" s="8"/>
      <c r="MH58" s="7"/>
      <c r="MI58" s="19"/>
      <c r="MJ58" s="19"/>
      <c r="MK58" s="19"/>
      <c r="ML58" s="19"/>
      <c r="MN58" s="8"/>
      <c r="MO58" s="7"/>
      <c r="MP58" s="19"/>
      <c r="MQ58" s="19"/>
      <c r="MR58" s="19"/>
      <c r="MS58" s="19"/>
      <c r="MU58" s="8"/>
      <c r="MV58" s="7"/>
      <c r="MW58" s="19"/>
      <c r="MX58" s="19"/>
      <c r="MY58" s="19"/>
      <c r="MZ58" s="19"/>
      <c r="NB58" s="8"/>
      <c r="NC58" s="7"/>
      <c r="ND58" s="19"/>
      <c r="NE58" s="19"/>
      <c r="NF58" s="19"/>
      <c r="NG58" s="19"/>
      <c r="NI58" s="8"/>
      <c r="NJ58" s="7"/>
      <c r="NK58" s="19"/>
      <c r="NL58" s="19"/>
      <c r="NM58" s="19"/>
      <c r="NN58" s="19"/>
      <c r="NP58" s="8"/>
      <c r="NQ58" s="7"/>
      <c r="NR58" s="19"/>
      <c r="NS58" s="19"/>
      <c r="NT58" s="19"/>
      <c r="NU58" s="19"/>
      <c r="NW58" s="8"/>
      <c r="NX58" s="7"/>
      <c r="NY58" s="19"/>
      <c r="NZ58" s="19"/>
      <c r="OA58" s="19"/>
      <c r="OB58" s="19"/>
      <c r="OD58" s="8"/>
      <c r="OE58" s="7"/>
      <c r="OF58" s="19"/>
      <c r="OG58" s="19"/>
      <c r="OH58" s="19"/>
      <c r="OI58" s="19"/>
      <c r="OK58" s="8"/>
      <c r="OL58" s="7"/>
      <c r="OM58" s="19"/>
      <c r="ON58" s="19"/>
      <c r="OO58" s="19"/>
      <c r="OP58" s="19"/>
      <c r="OR58" s="8"/>
      <c r="OS58" s="7"/>
      <c r="OT58" s="19"/>
      <c r="OU58" s="19"/>
      <c r="OV58" s="19"/>
      <c r="OW58" s="19"/>
      <c r="OY58" s="8"/>
      <c r="OZ58" s="7"/>
      <c r="PA58" s="19"/>
      <c r="PB58" s="19"/>
      <c r="PC58" s="19"/>
      <c r="PD58" s="19"/>
      <c r="PF58" s="8"/>
      <c r="PG58" s="7"/>
      <c r="PH58" s="19"/>
      <c r="PI58" s="19"/>
      <c r="PJ58" s="19"/>
      <c r="PK58" s="19"/>
      <c r="PM58" s="8"/>
    </row>
    <row r="59" spans="1:429" s="1" customFormat="1" ht="26" customHeight="1" outlineLevel="1">
      <c r="B59" s="471"/>
      <c r="C59" s="7"/>
      <c r="D59" s="19"/>
      <c r="E59" s="19"/>
      <c r="F59" s="19"/>
      <c r="G59" s="19"/>
      <c r="I59" s="8"/>
      <c r="J59" s="7"/>
      <c r="K59" s="19"/>
      <c r="L59" s="19"/>
      <c r="M59" s="19"/>
      <c r="N59" s="19"/>
      <c r="P59" s="8"/>
      <c r="Q59" s="7"/>
      <c r="R59" s="19"/>
      <c r="S59" s="19"/>
      <c r="T59" s="19"/>
      <c r="U59" s="19"/>
      <c r="W59" s="8"/>
      <c r="X59" s="7"/>
      <c r="Y59" s="19"/>
      <c r="Z59" s="19"/>
      <c r="AA59" s="19"/>
      <c r="AB59" s="19"/>
      <c r="AD59" s="8"/>
      <c r="AE59" s="7"/>
      <c r="AF59" s="19"/>
      <c r="AG59" s="19"/>
      <c r="AH59" s="19"/>
      <c r="AI59" s="19"/>
      <c r="AK59" s="8"/>
      <c r="AL59" s="7"/>
      <c r="AM59" s="19"/>
      <c r="AN59" s="19"/>
      <c r="AO59" s="19"/>
      <c r="AP59" s="19"/>
      <c r="AR59" s="8"/>
      <c r="AS59" s="7"/>
      <c r="AT59" s="19"/>
      <c r="AU59" s="19"/>
      <c r="AV59" s="19"/>
      <c r="AW59" s="19"/>
      <c r="AY59" s="8"/>
      <c r="AZ59" s="7"/>
      <c r="BA59" s="19"/>
      <c r="BB59" s="19"/>
      <c r="BC59" s="19"/>
      <c r="BD59" s="19"/>
      <c r="BF59" s="8"/>
      <c r="BG59" s="7"/>
      <c r="BH59" s="19"/>
      <c r="BI59" s="19"/>
      <c r="BJ59" s="19"/>
      <c r="BK59" s="19"/>
      <c r="BM59" s="8"/>
      <c r="BN59" s="7"/>
      <c r="BO59" s="19"/>
      <c r="BP59" s="19"/>
      <c r="BQ59" s="19"/>
      <c r="BR59" s="19"/>
      <c r="BT59" s="8"/>
      <c r="BU59" s="7"/>
      <c r="BV59" s="19"/>
      <c r="BW59" s="19"/>
      <c r="BX59" s="19"/>
      <c r="BY59" s="19"/>
      <c r="CA59" s="8"/>
      <c r="CB59" s="7"/>
      <c r="CC59" s="19"/>
      <c r="CD59" s="19"/>
      <c r="CE59" s="19"/>
      <c r="CF59" s="19"/>
      <c r="CH59" s="8"/>
      <c r="CI59" s="7"/>
      <c r="CJ59" s="19"/>
      <c r="CK59" s="19"/>
      <c r="CL59" s="19"/>
      <c r="CM59" s="19"/>
      <c r="CO59" s="8"/>
      <c r="CP59" s="7"/>
      <c r="CQ59" s="19"/>
      <c r="CR59" s="19"/>
      <c r="CS59" s="19"/>
      <c r="CT59" s="19"/>
      <c r="CV59" s="8"/>
      <c r="CW59" s="7"/>
      <c r="CX59" s="19"/>
      <c r="CY59" s="19"/>
      <c r="CZ59" s="19"/>
      <c r="DA59" s="19"/>
      <c r="DC59" s="8"/>
      <c r="DD59" s="7"/>
      <c r="DE59" s="19"/>
      <c r="DF59" s="19"/>
      <c r="DG59" s="19"/>
      <c r="DH59" s="19"/>
      <c r="DJ59" s="8"/>
      <c r="DK59" s="7" t="s">
        <v>113</v>
      </c>
      <c r="DL59" s="19" t="s">
        <v>178</v>
      </c>
      <c r="DM59" s="19"/>
      <c r="DN59" s="19"/>
      <c r="DO59" s="19"/>
      <c r="DQ59" s="8">
        <v>8</v>
      </c>
      <c r="DR59" s="7"/>
      <c r="DS59" s="19" t="s">
        <v>180</v>
      </c>
      <c r="DT59" s="19"/>
      <c r="DU59" s="19"/>
      <c r="DV59" s="19"/>
      <c r="DX59" s="8">
        <v>9</v>
      </c>
      <c r="DY59" s="7"/>
      <c r="DZ59" s="19" t="s">
        <v>180</v>
      </c>
      <c r="EA59" s="19"/>
      <c r="EB59" s="19"/>
      <c r="EC59" s="19"/>
      <c r="EE59" s="8">
        <v>10</v>
      </c>
      <c r="EF59" s="7" t="s">
        <v>113</v>
      </c>
      <c r="EG59" s="19" t="s">
        <v>455</v>
      </c>
      <c r="EH59" s="19"/>
      <c r="EI59" s="19"/>
      <c r="EJ59" s="19"/>
      <c r="EL59" s="8">
        <v>10</v>
      </c>
      <c r="EM59" s="7"/>
      <c r="EN59" s="19" t="s">
        <v>180</v>
      </c>
      <c r="EO59" s="19"/>
      <c r="EP59" s="19"/>
      <c r="EQ59" s="19"/>
      <c r="ES59" s="8">
        <v>10</v>
      </c>
      <c r="ET59" s="7"/>
      <c r="EU59" s="19" t="s">
        <v>180</v>
      </c>
      <c r="EV59" s="19"/>
      <c r="EW59" s="19"/>
      <c r="EX59" s="19"/>
      <c r="EZ59" s="8">
        <v>10</v>
      </c>
      <c r="FA59" s="7"/>
      <c r="FB59" s="19"/>
      <c r="FC59" s="19"/>
      <c r="FD59" s="19"/>
      <c r="FE59" s="19"/>
      <c r="FG59" s="8"/>
      <c r="FH59" s="7"/>
      <c r="FI59" s="19"/>
      <c r="FJ59" s="19"/>
      <c r="FK59" s="19"/>
      <c r="FL59" s="19"/>
      <c r="FN59" s="8"/>
      <c r="FO59" s="7"/>
      <c r="FP59" s="19"/>
      <c r="FQ59" s="19"/>
      <c r="FR59" s="19"/>
      <c r="FS59" s="19"/>
      <c r="FU59" s="8"/>
      <c r="FV59" s="7"/>
      <c r="FW59" s="19"/>
      <c r="FX59" s="19"/>
      <c r="FY59" s="19"/>
      <c r="FZ59" s="19"/>
      <c r="GB59" s="8"/>
      <c r="GC59" s="7"/>
      <c r="GD59" s="19"/>
      <c r="GE59" s="19"/>
      <c r="GF59" s="19"/>
      <c r="GG59" s="19"/>
      <c r="GI59" s="8"/>
      <c r="GJ59" s="7"/>
      <c r="GK59" s="19"/>
      <c r="GL59" s="19"/>
      <c r="GM59" s="19"/>
      <c r="GN59" s="19"/>
      <c r="GP59" s="8"/>
      <c r="GQ59" s="7"/>
      <c r="GR59" s="19"/>
      <c r="GS59" s="19"/>
      <c r="GT59" s="19"/>
      <c r="GU59" s="19"/>
      <c r="GW59" s="8"/>
      <c r="GX59" s="7"/>
      <c r="GY59" s="19"/>
      <c r="GZ59" s="19"/>
      <c r="HA59" s="19"/>
      <c r="HB59" s="19"/>
      <c r="HD59" s="8"/>
      <c r="HE59" s="7"/>
      <c r="HF59" s="19"/>
      <c r="HG59" s="19"/>
      <c r="HH59" s="19"/>
      <c r="HI59" s="19"/>
      <c r="HK59" s="8"/>
      <c r="HL59" s="7"/>
      <c r="HM59" s="19"/>
      <c r="HN59" s="19"/>
      <c r="HO59" s="19"/>
      <c r="HP59" s="19"/>
      <c r="HR59" s="8"/>
      <c r="HS59" s="7"/>
      <c r="HT59" s="19"/>
      <c r="HU59" s="19"/>
      <c r="HV59" s="19"/>
      <c r="HW59" s="19"/>
      <c r="HY59" s="8"/>
      <c r="HZ59" s="7"/>
      <c r="IA59" s="19"/>
      <c r="IB59" s="19"/>
      <c r="IC59" s="19"/>
      <c r="ID59" s="19"/>
      <c r="IF59" s="8"/>
      <c r="IG59" s="7"/>
      <c r="IH59" s="19"/>
      <c r="II59" s="19"/>
      <c r="IJ59" s="19"/>
      <c r="IK59" s="19"/>
      <c r="IM59" s="8"/>
      <c r="IN59" s="7"/>
      <c r="IO59" s="19"/>
      <c r="IP59" s="19"/>
      <c r="IQ59" s="19"/>
      <c r="IR59" s="19"/>
      <c r="IT59" s="8"/>
      <c r="IU59" s="7"/>
      <c r="IV59" s="19"/>
      <c r="IW59" s="19"/>
      <c r="IX59" s="19"/>
      <c r="IY59" s="19"/>
      <c r="JA59" s="8"/>
      <c r="JB59" s="7"/>
      <c r="JC59" s="19"/>
      <c r="JD59" s="19"/>
      <c r="JE59" s="19"/>
      <c r="JF59" s="19"/>
      <c r="JH59" s="8"/>
      <c r="JI59" s="7"/>
      <c r="JJ59" s="19"/>
      <c r="JK59" s="19"/>
      <c r="JL59" s="19"/>
      <c r="JM59" s="19"/>
      <c r="JO59" s="8"/>
      <c r="JP59" s="7"/>
      <c r="JQ59" s="19"/>
      <c r="JR59" s="19"/>
      <c r="JS59" s="19"/>
      <c r="JT59" s="19"/>
      <c r="JV59" s="8"/>
      <c r="JW59" s="7"/>
      <c r="JX59" s="19"/>
      <c r="JY59" s="19"/>
      <c r="JZ59" s="19"/>
      <c r="KA59" s="19"/>
      <c r="KC59" s="8"/>
      <c r="KD59" s="7"/>
      <c r="KE59" s="19"/>
      <c r="KF59" s="19"/>
      <c r="KG59" s="19"/>
      <c r="KH59" s="19"/>
      <c r="KJ59" s="8"/>
      <c r="KK59" s="7"/>
      <c r="KL59" s="19"/>
      <c r="KM59" s="19"/>
      <c r="KN59" s="19"/>
      <c r="KO59" s="19"/>
      <c r="KQ59" s="8"/>
      <c r="KR59" s="7"/>
      <c r="KS59" s="19"/>
      <c r="KT59" s="19"/>
      <c r="KU59" s="19"/>
      <c r="KV59" s="19"/>
      <c r="KX59" s="8"/>
      <c r="KY59" s="7"/>
      <c r="KZ59" s="19"/>
      <c r="LA59" s="19"/>
      <c r="LB59" s="19"/>
      <c r="LC59" s="19"/>
      <c r="LE59" s="8"/>
      <c r="LF59" s="7"/>
      <c r="LG59" s="19"/>
      <c r="LH59" s="19"/>
      <c r="LI59" s="19"/>
      <c r="LJ59" s="19"/>
      <c r="LL59" s="8"/>
      <c r="LM59" s="7"/>
      <c r="LN59" s="19"/>
      <c r="LO59" s="19"/>
      <c r="LP59" s="19"/>
      <c r="LQ59" s="19"/>
      <c r="LS59" s="8"/>
      <c r="LT59" s="7"/>
      <c r="LU59" s="19"/>
      <c r="LV59" s="19"/>
      <c r="LW59" s="19"/>
      <c r="LX59" s="19"/>
      <c r="LZ59" s="8"/>
      <c r="MA59" s="7"/>
      <c r="MB59" s="19"/>
      <c r="MC59" s="19"/>
      <c r="MD59" s="19"/>
      <c r="ME59" s="19"/>
      <c r="MG59" s="8"/>
      <c r="MH59" s="7"/>
      <c r="MI59" s="19"/>
      <c r="MJ59" s="19"/>
      <c r="MK59" s="19"/>
      <c r="ML59" s="19"/>
      <c r="MN59" s="8"/>
      <c r="MO59" s="7"/>
      <c r="MP59" s="19"/>
      <c r="MQ59" s="19"/>
      <c r="MR59" s="19"/>
      <c r="MS59" s="19"/>
      <c r="MU59" s="8"/>
      <c r="MV59" s="7"/>
      <c r="MW59" s="19"/>
      <c r="MX59" s="19"/>
      <c r="MY59" s="19"/>
      <c r="MZ59" s="19"/>
      <c r="NB59" s="8"/>
      <c r="NC59" s="7"/>
      <c r="ND59" s="19"/>
      <c r="NE59" s="19"/>
      <c r="NF59" s="19"/>
      <c r="NG59" s="19"/>
      <c r="NI59" s="8"/>
      <c r="NJ59" s="7"/>
      <c r="NK59" s="19"/>
      <c r="NL59" s="19"/>
      <c r="NM59" s="19"/>
      <c r="NN59" s="19"/>
      <c r="NP59" s="8"/>
      <c r="NQ59" s="7"/>
      <c r="NR59" s="19"/>
      <c r="NS59" s="19"/>
      <c r="NT59" s="19"/>
      <c r="NU59" s="19"/>
      <c r="NW59" s="8"/>
      <c r="NX59" s="7"/>
      <c r="NY59" s="19"/>
      <c r="NZ59" s="19"/>
      <c r="OA59" s="19"/>
      <c r="OB59" s="19"/>
      <c r="OD59" s="8"/>
      <c r="OE59" s="7"/>
      <c r="OF59" s="19"/>
      <c r="OG59" s="19"/>
      <c r="OH59" s="19"/>
      <c r="OI59" s="19"/>
      <c r="OK59" s="8"/>
      <c r="OL59" s="7"/>
      <c r="OM59" s="19"/>
      <c r="ON59" s="19"/>
      <c r="OO59" s="19"/>
      <c r="OP59" s="19"/>
      <c r="OR59" s="8"/>
      <c r="OS59" s="7"/>
      <c r="OT59" s="19"/>
      <c r="OU59" s="19"/>
      <c r="OV59" s="19"/>
      <c r="OW59" s="19"/>
      <c r="OY59" s="8"/>
      <c r="OZ59" s="7"/>
      <c r="PA59" s="19"/>
      <c r="PB59" s="19"/>
      <c r="PC59" s="19"/>
      <c r="PD59" s="19"/>
      <c r="PF59" s="8"/>
      <c r="PG59" s="7"/>
      <c r="PH59" s="19"/>
      <c r="PI59" s="19"/>
      <c r="PJ59" s="19"/>
      <c r="PK59" s="19"/>
      <c r="PM59" s="8"/>
    </row>
    <row r="60" spans="1:429" s="1" customFormat="1" ht="26" customHeight="1" outlineLevel="1">
      <c r="B60" s="471"/>
      <c r="C60" s="7"/>
      <c r="D60" s="19"/>
      <c r="E60" s="19"/>
      <c r="F60" s="19"/>
      <c r="G60" s="19"/>
      <c r="I60" s="8"/>
      <c r="J60" s="7"/>
      <c r="K60" s="19"/>
      <c r="L60" s="19"/>
      <c r="M60" s="19"/>
      <c r="N60" s="19"/>
      <c r="P60" s="8"/>
      <c r="Q60" s="7"/>
      <c r="R60" s="19"/>
      <c r="S60" s="19"/>
      <c r="T60" s="19"/>
      <c r="U60" s="19"/>
      <c r="W60" s="8"/>
      <c r="X60" s="7"/>
      <c r="Y60" s="19"/>
      <c r="Z60" s="19"/>
      <c r="AA60" s="19"/>
      <c r="AB60" s="19"/>
      <c r="AD60" s="8"/>
      <c r="AE60" s="7"/>
      <c r="AF60" s="19"/>
      <c r="AG60" s="19"/>
      <c r="AH60" s="19"/>
      <c r="AI60" s="19"/>
      <c r="AK60" s="8"/>
      <c r="AL60" s="7"/>
      <c r="AM60" s="19"/>
      <c r="AN60" s="19"/>
      <c r="AO60" s="19"/>
      <c r="AP60" s="19"/>
      <c r="AR60" s="8"/>
      <c r="AS60" s="7"/>
      <c r="AT60" s="19"/>
      <c r="AU60" s="19"/>
      <c r="AV60" s="19"/>
      <c r="AW60" s="19"/>
      <c r="AY60" s="8"/>
      <c r="AZ60" s="7"/>
      <c r="BA60" s="19"/>
      <c r="BB60" s="19"/>
      <c r="BC60" s="19"/>
      <c r="BD60" s="19"/>
      <c r="BF60" s="8"/>
      <c r="BG60" s="7"/>
      <c r="BH60" s="19"/>
      <c r="BI60" s="19"/>
      <c r="BJ60" s="19"/>
      <c r="BK60" s="19"/>
      <c r="BM60" s="8"/>
      <c r="BN60" s="7"/>
      <c r="BO60" s="19"/>
      <c r="BP60" s="19"/>
      <c r="BQ60" s="19"/>
      <c r="BR60" s="19"/>
      <c r="BT60" s="8"/>
      <c r="BU60" s="7"/>
      <c r="BV60" s="19"/>
      <c r="BW60" s="19"/>
      <c r="BX60" s="19"/>
      <c r="BY60" s="19"/>
      <c r="CA60" s="8"/>
      <c r="CB60" s="7"/>
      <c r="CC60" s="19"/>
      <c r="CD60" s="19"/>
      <c r="CE60" s="19"/>
      <c r="CF60" s="19"/>
      <c r="CH60" s="8"/>
      <c r="CI60" s="7"/>
      <c r="CJ60" s="19"/>
      <c r="CK60" s="19"/>
      <c r="CL60" s="19"/>
      <c r="CM60" s="19"/>
      <c r="CO60" s="8"/>
      <c r="CP60" s="7"/>
      <c r="CQ60" s="19"/>
      <c r="CR60" s="19"/>
      <c r="CS60" s="19"/>
      <c r="CT60" s="19"/>
      <c r="CV60" s="8"/>
      <c r="CW60" s="7"/>
      <c r="CX60" s="19"/>
      <c r="CY60" s="19"/>
      <c r="CZ60" s="19"/>
      <c r="DA60" s="19"/>
      <c r="DC60" s="8"/>
      <c r="DD60" s="7"/>
      <c r="DE60" s="19"/>
      <c r="DF60" s="19"/>
      <c r="DG60" s="19"/>
      <c r="DH60" s="19"/>
      <c r="DJ60" s="8"/>
      <c r="DK60" s="7" t="s">
        <v>114</v>
      </c>
      <c r="DL60" s="19" t="s">
        <v>179</v>
      </c>
      <c r="DM60" s="19"/>
      <c r="DN60" s="19"/>
      <c r="DO60" s="19"/>
      <c r="DP60" s="1" t="s">
        <v>181</v>
      </c>
      <c r="DQ60" s="8">
        <v>12</v>
      </c>
      <c r="DR60" s="7"/>
      <c r="DS60" s="19" t="s">
        <v>180</v>
      </c>
      <c r="DT60" s="19"/>
      <c r="DU60" s="19"/>
      <c r="DV60" s="19"/>
      <c r="DW60" s="1" t="s">
        <v>181</v>
      </c>
      <c r="DX60" s="8">
        <v>12</v>
      </c>
      <c r="DY60" s="7"/>
      <c r="DZ60" s="19" t="s">
        <v>180</v>
      </c>
      <c r="EA60" s="19"/>
      <c r="EB60" s="19"/>
      <c r="EC60" s="19"/>
      <c r="ED60" s="1" t="s">
        <v>181</v>
      </c>
      <c r="EE60" s="8">
        <v>12</v>
      </c>
      <c r="EF60" s="7" t="s">
        <v>114</v>
      </c>
      <c r="EG60" s="19" t="s">
        <v>456</v>
      </c>
      <c r="EH60" s="19"/>
      <c r="EI60" s="19"/>
      <c r="EJ60" s="19"/>
      <c r="EL60" s="8">
        <v>8</v>
      </c>
      <c r="EM60" s="7"/>
      <c r="EN60" s="19" t="s">
        <v>180</v>
      </c>
      <c r="EO60" s="19"/>
      <c r="EP60" s="19"/>
      <c r="EQ60" s="19"/>
      <c r="ES60" s="8">
        <v>9</v>
      </c>
      <c r="ET60" s="7"/>
      <c r="EU60" s="19" t="s">
        <v>180</v>
      </c>
      <c r="EV60" s="19"/>
      <c r="EW60" s="19"/>
      <c r="EX60" s="19"/>
      <c r="EZ60" s="8">
        <v>10</v>
      </c>
      <c r="FA60" s="7"/>
      <c r="FB60" s="19"/>
      <c r="FC60" s="19"/>
      <c r="FD60" s="19"/>
      <c r="FE60" s="19"/>
      <c r="FG60" s="8"/>
      <c r="FH60" s="7"/>
      <c r="FI60" s="19"/>
      <c r="FJ60" s="19"/>
      <c r="FK60" s="19"/>
      <c r="FL60" s="19"/>
      <c r="FN60" s="8"/>
      <c r="FO60" s="7"/>
      <c r="FP60" s="19"/>
      <c r="FQ60" s="19"/>
      <c r="FR60" s="19"/>
      <c r="FS60" s="19"/>
      <c r="FU60" s="8"/>
      <c r="FV60" s="7"/>
      <c r="FW60" s="19"/>
      <c r="FX60" s="19"/>
      <c r="FY60" s="19"/>
      <c r="FZ60" s="19"/>
      <c r="GB60" s="8"/>
      <c r="GC60" s="7"/>
      <c r="GD60" s="19"/>
      <c r="GE60" s="19"/>
      <c r="GF60" s="19"/>
      <c r="GG60" s="19"/>
      <c r="GI60" s="8"/>
      <c r="GJ60" s="7"/>
      <c r="GK60" s="19"/>
      <c r="GL60" s="19"/>
      <c r="GM60" s="19"/>
      <c r="GN60" s="19"/>
      <c r="GP60" s="8"/>
      <c r="GQ60" s="7"/>
      <c r="GR60" s="19"/>
      <c r="GS60" s="19"/>
      <c r="GT60" s="19"/>
      <c r="GU60" s="19"/>
      <c r="GW60" s="8"/>
      <c r="GX60" s="7"/>
      <c r="GY60" s="19"/>
      <c r="GZ60" s="19"/>
      <c r="HA60" s="19"/>
      <c r="HB60" s="19"/>
      <c r="HD60" s="8"/>
      <c r="HE60" s="7"/>
      <c r="HF60" s="19"/>
      <c r="HG60" s="19"/>
      <c r="HH60" s="19"/>
      <c r="HI60" s="19"/>
      <c r="HK60" s="8"/>
      <c r="HL60" s="7"/>
      <c r="HM60" s="19"/>
      <c r="HN60" s="19"/>
      <c r="HO60" s="19"/>
      <c r="HP60" s="19"/>
      <c r="HR60" s="8"/>
      <c r="HS60" s="7"/>
      <c r="HT60" s="19"/>
      <c r="HU60" s="19"/>
      <c r="HV60" s="19"/>
      <c r="HW60" s="19"/>
      <c r="HY60" s="8"/>
      <c r="HZ60" s="7"/>
      <c r="IA60" s="19"/>
      <c r="IB60" s="19"/>
      <c r="IC60" s="19"/>
      <c r="ID60" s="19"/>
      <c r="IF60" s="8"/>
      <c r="IG60" s="7"/>
      <c r="IH60" s="19"/>
      <c r="II60" s="19"/>
      <c r="IJ60" s="19"/>
      <c r="IK60" s="19"/>
      <c r="IM60" s="8"/>
      <c r="IN60" s="7"/>
      <c r="IO60" s="19"/>
      <c r="IP60" s="19"/>
      <c r="IQ60" s="19"/>
      <c r="IR60" s="19"/>
      <c r="IT60" s="8"/>
      <c r="IU60" s="7"/>
      <c r="IV60" s="19"/>
      <c r="IW60" s="19"/>
      <c r="IX60" s="19"/>
      <c r="IY60" s="19"/>
      <c r="JA60" s="8"/>
      <c r="JB60" s="7"/>
      <c r="JC60" s="19"/>
      <c r="JD60" s="19"/>
      <c r="JE60" s="19"/>
      <c r="JF60" s="19"/>
      <c r="JH60" s="8"/>
      <c r="JI60" s="7"/>
      <c r="JJ60" s="19"/>
      <c r="JK60" s="19"/>
      <c r="JL60" s="19"/>
      <c r="JM60" s="19"/>
      <c r="JO60" s="8"/>
      <c r="JP60" s="7"/>
      <c r="JQ60" s="19"/>
      <c r="JR60" s="19"/>
      <c r="JS60" s="19"/>
      <c r="JT60" s="19"/>
      <c r="JV60" s="8"/>
      <c r="JW60" s="7"/>
      <c r="JX60" s="19"/>
      <c r="JY60" s="19"/>
      <c r="JZ60" s="19"/>
      <c r="KA60" s="19"/>
      <c r="KC60" s="8"/>
      <c r="KD60" s="7"/>
      <c r="KE60" s="19"/>
      <c r="KF60" s="19"/>
      <c r="KG60" s="19"/>
      <c r="KH60" s="19"/>
      <c r="KJ60" s="8"/>
      <c r="KK60" s="7"/>
      <c r="KL60" s="19"/>
      <c r="KM60" s="19"/>
      <c r="KN60" s="19"/>
      <c r="KO60" s="19"/>
      <c r="KQ60" s="8"/>
      <c r="KR60" s="7"/>
      <c r="KS60" s="19"/>
      <c r="KT60" s="19"/>
      <c r="KU60" s="19"/>
      <c r="KV60" s="19"/>
      <c r="KX60" s="8"/>
      <c r="KY60" s="7"/>
      <c r="KZ60" s="19"/>
      <c r="LA60" s="19"/>
      <c r="LB60" s="19"/>
      <c r="LC60" s="19"/>
      <c r="LE60" s="8"/>
      <c r="LF60" s="7"/>
      <c r="LG60" s="19"/>
      <c r="LH60" s="19"/>
      <c r="LI60" s="19"/>
      <c r="LJ60" s="19"/>
      <c r="LL60" s="8"/>
      <c r="LM60" s="7"/>
      <c r="LN60" s="19"/>
      <c r="LO60" s="19"/>
      <c r="LP60" s="19"/>
      <c r="LQ60" s="19"/>
      <c r="LS60" s="8"/>
      <c r="LT60" s="7"/>
      <c r="LU60" s="19"/>
      <c r="LV60" s="19"/>
      <c r="LW60" s="19"/>
      <c r="LX60" s="19"/>
      <c r="LZ60" s="8"/>
      <c r="MA60" s="7"/>
      <c r="MB60" s="19"/>
      <c r="MC60" s="19"/>
      <c r="MD60" s="19"/>
      <c r="ME60" s="19"/>
      <c r="MG60" s="8"/>
      <c r="MH60" s="7"/>
      <c r="MI60" s="19"/>
      <c r="MJ60" s="19"/>
      <c r="MK60" s="19"/>
      <c r="ML60" s="19"/>
      <c r="MN60" s="8"/>
      <c r="MO60" s="7"/>
      <c r="MP60" s="19"/>
      <c r="MQ60" s="19"/>
      <c r="MR60" s="19"/>
      <c r="MS60" s="19"/>
      <c r="MU60" s="8"/>
      <c r="MV60" s="7"/>
      <c r="MW60" s="19"/>
      <c r="MX60" s="19"/>
      <c r="MY60" s="19"/>
      <c r="MZ60" s="19"/>
      <c r="NB60" s="8"/>
      <c r="NC60" s="7"/>
      <c r="ND60" s="19"/>
      <c r="NE60" s="19"/>
      <c r="NF60" s="19"/>
      <c r="NG60" s="19"/>
      <c r="NI60" s="8"/>
      <c r="NJ60" s="7"/>
      <c r="NK60" s="19"/>
      <c r="NL60" s="19"/>
      <c r="NM60" s="19"/>
      <c r="NN60" s="19"/>
      <c r="NP60" s="8"/>
      <c r="NQ60" s="7"/>
      <c r="NR60" s="19"/>
      <c r="NS60" s="19"/>
      <c r="NT60" s="19"/>
      <c r="NU60" s="19"/>
      <c r="NW60" s="8"/>
      <c r="NX60" s="7"/>
      <c r="NY60" s="19"/>
      <c r="NZ60" s="19"/>
      <c r="OA60" s="19"/>
      <c r="OB60" s="19"/>
      <c r="OD60" s="8"/>
      <c r="OE60" s="7"/>
      <c r="OF60" s="19"/>
      <c r="OG60" s="19"/>
      <c r="OH60" s="19"/>
      <c r="OI60" s="19"/>
      <c r="OK60" s="8"/>
      <c r="OL60" s="7"/>
      <c r="OM60" s="19"/>
      <c r="ON60" s="19"/>
      <c r="OO60" s="19"/>
      <c r="OP60" s="19"/>
      <c r="OR60" s="8"/>
      <c r="OS60" s="7"/>
      <c r="OT60" s="19"/>
      <c r="OU60" s="19"/>
      <c r="OV60" s="19"/>
      <c r="OW60" s="19"/>
      <c r="OY60" s="8"/>
      <c r="OZ60" s="7"/>
      <c r="PA60" s="19"/>
      <c r="PB60" s="19"/>
      <c r="PC60" s="19"/>
      <c r="PD60" s="19"/>
      <c r="PF60" s="8"/>
      <c r="PG60" s="7"/>
      <c r="PH60" s="19"/>
      <c r="PI60" s="19"/>
      <c r="PJ60" s="19"/>
      <c r="PK60" s="19"/>
      <c r="PM60" s="8"/>
    </row>
    <row r="61" spans="1:429" s="1" customFormat="1" ht="26" customHeight="1" outlineLevel="1">
      <c r="B61" s="471"/>
      <c r="C61" s="7"/>
      <c r="D61" s="19"/>
      <c r="E61" s="19"/>
      <c r="F61" s="19"/>
      <c r="G61" s="19"/>
      <c r="I61" s="8"/>
      <c r="J61" s="7"/>
      <c r="K61" s="19"/>
      <c r="L61" s="19"/>
      <c r="M61" s="19"/>
      <c r="N61" s="19"/>
      <c r="P61" s="8"/>
      <c r="Q61" s="7"/>
      <c r="R61" s="19"/>
      <c r="S61" s="19"/>
      <c r="T61" s="19"/>
      <c r="U61" s="19"/>
      <c r="W61" s="8"/>
      <c r="X61" s="7"/>
      <c r="Y61" s="19"/>
      <c r="Z61" s="19"/>
      <c r="AA61" s="19"/>
      <c r="AB61" s="19"/>
      <c r="AD61" s="8"/>
      <c r="AE61" s="7"/>
      <c r="AF61" s="19"/>
      <c r="AG61" s="19"/>
      <c r="AH61" s="19"/>
      <c r="AI61" s="19"/>
      <c r="AK61" s="8"/>
      <c r="AL61" s="7"/>
      <c r="AM61" s="19"/>
      <c r="AN61" s="19"/>
      <c r="AO61" s="19"/>
      <c r="AP61" s="19"/>
      <c r="AR61" s="8"/>
      <c r="AS61" s="7"/>
      <c r="AT61" s="19"/>
      <c r="AU61" s="19"/>
      <c r="AV61" s="19"/>
      <c r="AW61" s="19"/>
      <c r="AY61" s="8"/>
      <c r="AZ61" s="7"/>
      <c r="BA61" s="19"/>
      <c r="BB61" s="19"/>
      <c r="BC61" s="19"/>
      <c r="BD61" s="19"/>
      <c r="BF61" s="8"/>
      <c r="BG61" s="7"/>
      <c r="BH61" s="19"/>
      <c r="BI61" s="19"/>
      <c r="BJ61" s="19"/>
      <c r="BK61" s="19"/>
      <c r="BM61" s="8"/>
      <c r="BN61" s="7"/>
      <c r="BO61" s="19"/>
      <c r="BP61" s="19"/>
      <c r="BQ61" s="19"/>
      <c r="BR61" s="19"/>
      <c r="BT61" s="8"/>
      <c r="BU61" s="7"/>
      <c r="BV61" s="19"/>
      <c r="BW61" s="19"/>
      <c r="BX61" s="19"/>
      <c r="BY61" s="19"/>
      <c r="CA61" s="8"/>
      <c r="CB61" s="7"/>
      <c r="CC61" s="19"/>
      <c r="CD61" s="19"/>
      <c r="CE61" s="19"/>
      <c r="CF61" s="19"/>
      <c r="CH61" s="8"/>
      <c r="CI61" s="7"/>
      <c r="CJ61" s="19"/>
      <c r="CK61" s="19"/>
      <c r="CL61" s="19"/>
      <c r="CM61" s="19"/>
      <c r="CO61" s="8"/>
      <c r="CP61" s="7"/>
      <c r="CQ61" s="19"/>
      <c r="CR61" s="19"/>
      <c r="CS61" s="19"/>
      <c r="CT61" s="19"/>
      <c r="CV61" s="8"/>
      <c r="CW61" s="7"/>
      <c r="CX61" s="19"/>
      <c r="CY61" s="19"/>
      <c r="CZ61" s="19"/>
      <c r="DA61" s="19"/>
      <c r="DC61" s="8"/>
      <c r="DD61" s="7"/>
      <c r="DE61" s="19"/>
      <c r="DF61" s="19"/>
      <c r="DG61" s="19"/>
      <c r="DH61" s="19"/>
      <c r="DJ61" s="8"/>
      <c r="DK61" s="7"/>
      <c r="DL61" s="19"/>
      <c r="DM61" s="19"/>
      <c r="DN61" s="19"/>
      <c r="DO61" s="19"/>
      <c r="DQ61" s="8"/>
      <c r="DR61" s="7"/>
      <c r="DS61" s="19"/>
      <c r="DT61" s="19"/>
      <c r="DU61" s="19"/>
      <c r="DV61" s="19"/>
      <c r="DX61" s="8"/>
      <c r="DY61" s="7"/>
      <c r="DZ61" s="19"/>
      <c r="EA61" s="19"/>
      <c r="EB61" s="19"/>
      <c r="EC61" s="19"/>
      <c r="EE61" s="8"/>
      <c r="EF61" s="7" t="s">
        <v>115</v>
      </c>
      <c r="EG61" s="19" t="s">
        <v>457</v>
      </c>
      <c r="EH61" s="19"/>
      <c r="EI61" s="19"/>
      <c r="EJ61" s="19"/>
      <c r="EK61" s="1" t="s">
        <v>181</v>
      </c>
      <c r="EL61" s="8">
        <v>12</v>
      </c>
      <c r="EM61" s="7"/>
      <c r="EN61" s="19" t="s">
        <v>180</v>
      </c>
      <c r="EO61" s="19"/>
      <c r="EP61" s="19"/>
      <c r="EQ61" s="19"/>
      <c r="ES61" s="8">
        <v>12</v>
      </c>
      <c r="ET61" s="7"/>
      <c r="EU61" s="19" t="s">
        <v>180</v>
      </c>
      <c r="EV61" s="19"/>
      <c r="EW61" s="19"/>
      <c r="EX61" s="19"/>
      <c r="EZ61" s="8">
        <v>12</v>
      </c>
      <c r="FA61" s="7"/>
      <c r="FB61" s="19"/>
      <c r="FC61" s="19"/>
      <c r="FD61" s="19"/>
      <c r="FE61" s="19"/>
      <c r="FG61" s="8"/>
      <c r="FH61" s="7"/>
      <c r="FI61" s="19"/>
      <c r="FJ61" s="19"/>
      <c r="FK61" s="19"/>
      <c r="FL61" s="19"/>
      <c r="FN61" s="8"/>
      <c r="FO61" s="7"/>
      <c r="FP61" s="19"/>
      <c r="FQ61" s="19"/>
      <c r="FR61" s="19"/>
      <c r="FS61" s="19"/>
      <c r="FU61" s="8"/>
      <c r="FV61" s="7"/>
      <c r="FW61" s="19"/>
      <c r="FX61" s="19"/>
      <c r="FY61" s="19"/>
      <c r="FZ61" s="19"/>
      <c r="GB61" s="8"/>
      <c r="GC61" s="7"/>
      <c r="GD61" s="19"/>
      <c r="GE61" s="19"/>
      <c r="GF61" s="19"/>
      <c r="GG61" s="19"/>
      <c r="GI61" s="8"/>
      <c r="GJ61" s="7"/>
      <c r="GK61" s="19"/>
      <c r="GL61" s="19"/>
      <c r="GM61" s="19"/>
      <c r="GN61" s="19"/>
      <c r="GP61" s="8"/>
      <c r="GQ61" s="7"/>
      <c r="GR61" s="19"/>
      <c r="GS61" s="19"/>
      <c r="GT61" s="19"/>
      <c r="GU61" s="19"/>
      <c r="GW61" s="8"/>
      <c r="GX61" s="7"/>
      <c r="GY61" s="19"/>
      <c r="GZ61" s="19"/>
      <c r="HA61" s="19"/>
      <c r="HB61" s="19"/>
      <c r="HD61" s="8"/>
      <c r="HE61" s="7"/>
      <c r="HF61" s="19"/>
      <c r="HG61" s="19"/>
      <c r="HH61" s="19"/>
      <c r="HI61" s="19"/>
      <c r="HK61" s="8"/>
      <c r="HL61" s="7"/>
      <c r="HM61" s="19"/>
      <c r="HN61" s="19"/>
      <c r="HO61" s="19"/>
      <c r="HP61" s="19"/>
      <c r="HR61" s="8"/>
      <c r="HS61" s="7"/>
      <c r="HT61" s="19"/>
      <c r="HU61" s="19"/>
      <c r="HV61" s="19"/>
      <c r="HW61" s="19"/>
      <c r="HY61" s="8"/>
      <c r="HZ61" s="7"/>
      <c r="IA61" s="19"/>
      <c r="IB61" s="19"/>
      <c r="IC61" s="19"/>
      <c r="ID61" s="19"/>
      <c r="IF61" s="8"/>
      <c r="IG61" s="7"/>
      <c r="IH61" s="19"/>
      <c r="II61" s="19"/>
      <c r="IJ61" s="19"/>
      <c r="IK61" s="19"/>
      <c r="IM61" s="8"/>
      <c r="IN61" s="7"/>
      <c r="IO61" s="19"/>
      <c r="IP61" s="19"/>
      <c r="IQ61" s="19"/>
      <c r="IR61" s="19"/>
      <c r="IT61" s="8"/>
      <c r="IU61" s="7"/>
      <c r="IV61" s="19"/>
      <c r="IW61" s="19"/>
      <c r="IX61" s="19"/>
      <c r="IY61" s="19"/>
      <c r="JA61" s="8"/>
      <c r="JB61" s="7"/>
      <c r="JC61" s="19"/>
      <c r="JD61" s="19"/>
      <c r="JE61" s="19"/>
      <c r="JF61" s="19"/>
      <c r="JH61" s="8"/>
      <c r="JI61" s="7"/>
      <c r="JJ61" s="19"/>
      <c r="JK61" s="19"/>
      <c r="JL61" s="19"/>
      <c r="JM61" s="19"/>
      <c r="JO61" s="8"/>
      <c r="JP61" s="7"/>
      <c r="JQ61" s="19"/>
      <c r="JR61" s="19"/>
      <c r="JS61" s="19"/>
      <c r="JT61" s="19"/>
      <c r="JV61" s="8"/>
      <c r="JW61" s="7"/>
      <c r="JX61" s="19"/>
      <c r="JY61" s="19"/>
      <c r="JZ61" s="19"/>
      <c r="KA61" s="19"/>
      <c r="KC61" s="8"/>
      <c r="KD61" s="7"/>
      <c r="KE61" s="19"/>
      <c r="KF61" s="19"/>
      <c r="KG61" s="19"/>
      <c r="KH61" s="19"/>
      <c r="KJ61" s="8"/>
      <c r="KK61" s="7"/>
      <c r="KL61" s="19"/>
      <c r="KM61" s="19"/>
      <c r="KN61" s="19"/>
      <c r="KO61" s="19"/>
      <c r="KQ61" s="8"/>
      <c r="KR61" s="7"/>
      <c r="KS61" s="19"/>
      <c r="KT61" s="19"/>
      <c r="KU61" s="19"/>
      <c r="KV61" s="19"/>
      <c r="KX61" s="8"/>
      <c r="KY61" s="7"/>
      <c r="KZ61" s="19"/>
      <c r="LA61" s="19"/>
      <c r="LB61" s="19"/>
      <c r="LC61" s="19"/>
      <c r="LE61" s="8"/>
      <c r="LF61" s="7"/>
      <c r="LG61" s="19"/>
      <c r="LH61" s="19"/>
      <c r="LI61" s="19"/>
      <c r="LJ61" s="19"/>
      <c r="LL61" s="8"/>
      <c r="LM61" s="7"/>
      <c r="LN61" s="19"/>
      <c r="LO61" s="19"/>
      <c r="LP61" s="19"/>
      <c r="LQ61" s="19"/>
      <c r="LS61" s="8"/>
      <c r="LT61" s="7"/>
      <c r="LU61" s="19"/>
      <c r="LV61" s="19"/>
      <c r="LW61" s="19"/>
      <c r="LX61" s="19"/>
      <c r="LZ61" s="8"/>
      <c r="MA61" s="7"/>
      <c r="MB61" s="19"/>
      <c r="MC61" s="19"/>
      <c r="MD61" s="19"/>
      <c r="ME61" s="19"/>
      <c r="MG61" s="8"/>
      <c r="MH61" s="7"/>
      <c r="MI61" s="19"/>
      <c r="MJ61" s="19"/>
      <c r="MK61" s="19"/>
      <c r="ML61" s="19"/>
      <c r="MN61" s="8"/>
      <c r="MO61" s="7"/>
      <c r="MP61" s="19"/>
      <c r="MQ61" s="19"/>
      <c r="MR61" s="19"/>
      <c r="MS61" s="19"/>
      <c r="MU61" s="8"/>
      <c r="MV61" s="7"/>
      <c r="MW61" s="19"/>
      <c r="MX61" s="19"/>
      <c r="MY61" s="19"/>
      <c r="MZ61" s="19"/>
      <c r="NB61" s="8"/>
      <c r="NC61" s="7"/>
      <c r="ND61" s="19"/>
      <c r="NE61" s="19"/>
      <c r="NF61" s="19"/>
      <c r="NG61" s="19"/>
      <c r="NI61" s="8"/>
      <c r="NJ61" s="7"/>
      <c r="NK61" s="19"/>
      <c r="NL61" s="19"/>
      <c r="NM61" s="19"/>
      <c r="NN61" s="19"/>
      <c r="NP61" s="8"/>
      <c r="NQ61" s="7"/>
      <c r="NR61" s="19"/>
      <c r="NS61" s="19"/>
      <c r="NT61" s="19"/>
      <c r="NU61" s="19"/>
      <c r="NW61" s="8"/>
      <c r="NX61" s="7"/>
      <c r="NY61" s="19"/>
      <c r="NZ61" s="19"/>
      <c r="OA61" s="19"/>
      <c r="OB61" s="19"/>
      <c r="OD61" s="8"/>
      <c r="OE61" s="7"/>
      <c r="OF61" s="19"/>
      <c r="OG61" s="19"/>
      <c r="OH61" s="19"/>
      <c r="OI61" s="19"/>
      <c r="OK61" s="8"/>
      <c r="OL61" s="7"/>
      <c r="OM61" s="19"/>
      <c r="ON61" s="19"/>
      <c r="OO61" s="19"/>
      <c r="OP61" s="19"/>
      <c r="OR61" s="8"/>
      <c r="OS61" s="7"/>
      <c r="OT61" s="19"/>
      <c r="OU61" s="19"/>
      <c r="OV61" s="19"/>
      <c r="OW61" s="19"/>
      <c r="OY61" s="8"/>
      <c r="OZ61" s="7"/>
      <c r="PA61" s="19"/>
      <c r="PB61" s="19"/>
      <c r="PC61" s="19"/>
      <c r="PD61" s="19"/>
      <c r="PF61" s="8"/>
      <c r="PG61" s="7"/>
      <c r="PH61" s="19"/>
      <c r="PI61" s="19"/>
      <c r="PJ61" s="19"/>
      <c r="PK61" s="19"/>
      <c r="PM61" s="8"/>
    </row>
    <row r="62" spans="1:429" s="1" customFormat="1" ht="26" customHeight="1" outlineLevel="1">
      <c r="B62" s="471"/>
      <c r="C62" s="7"/>
      <c r="D62" s="19"/>
      <c r="E62" s="19"/>
      <c r="F62" s="19"/>
      <c r="G62" s="19"/>
      <c r="I62" s="8"/>
      <c r="J62" s="7"/>
      <c r="K62" s="19"/>
      <c r="L62" s="19"/>
      <c r="M62" s="19"/>
      <c r="N62" s="19"/>
      <c r="P62" s="8"/>
      <c r="Q62" s="7"/>
      <c r="R62" s="19"/>
      <c r="S62" s="19"/>
      <c r="T62" s="19"/>
      <c r="U62" s="19"/>
      <c r="W62" s="8"/>
      <c r="X62" s="7"/>
      <c r="Y62" s="19"/>
      <c r="Z62" s="19"/>
      <c r="AA62" s="19"/>
      <c r="AB62" s="19"/>
      <c r="AD62" s="8"/>
      <c r="AE62" s="7"/>
      <c r="AF62" s="19"/>
      <c r="AG62" s="19"/>
      <c r="AH62" s="19"/>
      <c r="AI62" s="19"/>
      <c r="AK62" s="8"/>
      <c r="AL62" s="7"/>
      <c r="AM62" s="19"/>
      <c r="AN62" s="19"/>
      <c r="AO62" s="19"/>
      <c r="AP62" s="19"/>
      <c r="AR62" s="8"/>
      <c r="AS62" s="7"/>
      <c r="AT62" s="19"/>
      <c r="AU62" s="19"/>
      <c r="AV62" s="19"/>
      <c r="AW62" s="19"/>
      <c r="AY62" s="8"/>
      <c r="AZ62" s="7"/>
      <c r="BA62" s="19"/>
      <c r="BB62" s="19"/>
      <c r="BC62" s="19"/>
      <c r="BD62" s="19"/>
      <c r="BF62" s="8"/>
      <c r="BG62" s="7"/>
      <c r="BH62" s="19"/>
      <c r="BI62" s="19"/>
      <c r="BJ62" s="19"/>
      <c r="BK62" s="19"/>
      <c r="BM62" s="8"/>
      <c r="BN62" s="7"/>
      <c r="BO62" s="19"/>
      <c r="BP62" s="19"/>
      <c r="BQ62" s="19"/>
      <c r="BR62" s="19"/>
      <c r="BT62" s="8"/>
      <c r="BU62" s="7"/>
      <c r="BV62" s="19"/>
      <c r="BW62" s="19"/>
      <c r="BX62" s="19"/>
      <c r="BY62" s="19"/>
      <c r="CA62" s="8"/>
      <c r="CB62" s="7"/>
      <c r="CC62" s="19"/>
      <c r="CD62" s="19"/>
      <c r="CE62" s="19"/>
      <c r="CF62" s="19"/>
      <c r="CH62" s="8"/>
      <c r="CI62" s="7"/>
      <c r="CJ62" s="19"/>
      <c r="CK62" s="19"/>
      <c r="CL62" s="19"/>
      <c r="CM62" s="19"/>
      <c r="CO62" s="8"/>
      <c r="CP62" s="7"/>
      <c r="CQ62" s="19"/>
      <c r="CR62" s="19"/>
      <c r="CS62" s="19"/>
      <c r="CT62" s="19"/>
      <c r="CV62" s="8"/>
      <c r="CW62" s="7"/>
      <c r="CX62" s="19"/>
      <c r="CY62" s="19"/>
      <c r="CZ62" s="19"/>
      <c r="DA62" s="19"/>
      <c r="DC62" s="8"/>
      <c r="DD62" s="7"/>
      <c r="DE62" s="19"/>
      <c r="DF62" s="19"/>
      <c r="DG62" s="19"/>
      <c r="DH62" s="19"/>
      <c r="DJ62" s="8"/>
      <c r="DK62" s="7"/>
      <c r="DL62" s="19"/>
      <c r="DM62" s="19"/>
      <c r="DN62" s="19"/>
      <c r="DO62" s="19"/>
      <c r="DQ62" s="8"/>
      <c r="DR62" s="7"/>
      <c r="DS62" s="19"/>
      <c r="DT62" s="19"/>
      <c r="DU62" s="19"/>
      <c r="DV62" s="19"/>
      <c r="DX62" s="8"/>
      <c r="DY62" s="7"/>
      <c r="DZ62" s="19"/>
      <c r="EA62" s="19"/>
      <c r="EB62" s="19"/>
      <c r="EC62" s="19"/>
      <c r="EE62" s="8"/>
      <c r="EF62" s="7"/>
      <c r="EG62" s="19"/>
      <c r="EH62" s="19"/>
      <c r="EI62" s="19"/>
      <c r="EJ62" s="19"/>
      <c r="EL62" s="8"/>
      <c r="EM62" s="7"/>
      <c r="EN62" s="19"/>
      <c r="EO62" s="19"/>
      <c r="EP62" s="19"/>
      <c r="EQ62" s="19"/>
      <c r="ES62" s="8"/>
      <c r="ET62" s="7"/>
      <c r="EU62" s="19"/>
      <c r="EV62" s="19"/>
      <c r="EW62" s="19"/>
      <c r="EX62" s="19"/>
      <c r="EZ62" s="8"/>
      <c r="FA62" s="7"/>
      <c r="FB62" s="19"/>
      <c r="FC62" s="19"/>
      <c r="FD62" s="19"/>
      <c r="FE62" s="19"/>
      <c r="FG62" s="8"/>
      <c r="FH62" s="7"/>
      <c r="FI62" s="19"/>
      <c r="FJ62" s="19"/>
      <c r="FK62" s="19"/>
      <c r="FL62" s="19"/>
      <c r="FN62" s="8"/>
      <c r="FO62" s="7"/>
      <c r="FP62" s="19"/>
      <c r="FQ62" s="19"/>
      <c r="FR62" s="19"/>
      <c r="FS62" s="19"/>
      <c r="FU62" s="8"/>
      <c r="FV62" s="7"/>
      <c r="FW62" s="19"/>
      <c r="FX62" s="19"/>
      <c r="FY62" s="19"/>
      <c r="FZ62" s="19"/>
      <c r="GB62" s="8"/>
      <c r="GC62" s="7"/>
      <c r="GD62" s="19"/>
      <c r="GE62" s="19"/>
      <c r="GF62" s="19"/>
      <c r="GG62" s="19"/>
      <c r="GI62" s="8"/>
      <c r="GJ62" s="7"/>
      <c r="GK62" s="19"/>
      <c r="GL62" s="19"/>
      <c r="GM62" s="19"/>
      <c r="GN62" s="19"/>
      <c r="GP62" s="8"/>
      <c r="GQ62" s="7"/>
      <c r="GR62" s="19"/>
      <c r="GS62" s="19"/>
      <c r="GT62" s="19"/>
      <c r="GU62" s="19"/>
      <c r="GW62" s="8"/>
      <c r="GX62" s="7"/>
      <c r="GY62" s="19"/>
      <c r="GZ62" s="19"/>
      <c r="HA62" s="19"/>
      <c r="HB62" s="19"/>
      <c r="HD62" s="8"/>
      <c r="HE62" s="7"/>
      <c r="HF62" s="19"/>
      <c r="HG62" s="19"/>
      <c r="HH62" s="19"/>
      <c r="HI62" s="19"/>
      <c r="HK62" s="8"/>
      <c r="HL62" s="7"/>
      <c r="HM62" s="19"/>
      <c r="HN62" s="19"/>
      <c r="HO62" s="19"/>
      <c r="HP62" s="19"/>
      <c r="HR62" s="8"/>
      <c r="HS62" s="7"/>
      <c r="HT62" s="19"/>
      <c r="HU62" s="19"/>
      <c r="HV62" s="19"/>
      <c r="HW62" s="19"/>
      <c r="HY62" s="8"/>
      <c r="HZ62" s="7"/>
      <c r="IA62" s="19"/>
      <c r="IB62" s="19"/>
      <c r="IC62" s="19"/>
      <c r="ID62" s="19"/>
      <c r="IF62" s="8"/>
      <c r="IG62" s="7"/>
      <c r="IH62" s="19"/>
      <c r="II62" s="19"/>
      <c r="IJ62" s="19"/>
      <c r="IK62" s="19"/>
      <c r="IM62" s="8"/>
      <c r="IN62" s="7"/>
      <c r="IO62" s="19"/>
      <c r="IP62" s="19"/>
      <c r="IQ62" s="19"/>
      <c r="IR62" s="19"/>
      <c r="IT62" s="8"/>
      <c r="IU62" s="7"/>
      <c r="IV62" s="19"/>
      <c r="IW62" s="19"/>
      <c r="IX62" s="19"/>
      <c r="IY62" s="19"/>
      <c r="JA62" s="8"/>
      <c r="JB62" s="7"/>
      <c r="JC62" s="19"/>
      <c r="JD62" s="19"/>
      <c r="JE62" s="19"/>
      <c r="JF62" s="19"/>
      <c r="JH62" s="8"/>
      <c r="JI62" s="7"/>
      <c r="JJ62" s="19"/>
      <c r="JK62" s="19"/>
      <c r="JL62" s="19"/>
      <c r="JM62" s="19"/>
      <c r="JO62" s="8"/>
      <c r="JP62" s="7"/>
      <c r="JQ62" s="19"/>
      <c r="JR62" s="19"/>
      <c r="JS62" s="19"/>
      <c r="JT62" s="19"/>
      <c r="JV62" s="8"/>
      <c r="JW62" s="7"/>
      <c r="JX62" s="19"/>
      <c r="JY62" s="19"/>
      <c r="JZ62" s="19"/>
      <c r="KA62" s="19"/>
      <c r="KC62" s="8"/>
      <c r="KD62" s="7"/>
      <c r="KE62" s="19"/>
      <c r="KF62" s="19"/>
      <c r="KG62" s="19"/>
      <c r="KH62" s="19"/>
      <c r="KJ62" s="8"/>
      <c r="KK62" s="7"/>
      <c r="KL62" s="19"/>
      <c r="KM62" s="19"/>
      <c r="KN62" s="19"/>
      <c r="KO62" s="19"/>
      <c r="KQ62" s="8"/>
      <c r="KR62" s="7"/>
      <c r="KS62" s="19"/>
      <c r="KT62" s="19"/>
      <c r="KU62" s="19"/>
      <c r="KV62" s="19"/>
      <c r="KX62" s="8"/>
      <c r="KY62" s="7"/>
      <c r="KZ62" s="19"/>
      <c r="LA62" s="19"/>
      <c r="LB62" s="19"/>
      <c r="LC62" s="19"/>
      <c r="LE62" s="8"/>
      <c r="LF62" s="7"/>
      <c r="LG62" s="19"/>
      <c r="LH62" s="19"/>
      <c r="LI62" s="19"/>
      <c r="LJ62" s="19"/>
      <c r="LL62" s="8"/>
      <c r="LM62" s="7"/>
      <c r="LN62" s="19"/>
      <c r="LO62" s="19"/>
      <c r="LP62" s="19"/>
      <c r="LQ62" s="19"/>
      <c r="LS62" s="8"/>
      <c r="LT62" s="7"/>
      <c r="LU62" s="19"/>
      <c r="LV62" s="19"/>
      <c r="LW62" s="19"/>
      <c r="LX62" s="19"/>
      <c r="LZ62" s="8"/>
      <c r="MA62" s="7"/>
      <c r="MB62" s="19"/>
      <c r="MC62" s="19"/>
      <c r="MD62" s="19"/>
      <c r="ME62" s="19"/>
      <c r="MG62" s="8"/>
      <c r="MH62" s="7"/>
      <c r="MI62" s="19"/>
      <c r="MJ62" s="19"/>
      <c r="MK62" s="19"/>
      <c r="ML62" s="19"/>
      <c r="MN62" s="8"/>
      <c r="MO62" s="7"/>
      <c r="MP62" s="19"/>
      <c r="MQ62" s="19"/>
      <c r="MR62" s="19"/>
      <c r="MS62" s="19"/>
      <c r="MU62" s="8"/>
      <c r="MV62" s="7"/>
      <c r="MW62" s="19"/>
      <c r="MX62" s="19"/>
      <c r="MY62" s="19"/>
      <c r="MZ62" s="19"/>
      <c r="NB62" s="8"/>
      <c r="NC62" s="7"/>
      <c r="ND62" s="19"/>
      <c r="NE62" s="19"/>
      <c r="NF62" s="19"/>
      <c r="NG62" s="19"/>
      <c r="NI62" s="8"/>
      <c r="NJ62" s="7"/>
      <c r="NK62" s="19"/>
      <c r="NL62" s="19"/>
      <c r="NM62" s="19"/>
      <c r="NN62" s="19"/>
      <c r="NP62" s="8"/>
      <c r="NQ62" s="7"/>
      <c r="NR62" s="19"/>
      <c r="NS62" s="19"/>
      <c r="NT62" s="19"/>
      <c r="NU62" s="19"/>
      <c r="NW62" s="8"/>
      <c r="NX62" s="7"/>
      <c r="NY62" s="19"/>
      <c r="NZ62" s="19"/>
      <c r="OA62" s="19"/>
      <c r="OB62" s="19"/>
      <c r="OD62" s="8"/>
      <c r="OE62" s="7"/>
      <c r="OF62" s="19"/>
      <c r="OG62" s="19"/>
      <c r="OH62" s="19"/>
      <c r="OI62" s="19"/>
      <c r="OK62" s="8"/>
      <c r="OL62" s="7"/>
      <c r="OM62" s="19"/>
      <c r="ON62" s="19"/>
      <c r="OO62" s="19"/>
      <c r="OP62" s="19"/>
      <c r="OR62" s="8"/>
      <c r="OS62" s="7"/>
      <c r="OT62" s="19"/>
      <c r="OU62" s="19"/>
      <c r="OV62" s="19"/>
      <c r="OW62" s="19"/>
      <c r="OY62" s="8"/>
      <c r="OZ62" s="7"/>
      <c r="PA62" s="19"/>
      <c r="PB62" s="19"/>
      <c r="PC62" s="19"/>
      <c r="PD62" s="19"/>
      <c r="PF62" s="8"/>
      <c r="PG62" s="7"/>
      <c r="PH62" s="19"/>
      <c r="PI62" s="19"/>
      <c r="PJ62" s="19"/>
      <c r="PK62" s="19"/>
      <c r="PM62" s="8"/>
    </row>
    <row r="63" spans="1:429" s="1" customFormat="1" ht="26" customHeight="1" outlineLevel="1">
      <c r="B63" s="471"/>
      <c r="C63" s="7"/>
      <c r="D63" s="19"/>
      <c r="E63" s="19"/>
      <c r="F63" s="19"/>
      <c r="G63" s="19"/>
      <c r="I63" s="8"/>
      <c r="J63" s="7"/>
      <c r="K63" s="19"/>
      <c r="L63" s="19"/>
      <c r="M63" s="19"/>
      <c r="N63" s="19"/>
      <c r="P63" s="8"/>
      <c r="Q63" s="7"/>
      <c r="R63" s="19"/>
      <c r="S63" s="19"/>
      <c r="T63" s="19"/>
      <c r="U63" s="19"/>
      <c r="W63" s="8"/>
      <c r="X63" s="7"/>
      <c r="Y63" s="19"/>
      <c r="Z63" s="19"/>
      <c r="AA63" s="19"/>
      <c r="AB63" s="19"/>
      <c r="AD63" s="8"/>
      <c r="AE63" s="7"/>
      <c r="AF63" s="19"/>
      <c r="AG63" s="19"/>
      <c r="AH63" s="19"/>
      <c r="AI63" s="19"/>
      <c r="AK63" s="8"/>
      <c r="AL63" s="7"/>
      <c r="AM63" s="19"/>
      <c r="AN63" s="19"/>
      <c r="AO63" s="19"/>
      <c r="AP63" s="19"/>
      <c r="AR63" s="8"/>
      <c r="AS63" s="7"/>
      <c r="AT63" s="19"/>
      <c r="AU63" s="19"/>
      <c r="AV63" s="19"/>
      <c r="AW63" s="19"/>
      <c r="AY63" s="8"/>
      <c r="AZ63" s="7"/>
      <c r="BA63" s="19"/>
      <c r="BB63" s="19"/>
      <c r="BC63" s="19"/>
      <c r="BD63" s="19"/>
      <c r="BF63" s="8"/>
      <c r="BG63" s="7"/>
      <c r="BH63" s="19"/>
      <c r="BI63" s="19"/>
      <c r="BJ63" s="19"/>
      <c r="BK63" s="19"/>
      <c r="BM63" s="8"/>
      <c r="BN63" s="7"/>
      <c r="BO63" s="19"/>
      <c r="BP63" s="19"/>
      <c r="BQ63" s="19"/>
      <c r="BR63" s="19"/>
      <c r="BT63" s="8"/>
      <c r="BU63" s="7"/>
      <c r="BV63" s="19"/>
      <c r="BW63" s="19"/>
      <c r="BX63" s="19"/>
      <c r="BY63" s="19"/>
      <c r="CA63" s="8"/>
      <c r="CB63" s="7"/>
      <c r="CC63" s="19"/>
      <c r="CD63" s="19"/>
      <c r="CE63" s="19"/>
      <c r="CF63" s="19"/>
      <c r="CH63" s="8"/>
      <c r="CI63" s="7"/>
      <c r="CJ63" s="19"/>
      <c r="CK63" s="19"/>
      <c r="CL63" s="19"/>
      <c r="CM63" s="19"/>
      <c r="CO63" s="8"/>
      <c r="CP63" s="7"/>
      <c r="CQ63" s="19"/>
      <c r="CR63" s="19"/>
      <c r="CS63" s="19"/>
      <c r="CT63" s="19"/>
      <c r="CV63" s="8"/>
      <c r="CW63" s="7"/>
      <c r="CX63" s="19"/>
      <c r="CY63" s="19"/>
      <c r="CZ63" s="19"/>
      <c r="DA63" s="19"/>
      <c r="DC63" s="8"/>
      <c r="DD63" s="7"/>
      <c r="DE63" s="19"/>
      <c r="DF63" s="19"/>
      <c r="DG63" s="19"/>
      <c r="DH63" s="19"/>
      <c r="DJ63" s="8"/>
      <c r="DK63" s="7"/>
      <c r="DL63" s="19"/>
      <c r="DM63" s="19"/>
      <c r="DN63" s="19"/>
      <c r="DO63" s="19"/>
      <c r="DQ63" s="8"/>
      <c r="DR63" s="7"/>
      <c r="DS63" s="19"/>
      <c r="DT63" s="19"/>
      <c r="DU63" s="19"/>
      <c r="DV63" s="19"/>
      <c r="DX63" s="8"/>
      <c r="DY63" s="7"/>
      <c r="DZ63" s="19"/>
      <c r="EA63" s="19"/>
      <c r="EB63" s="19"/>
      <c r="EC63" s="19"/>
      <c r="EE63" s="8"/>
      <c r="EF63" s="7"/>
      <c r="EG63" s="19"/>
      <c r="EH63" s="19"/>
      <c r="EI63" s="19"/>
      <c r="EJ63" s="19"/>
      <c r="EL63" s="8"/>
      <c r="EM63" s="7"/>
      <c r="EN63" s="19"/>
      <c r="EO63" s="19"/>
      <c r="EP63" s="19"/>
      <c r="EQ63" s="19"/>
      <c r="ES63" s="8"/>
      <c r="ET63" s="7"/>
      <c r="EU63" s="19"/>
      <c r="EV63" s="19"/>
      <c r="EW63" s="19"/>
      <c r="EX63" s="19"/>
      <c r="EZ63" s="8"/>
      <c r="FA63" s="7"/>
      <c r="FB63" s="19"/>
      <c r="FC63" s="19"/>
      <c r="FD63" s="19"/>
      <c r="FE63" s="19"/>
      <c r="FG63" s="8"/>
      <c r="FH63" s="7"/>
      <c r="FI63" s="19"/>
      <c r="FJ63" s="19"/>
      <c r="FK63" s="19"/>
      <c r="FL63" s="19"/>
      <c r="FN63" s="8"/>
      <c r="FO63" s="7"/>
      <c r="FP63" s="19"/>
      <c r="FQ63" s="19"/>
      <c r="FR63" s="19"/>
      <c r="FS63" s="19"/>
      <c r="FU63" s="8"/>
      <c r="FV63" s="7"/>
      <c r="FW63" s="19"/>
      <c r="FX63" s="19"/>
      <c r="FY63" s="19"/>
      <c r="FZ63" s="19"/>
      <c r="GB63" s="8"/>
      <c r="GC63" s="7"/>
      <c r="GD63" s="19"/>
      <c r="GE63" s="19"/>
      <c r="GF63" s="19"/>
      <c r="GG63" s="19"/>
      <c r="GI63" s="8"/>
      <c r="GJ63" s="7"/>
      <c r="GK63" s="19"/>
      <c r="GL63" s="19"/>
      <c r="GM63" s="19"/>
      <c r="GN63" s="19"/>
      <c r="GP63" s="8"/>
      <c r="GQ63" s="7"/>
      <c r="GR63" s="19"/>
      <c r="GS63" s="19"/>
      <c r="GT63" s="19"/>
      <c r="GU63" s="19"/>
      <c r="GW63" s="8"/>
      <c r="GX63" s="7"/>
      <c r="GY63" s="19"/>
      <c r="GZ63" s="19"/>
      <c r="HA63" s="19"/>
      <c r="HB63" s="19"/>
      <c r="HD63" s="8"/>
      <c r="HE63" s="7"/>
      <c r="HF63" s="19"/>
      <c r="HG63" s="19"/>
      <c r="HH63" s="19"/>
      <c r="HI63" s="19"/>
      <c r="HK63" s="8"/>
      <c r="HL63" s="7"/>
      <c r="HM63" s="19"/>
      <c r="HN63" s="19"/>
      <c r="HO63" s="19"/>
      <c r="HP63" s="19"/>
      <c r="HR63" s="8"/>
      <c r="HS63" s="7"/>
      <c r="HT63" s="19"/>
      <c r="HU63" s="19"/>
      <c r="HV63" s="19"/>
      <c r="HW63" s="19"/>
      <c r="HY63" s="8"/>
      <c r="HZ63" s="7"/>
      <c r="IA63" s="19"/>
      <c r="IB63" s="19"/>
      <c r="IC63" s="19"/>
      <c r="ID63" s="19"/>
      <c r="IF63" s="8"/>
      <c r="IG63" s="7"/>
      <c r="IH63" s="19"/>
      <c r="II63" s="19"/>
      <c r="IJ63" s="19"/>
      <c r="IK63" s="19"/>
      <c r="IM63" s="8"/>
      <c r="IN63" s="7"/>
      <c r="IO63" s="19"/>
      <c r="IP63" s="19"/>
      <c r="IQ63" s="19"/>
      <c r="IR63" s="19"/>
      <c r="IT63" s="8"/>
      <c r="IU63" s="7"/>
      <c r="IV63" s="19"/>
      <c r="IW63" s="19"/>
      <c r="IX63" s="19"/>
      <c r="IY63" s="19"/>
      <c r="JA63" s="8"/>
      <c r="JB63" s="7"/>
      <c r="JC63" s="19"/>
      <c r="JD63" s="19"/>
      <c r="JE63" s="19"/>
      <c r="JF63" s="19"/>
      <c r="JH63" s="8"/>
      <c r="JI63" s="7"/>
      <c r="JJ63" s="19"/>
      <c r="JK63" s="19"/>
      <c r="JL63" s="19"/>
      <c r="JM63" s="19"/>
      <c r="JO63" s="8"/>
      <c r="JP63" s="7"/>
      <c r="JQ63" s="19"/>
      <c r="JR63" s="19"/>
      <c r="JS63" s="19"/>
      <c r="JT63" s="19"/>
      <c r="JV63" s="8"/>
      <c r="JW63" s="7"/>
      <c r="JX63" s="19"/>
      <c r="JY63" s="19"/>
      <c r="JZ63" s="19"/>
      <c r="KA63" s="19"/>
      <c r="KC63" s="8"/>
      <c r="KD63" s="7"/>
      <c r="KE63" s="19"/>
      <c r="KF63" s="19"/>
      <c r="KG63" s="19"/>
      <c r="KH63" s="19"/>
      <c r="KJ63" s="8"/>
      <c r="KK63" s="7"/>
      <c r="KL63" s="19"/>
      <c r="KM63" s="19"/>
      <c r="KN63" s="19"/>
      <c r="KO63" s="19"/>
      <c r="KQ63" s="8"/>
      <c r="KR63" s="7"/>
      <c r="KS63" s="19"/>
      <c r="KT63" s="19"/>
      <c r="KU63" s="19"/>
      <c r="KV63" s="19"/>
      <c r="KX63" s="8"/>
      <c r="KY63" s="7"/>
      <c r="KZ63" s="19"/>
      <c r="LA63" s="19"/>
      <c r="LB63" s="19"/>
      <c r="LC63" s="19"/>
      <c r="LE63" s="8"/>
      <c r="LF63" s="7"/>
      <c r="LG63" s="19"/>
      <c r="LH63" s="19"/>
      <c r="LI63" s="19"/>
      <c r="LJ63" s="19"/>
      <c r="LL63" s="8"/>
      <c r="LM63" s="7"/>
      <c r="LN63" s="19"/>
      <c r="LO63" s="19"/>
      <c r="LP63" s="19"/>
      <c r="LQ63" s="19"/>
      <c r="LS63" s="8"/>
      <c r="LT63" s="7"/>
      <c r="LU63" s="19"/>
      <c r="LV63" s="19"/>
      <c r="LW63" s="19"/>
      <c r="LX63" s="19"/>
      <c r="LZ63" s="8"/>
      <c r="MA63" s="7"/>
      <c r="MB63" s="19"/>
      <c r="MC63" s="19"/>
      <c r="MD63" s="19"/>
      <c r="ME63" s="19"/>
      <c r="MG63" s="8"/>
      <c r="MH63" s="7"/>
      <c r="MI63" s="19"/>
      <c r="MJ63" s="19"/>
      <c r="MK63" s="19"/>
      <c r="ML63" s="19"/>
      <c r="MN63" s="8"/>
      <c r="MO63" s="7"/>
      <c r="MP63" s="19"/>
      <c r="MQ63" s="19"/>
      <c r="MR63" s="19"/>
      <c r="MS63" s="19"/>
      <c r="MU63" s="8"/>
      <c r="MV63" s="7"/>
      <c r="MW63" s="19"/>
      <c r="MX63" s="19"/>
      <c r="MY63" s="19"/>
      <c r="MZ63" s="19"/>
      <c r="NB63" s="8"/>
      <c r="NC63" s="7"/>
      <c r="ND63" s="19"/>
      <c r="NE63" s="19"/>
      <c r="NF63" s="19"/>
      <c r="NG63" s="19"/>
      <c r="NI63" s="8"/>
      <c r="NJ63" s="7"/>
      <c r="NK63" s="19"/>
      <c r="NL63" s="19"/>
      <c r="NM63" s="19"/>
      <c r="NN63" s="19"/>
      <c r="NP63" s="8"/>
      <c r="NQ63" s="7"/>
      <c r="NR63" s="19"/>
      <c r="NS63" s="19"/>
      <c r="NT63" s="19"/>
      <c r="NU63" s="19"/>
      <c r="NW63" s="8"/>
      <c r="NX63" s="7"/>
      <c r="NY63" s="19"/>
      <c r="NZ63" s="19"/>
      <c r="OA63" s="19"/>
      <c r="OB63" s="19"/>
      <c r="OD63" s="8"/>
      <c r="OE63" s="7"/>
      <c r="OF63" s="19"/>
      <c r="OG63" s="19"/>
      <c r="OH63" s="19"/>
      <c r="OI63" s="19"/>
      <c r="OK63" s="8"/>
      <c r="OL63" s="7"/>
      <c r="OM63" s="19"/>
      <c r="ON63" s="19"/>
      <c r="OO63" s="19"/>
      <c r="OP63" s="19"/>
      <c r="OR63" s="8"/>
      <c r="OS63" s="7"/>
      <c r="OT63" s="19"/>
      <c r="OU63" s="19"/>
      <c r="OV63" s="19"/>
      <c r="OW63" s="19"/>
      <c r="OY63" s="8"/>
      <c r="OZ63" s="7"/>
      <c r="PA63" s="19"/>
      <c r="PB63" s="19"/>
      <c r="PC63" s="19"/>
      <c r="PD63" s="19"/>
      <c r="PF63" s="8"/>
      <c r="PG63" s="7"/>
      <c r="PH63" s="19"/>
      <c r="PI63" s="19"/>
      <c r="PJ63" s="19"/>
      <c r="PK63" s="19"/>
      <c r="PM63" s="8"/>
    </row>
    <row r="64" spans="1:429" s="1" customFormat="1" ht="26" customHeight="1" outlineLevel="1">
      <c r="B64" s="471"/>
      <c r="C64" s="7"/>
      <c r="D64" s="19"/>
      <c r="E64" s="19"/>
      <c r="F64" s="19"/>
      <c r="G64" s="19"/>
      <c r="I64" s="8"/>
      <c r="J64" s="7"/>
      <c r="K64" s="19"/>
      <c r="L64" s="19"/>
      <c r="M64" s="19"/>
      <c r="N64" s="19"/>
      <c r="P64" s="8"/>
      <c r="Q64" s="7"/>
      <c r="R64" s="19"/>
      <c r="S64" s="19"/>
      <c r="T64" s="19"/>
      <c r="U64" s="19"/>
      <c r="W64" s="8"/>
      <c r="X64" s="7"/>
      <c r="Y64" s="19"/>
      <c r="Z64" s="19"/>
      <c r="AA64" s="19"/>
      <c r="AB64" s="19"/>
      <c r="AD64" s="8"/>
      <c r="AE64" s="7"/>
      <c r="AF64" s="19"/>
      <c r="AG64" s="19"/>
      <c r="AH64" s="19"/>
      <c r="AI64" s="19"/>
      <c r="AK64" s="8"/>
      <c r="AL64" s="7"/>
      <c r="AM64" s="19"/>
      <c r="AN64" s="19"/>
      <c r="AO64" s="19"/>
      <c r="AP64" s="19"/>
      <c r="AR64" s="8"/>
      <c r="AS64" s="7"/>
      <c r="AT64" s="19"/>
      <c r="AU64" s="19"/>
      <c r="AV64" s="19"/>
      <c r="AW64" s="19"/>
      <c r="AY64" s="8"/>
      <c r="AZ64" s="7"/>
      <c r="BA64" s="19"/>
      <c r="BB64" s="19"/>
      <c r="BC64" s="19"/>
      <c r="BD64" s="19"/>
      <c r="BF64" s="8"/>
      <c r="BG64" s="7"/>
      <c r="BH64" s="19"/>
      <c r="BI64" s="19"/>
      <c r="BJ64" s="19"/>
      <c r="BK64" s="19"/>
      <c r="BM64" s="8"/>
      <c r="BN64" s="7"/>
      <c r="BO64" s="19"/>
      <c r="BP64" s="19"/>
      <c r="BQ64" s="19"/>
      <c r="BR64" s="19"/>
      <c r="BT64" s="8"/>
      <c r="BU64" s="7"/>
      <c r="BV64" s="19"/>
      <c r="BW64" s="19"/>
      <c r="BX64" s="19"/>
      <c r="BY64" s="19"/>
      <c r="CA64" s="8"/>
      <c r="CB64" s="7"/>
      <c r="CC64" s="19"/>
      <c r="CD64" s="19"/>
      <c r="CE64" s="19"/>
      <c r="CF64" s="19"/>
      <c r="CH64" s="8"/>
      <c r="CI64" s="7"/>
      <c r="CJ64" s="19"/>
      <c r="CK64" s="19"/>
      <c r="CL64" s="19"/>
      <c r="CM64" s="19"/>
      <c r="CO64" s="8"/>
      <c r="CP64" s="7"/>
      <c r="CQ64" s="19"/>
      <c r="CR64" s="19"/>
      <c r="CS64" s="19"/>
      <c r="CT64" s="19"/>
      <c r="CV64" s="8"/>
      <c r="CW64" s="7"/>
      <c r="CX64" s="19"/>
      <c r="CY64" s="19"/>
      <c r="CZ64" s="19"/>
      <c r="DA64" s="19"/>
      <c r="DC64" s="8"/>
      <c r="DD64" s="7"/>
      <c r="DE64" s="19"/>
      <c r="DF64" s="19"/>
      <c r="DG64" s="19"/>
      <c r="DH64" s="19"/>
      <c r="DJ64" s="8"/>
      <c r="DK64" s="7"/>
      <c r="DL64" s="19"/>
      <c r="DM64" s="19"/>
      <c r="DN64" s="19"/>
      <c r="DO64" s="19"/>
      <c r="DQ64" s="8"/>
      <c r="DR64" s="7"/>
      <c r="DS64" s="19"/>
      <c r="DT64" s="19"/>
      <c r="DU64" s="19"/>
      <c r="DV64" s="19"/>
      <c r="DX64" s="8"/>
      <c r="DY64" s="7"/>
      <c r="DZ64" s="19"/>
      <c r="EA64" s="19"/>
      <c r="EB64" s="19"/>
      <c r="EC64" s="19"/>
      <c r="EE64" s="8"/>
      <c r="EF64" s="7"/>
      <c r="EG64" s="19"/>
      <c r="EH64" s="19"/>
      <c r="EI64" s="19"/>
      <c r="EJ64" s="19"/>
      <c r="EL64" s="8"/>
      <c r="EM64" s="7"/>
      <c r="EN64" s="19"/>
      <c r="EO64" s="19"/>
      <c r="EP64" s="19"/>
      <c r="EQ64" s="19"/>
      <c r="ES64" s="8"/>
      <c r="ET64" s="7"/>
      <c r="EU64" s="19"/>
      <c r="EV64" s="19"/>
      <c r="EW64" s="19"/>
      <c r="EX64" s="19"/>
      <c r="EZ64" s="8"/>
      <c r="FA64" s="7"/>
      <c r="FB64" s="19"/>
      <c r="FC64" s="19"/>
      <c r="FD64" s="19"/>
      <c r="FE64" s="19"/>
      <c r="FG64" s="8"/>
      <c r="FH64" s="7"/>
      <c r="FI64" s="19"/>
      <c r="FJ64" s="19"/>
      <c r="FK64" s="19"/>
      <c r="FL64" s="19"/>
      <c r="FN64" s="8"/>
      <c r="FO64" s="7"/>
      <c r="FP64" s="19"/>
      <c r="FQ64" s="19"/>
      <c r="FR64" s="19"/>
      <c r="FS64" s="19"/>
      <c r="FU64" s="8"/>
      <c r="FV64" s="7"/>
      <c r="FW64" s="19"/>
      <c r="FX64" s="19"/>
      <c r="FY64" s="19"/>
      <c r="FZ64" s="19"/>
      <c r="GB64" s="8"/>
      <c r="GC64" s="7"/>
      <c r="GD64" s="19"/>
      <c r="GE64" s="19"/>
      <c r="GF64" s="19"/>
      <c r="GG64" s="19"/>
      <c r="GI64" s="8"/>
      <c r="GJ64" s="7"/>
      <c r="GK64" s="19"/>
      <c r="GL64" s="19"/>
      <c r="GM64" s="19"/>
      <c r="GN64" s="19"/>
      <c r="GP64" s="8"/>
      <c r="GQ64" s="7"/>
      <c r="GR64" s="19"/>
      <c r="GS64" s="19"/>
      <c r="GT64" s="19"/>
      <c r="GU64" s="19"/>
      <c r="GW64" s="8"/>
      <c r="GX64" s="7"/>
      <c r="GY64" s="19"/>
      <c r="GZ64" s="19"/>
      <c r="HA64" s="19"/>
      <c r="HB64" s="19"/>
      <c r="HD64" s="8"/>
      <c r="HE64" s="7"/>
      <c r="HF64" s="19"/>
      <c r="HG64" s="19"/>
      <c r="HH64" s="19"/>
      <c r="HI64" s="19"/>
      <c r="HK64" s="8"/>
      <c r="HL64" s="7"/>
      <c r="HM64" s="19"/>
      <c r="HN64" s="19"/>
      <c r="HO64" s="19"/>
      <c r="HP64" s="19"/>
      <c r="HR64" s="8"/>
      <c r="HS64" s="7"/>
      <c r="HT64" s="19"/>
      <c r="HU64" s="19"/>
      <c r="HV64" s="19"/>
      <c r="HW64" s="19"/>
      <c r="HY64" s="8"/>
      <c r="HZ64" s="7"/>
      <c r="IA64" s="19"/>
      <c r="IB64" s="19"/>
      <c r="IC64" s="19"/>
      <c r="ID64" s="19"/>
      <c r="IF64" s="8"/>
      <c r="IG64" s="7"/>
      <c r="IH64" s="19"/>
      <c r="II64" s="19"/>
      <c r="IJ64" s="19"/>
      <c r="IK64" s="19"/>
      <c r="IM64" s="8"/>
      <c r="IN64" s="7"/>
      <c r="IO64" s="19"/>
      <c r="IP64" s="19"/>
      <c r="IQ64" s="19"/>
      <c r="IR64" s="19"/>
      <c r="IT64" s="8"/>
      <c r="IU64" s="7"/>
      <c r="IV64" s="19"/>
      <c r="IW64" s="19"/>
      <c r="IX64" s="19"/>
      <c r="IY64" s="19"/>
      <c r="JA64" s="8"/>
      <c r="JB64" s="7"/>
      <c r="JC64" s="19"/>
      <c r="JD64" s="19"/>
      <c r="JE64" s="19"/>
      <c r="JF64" s="19"/>
      <c r="JH64" s="8"/>
      <c r="JI64" s="7"/>
      <c r="JJ64" s="19"/>
      <c r="JK64" s="19"/>
      <c r="JL64" s="19"/>
      <c r="JM64" s="19"/>
      <c r="JO64" s="8"/>
      <c r="JP64" s="7"/>
      <c r="JQ64" s="19"/>
      <c r="JR64" s="19"/>
      <c r="JS64" s="19"/>
      <c r="JT64" s="19"/>
      <c r="JV64" s="8"/>
      <c r="JW64" s="7"/>
      <c r="JX64" s="19"/>
      <c r="JY64" s="19"/>
      <c r="JZ64" s="19"/>
      <c r="KA64" s="19"/>
      <c r="KC64" s="8"/>
      <c r="KD64" s="7"/>
      <c r="KE64" s="19"/>
      <c r="KF64" s="19"/>
      <c r="KG64" s="19"/>
      <c r="KH64" s="19"/>
      <c r="KJ64" s="8"/>
      <c r="KK64" s="7"/>
      <c r="KL64" s="19"/>
      <c r="KM64" s="19"/>
      <c r="KN64" s="19"/>
      <c r="KO64" s="19"/>
      <c r="KQ64" s="8"/>
      <c r="KR64" s="7"/>
      <c r="KS64" s="19"/>
      <c r="KT64" s="19"/>
      <c r="KU64" s="19"/>
      <c r="KV64" s="19"/>
      <c r="KX64" s="8"/>
      <c r="KY64" s="7"/>
      <c r="KZ64" s="19"/>
      <c r="LA64" s="19"/>
      <c r="LB64" s="19"/>
      <c r="LC64" s="19"/>
      <c r="LE64" s="8"/>
      <c r="LF64" s="7"/>
      <c r="LG64" s="19"/>
      <c r="LH64" s="19"/>
      <c r="LI64" s="19"/>
      <c r="LJ64" s="19"/>
      <c r="LL64" s="8"/>
      <c r="LM64" s="7"/>
      <c r="LN64" s="19"/>
      <c r="LO64" s="19"/>
      <c r="LP64" s="19"/>
      <c r="LQ64" s="19"/>
      <c r="LS64" s="8"/>
      <c r="LT64" s="7"/>
      <c r="LU64" s="19"/>
      <c r="LV64" s="19"/>
      <c r="LW64" s="19"/>
      <c r="LX64" s="19"/>
      <c r="LZ64" s="8"/>
      <c r="MA64" s="7"/>
      <c r="MB64" s="19"/>
      <c r="MC64" s="19"/>
      <c r="MD64" s="19"/>
      <c r="ME64" s="19"/>
      <c r="MG64" s="8"/>
      <c r="MH64" s="7"/>
      <c r="MI64" s="19"/>
      <c r="MJ64" s="19"/>
      <c r="MK64" s="19"/>
      <c r="ML64" s="19"/>
      <c r="MN64" s="8"/>
      <c r="MO64" s="7"/>
      <c r="MP64" s="19"/>
      <c r="MQ64" s="19"/>
      <c r="MR64" s="19"/>
      <c r="MS64" s="19"/>
      <c r="MU64" s="8"/>
      <c r="MV64" s="7"/>
      <c r="MW64" s="19"/>
      <c r="MX64" s="19"/>
      <c r="MY64" s="19"/>
      <c r="MZ64" s="19"/>
      <c r="NB64" s="8"/>
      <c r="NC64" s="7"/>
      <c r="ND64" s="19"/>
      <c r="NE64" s="19"/>
      <c r="NF64" s="19"/>
      <c r="NG64" s="19"/>
      <c r="NI64" s="8"/>
      <c r="NJ64" s="7"/>
      <c r="NK64" s="19"/>
      <c r="NL64" s="19"/>
      <c r="NM64" s="19"/>
      <c r="NN64" s="19"/>
      <c r="NP64" s="8"/>
      <c r="NQ64" s="7"/>
      <c r="NR64" s="19"/>
      <c r="NS64" s="19"/>
      <c r="NT64" s="19"/>
      <c r="NU64" s="19"/>
      <c r="NW64" s="8"/>
      <c r="NX64" s="7"/>
      <c r="NY64" s="19"/>
      <c r="NZ64" s="19"/>
      <c r="OA64" s="19"/>
      <c r="OB64" s="19"/>
      <c r="OD64" s="8"/>
      <c r="OE64" s="7"/>
      <c r="OF64" s="19"/>
      <c r="OG64" s="19"/>
      <c r="OH64" s="19"/>
      <c r="OI64" s="19"/>
      <c r="OK64" s="8"/>
      <c r="OL64" s="7"/>
      <c r="OM64" s="19"/>
      <c r="ON64" s="19"/>
      <c r="OO64" s="19"/>
      <c r="OP64" s="19"/>
      <c r="OR64" s="8"/>
      <c r="OS64" s="7"/>
      <c r="OT64" s="19"/>
      <c r="OU64" s="19"/>
      <c r="OV64" s="19"/>
      <c r="OW64" s="19"/>
      <c r="OY64" s="8"/>
      <c r="OZ64" s="7"/>
      <c r="PA64" s="19"/>
      <c r="PB64" s="19"/>
      <c r="PC64" s="19"/>
      <c r="PD64" s="19"/>
      <c r="PF64" s="8"/>
      <c r="PG64" s="7"/>
      <c r="PH64" s="19"/>
      <c r="PI64" s="19"/>
      <c r="PJ64" s="19"/>
      <c r="PK64" s="19"/>
      <c r="PM64" s="8"/>
    </row>
    <row r="65" spans="1:429" s="475" customFormat="1" ht="19" customHeight="1">
      <c r="A65" s="6" t="s">
        <v>72</v>
      </c>
      <c r="B65" s="472"/>
      <c r="C65" s="10"/>
      <c r="D65" s="20"/>
      <c r="E65" s="20"/>
      <c r="F65" s="20"/>
      <c r="G65" s="20"/>
      <c r="H65" s="10"/>
      <c r="I65" s="10"/>
      <c r="J65" s="10"/>
      <c r="K65" s="20"/>
      <c r="L65" s="20"/>
      <c r="M65" s="20"/>
      <c r="N65" s="20"/>
      <c r="O65" s="10"/>
      <c r="P65" s="10"/>
      <c r="Q65" s="10"/>
      <c r="R65" s="20"/>
      <c r="S65" s="20"/>
      <c r="T65" s="20"/>
      <c r="U65" s="20"/>
      <c r="V65" s="10"/>
      <c r="W65" s="10"/>
      <c r="X65" s="10"/>
      <c r="Y65" s="20"/>
      <c r="Z65" s="20"/>
      <c r="AA65" s="20"/>
      <c r="AB65" s="20"/>
      <c r="AC65" s="10"/>
      <c r="AD65" s="10"/>
      <c r="AE65" s="10"/>
      <c r="AF65" s="20"/>
      <c r="AG65" s="20"/>
      <c r="AH65" s="20"/>
      <c r="AI65" s="20"/>
      <c r="AJ65" s="10"/>
      <c r="AK65" s="10"/>
      <c r="AL65" s="10"/>
      <c r="AM65" s="20"/>
      <c r="AN65" s="20"/>
      <c r="AO65" s="20"/>
      <c r="AP65" s="20"/>
      <c r="AQ65" s="10"/>
      <c r="AR65" s="10"/>
      <c r="AS65" s="10"/>
      <c r="AT65" s="20"/>
      <c r="AU65" s="20"/>
      <c r="AV65" s="20"/>
      <c r="AW65" s="20"/>
      <c r="AX65" s="10"/>
      <c r="AY65" s="10"/>
      <c r="AZ65" s="10"/>
      <c r="BA65" s="20"/>
      <c r="BB65" s="20"/>
      <c r="BC65" s="20"/>
      <c r="BD65" s="20"/>
      <c r="BE65" s="10"/>
      <c r="BF65" s="10"/>
      <c r="BG65" s="10"/>
      <c r="BH65" s="20"/>
      <c r="BI65" s="20"/>
      <c r="BJ65" s="20"/>
      <c r="BK65" s="20"/>
      <c r="BL65" s="10"/>
      <c r="BM65" s="10"/>
      <c r="BN65" s="10"/>
      <c r="BO65" s="20"/>
      <c r="BP65" s="20"/>
      <c r="BQ65" s="20"/>
      <c r="BR65" s="20"/>
      <c r="BS65" s="10"/>
      <c r="BT65" s="10"/>
      <c r="BU65" s="10"/>
      <c r="BV65" s="20"/>
      <c r="BW65" s="20"/>
      <c r="BX65" s="20"/>
      <c r="BY65" s="20"/>
      <c r="BZ65" s="10"/>
      <c r="CA65" s="10"/>
      <c r="CB65" s="10"/>
      <c r="CC65" s="20"/>
      <c r="CD65" s="20"/>
      <c r="CE65" s="20"/>
      <c r="CF65" s="20"/>
      <c r="CG65" s="10"/>
      <c r="CH65" s="10"/>
      <c r="CI65" s="10"/>
      <c r="CJ65" s="20"/>
      <c r="CK65" s="20"/>
      <c r="CL65" s="20"/>
      <c r="CM65" s="20"/>
      <c r="CN65" s="10"/>
      <c r="CO65" s="10"/>
      <c r="CP65" s="10"/>
      <c r="CQ65" s="20"/>
      <c r="CR65" s="20"/>
      <c r="CS65" s="20"/>
      <c r="CT65" s="20"/>
      <c r="CU65" s="10"/>
      <c r="CV65" s="10"/>
      <c r="CW65" s="10"/>
      <c r="CX65" s="20"/>
      <c r="CY65" s="20"/>
      <c r="CZ65" s="20"/>
      <c r="DA65" s="20"/>
      <c r="DB65" s="10"/>
      <c r="DC65" s="10"/>
      <c r="DD65" s="10"/>
      <c r="DE65" s="20"/>
      <c r="DF65" s="20"/>
      <c r="DG65" s="20"/>
      <c r="DH65" s="20"/>
      <c r="DI65" s="10"/>
      <c r="DJ65" s="10"/>
      <c r="DK65" s="10"/>
      <c r="DL65" s="20"/>
      <c r="DM65" s="20"/>
      <c r="DN65" s="20"/>
      <c r="DO65" s="20"/>
      <c r="DP65" s="10"/>
      <c r="DQ65" s="10"/>
      <c r="DR65" s="10"/>
      <c r="DS65" s="20"/>
      <c r="DT65" s="20"/>
      <c r="DU65" s="20"/>
      <c r="DV65" s="20"/>
      <c r="DW65" s="10"/>
      <c r="DX65" s="10"/>
      <c r="DY65" s="10"/>
      <c r="DZ65" s="20"/>
      <c r="EA65" s="20"/>
      <c r="EB65" s="20"/>
      <c r="EC65" s="20"/>
      <c r="ED65" s="10"/>
      <c r="EE65" s="10"/>
      <c r="EF65" s="10"/>
      <c r="EG65" s="20"/>
      <c r="EH65" s="20"/>
      <c r="EI65" s="20"/>
      <c r="EJ65" s="20"/>
      <c r="EK65" s="10"/>
      <c r="EL65" s="10"/>
      <c r="EM65" s="10"/>
      <c r="EN65" s="20"/>
      <c r="EO65" s="20"/>
      <c r="EP65" s="20"/>
      <c r="EQ65" s="20"/>
      <c r="ER65" s="10"/>
      <c r="ES65" s="10"/>
      <c r="ET65" s="10"/>
      <c r="EU65" s="20"/>
      <c r="EV65" s="20"/>
      <c r="EW65" s="20"/>
      <c r="EX65" s="20"/>
      <c r="EY65" s="10"/>
      <c r="EZ65" s="10"/>
      <c r="FA65" s="10"/>
      <c r="FB65" s="20"/>
      <c r="FC65" s="20"/>
      <c r="FD65" s="20"/>
      <c r="FE65" s="20"/>
      <c r="FF65" s="10"/>
      <c r="FG65" s="10"/>
      <c r="FH65" s="10"/>
      <c r="FI65" s="20"/>
      <c r="FJ65" s="20"/>
      <c r="FK65" s="20"/>
      <c r="FL65" s="20"/>
      <c r="FM65" s="10"/>
      <c r="FN65" s="10"/>
      <c r="FO65" s="10"/>
      <c r="FP65" s="20"/>
      <c r="FQ65" s="20"/>
      <c r="FR65" s="20"/>
      <c r="FS65" s="20"/>
      <c r="FT65" s="10"/>
      <c r="FU65" s="10"/>
      <c r="FV65" s="10"/>
      <c r="FW65" s="20"/>
      <c r="FX65" s="20"/>
      <c r="FY65" s="20"/>
      <c r="FZ65" s="20"/>
      <c r="GA65" s="10"/>
      <c r="GB65" s="10"/>
      <c r="GC65" s="10"/>
      <c r="GD65" s="20"/>
      <c r="GE65" s="20"/>
      <c r="GF65" s="20"/>
      <c r="GG65" s="20"/>
      <c r="GH65" s="10"/>
      <c r="GI65" s="10"/>
      <c r="GJ65" s="10"/>
      <c r="GK65" s="20"/>
      <c r="GL65" s="20"/>
      <c r="GM65" s="20"/>
      <c r="GN65" s="20"/>
      <c r="GO65" s="10"/>
      <c r="GP65" s="10"/>
      <c r="GQ65" s="10"/>
      <c r="GR65" s="20"/>
      <c r="GS65" s="20"/>
      <c r="GT65" s="20"/>
      <c r="GU65" s="20"/>
      <c r="GV65" s="10"/>
      <c r="GW65" s="10"/>
      <c r="GX65" s="10"/>
      <c r="GY65" s="20"/>
      <c r="GZ65" s="20"/>
      <c r="HA65" s="20"/>
      <c r="HB65" s="20"/>
      <c r="HC65" s="10"/>
      <c r="HD65" s="10"/>
      <c r="HE65" s="10"/>
      <c r="HF65" s="20"/>
      <c r="HG65" s="20"/>
      <c r="HH65" s="20"/>
      <c r="HI65" s="20"/>
      <c r="HJ65" s="10"/>
      <c r="HK65" s="10"/>
      <c r="HL65" s="10"/>
      <c r="HM65" s="20"/>
      <c r="HN65" s="20"/>
      <c r="HO65" s="20"/>
      <c r="HP65" s="20"/>
      <c r="HQ65" s="10"/>
      <c r="HR65" s="10"/>
      <c r="HS65" s="10"/>
      <c r="HT65" s="20"/>
      <c r="HU65" s="20"/>
      <c r="HV65" s="20"/>
      <c r="HW65" s="20"/>
      <c r="HX65" s="10"/>
      <c r="HY65" s="10"/>
      <c r="HZ65" s="10"/>
      <c r="IA65" s="20"/>
      <c r="IB65" s="20"/>
      <c r="IC65" s="20"/>
      <c r="ID65" s="20"/>
      <c r="IE65" s="10"/>
      <c r="IF65" s="10"/>
      <c r="IG65" s="10"/>
      <c r="IH65" s="20"/>
      <c r="II65" s="20"/>
      <c r="IJ65" s="20"/>
      <c r="IK65" s="20"/>
      <c r="IL65" s="10"/>
      <c r="IM65" s="10"/>
      <c r="IN65" s="10"/>
      <c r="IO65" s="20"/>
      <c r="IP65" s="20"/>
      <c r="IQ65" s="20"/>
      <c r="IR65" s="20"/>
      <c r="IS65" s="10"/>
      <c r="IT65" s="10"/>
      <c r="IU65" s="10"/>
      <c r="IV65" s="20"/>
      <c r="IW65" s="20"/>
      <c r="IX65" s="20"/>
      <c r="IY65" s="20"/>
      <c r="IZ65" s="10"/>
      <c r="JA65" s="10"/>
      <c r="JB65" s="10"/>
      <c r="JC65" s="20"/>
      <c r="JD65" s="20"/>
      <c r="JE65" s="20"/>
      <c r="JF65" s="20"/>
      <c r="JG65" s="10"/>
      <c r="JH65" s="10"/>
      <c r="JI65" s="10"/>
      <c r="JJ65" s="20"/>
      <c r="JK65" s="20"/>
      <c r="JL65" s="20"/>
      <c r="JM65" s="20"/>
      <c r="JN65" s="10"/>
      <c r="JO65" s="10"/>
      <c r="JP65" s="10"/>
      <c r="JQ65" s="20"/>
      <c r="JR65" s="20"/>
      <c r="JS65" s="20"/>
      <c r="JT65" s="20"/>
      <c r="JU65" s="10"/>
      <c r="JV65" s="10"/>
      <c r="JW65" s="10"/>
      <c r="JX65" s="20"/>
      <c r="JY65" s="20"/>
      <c r="JZ65" s="20"/>
      <c r="KA65" s="20"/>
      <c r="KB65" s="10"/>
      <c r="KC65" s="10"/>
      <c r="KD65" s="10"/>
      <c r="KE65" s="20"/>
      <c r="KF65" s="20"/>
      <c r="KG65" s="20"/>
      <c r="KH65" s="20"/>
      <c r="KI65" s="10"/>
      <c r="KJ65" s="10"/>
      <c r="KK65" s="10"/>
      <c r="KL65" s="20"/>
      <c r="KM65" s="20"/>
      <c r="KN65" s="20"/>
      <c r="KO65" s="20"/>
      <c r="KP65" s="10"/>
      <c r="KQ65" s="10"/>
      <c r="KR65" s="10"/>
      <c r="KS65" s="20"/>
      <c r="KT65" s="20"/>
      <c r="KU65" s="20"/>
      <c r="KV65" s="20"/>
      <c r="KW65" s="10"/>
      <c r="KX65" s="10"/>
      <c r="KY65" s="10"/>
      <c r="KZ65" s="20"/>
      <c r="LA65" s="20"/>
      <c r="LB65" s="20"/>
      <c r="LC65" s="20"/>
      <c r="LD65" s="10"/>
      <c r="LE65" s="10"/>
      <c r="LF65" s="10"/>
      <c r="LG65" s="20"/>
      <c r="LH65" s="20"/>
      <c r="LI65" s="20"/>
      <c r="LJ65" s="20"/>
      <c r="LK65" s="10"/>
      <c r="LL65" s="10"/>
      <c r="LM65" s="10"/>
      <c r="LN65" s="20"/>
      <c r="LO65" s="20"/>
      <c r="LP65" s="20"/>
      <c r="LQ65" s="20"/>
      <c r="LR65" s="10"/>
      <c r="LS65" s="10"/>
      <c r="LT65" s="10"/>
      <c r="LU65" s="20"/>
      <c r="LV65" s="20"/>
      <c r="LW65" s="20"/>
      <c r="LX65" s="20"/>
      <c r="LY65" s="10"/>
      <c r="LZ65" s="10"/>
      <c r="MA65" s="10"/>
      <c r="MB65" s="20"/>
      <c r="MC65" s="20"/>
      <c r="MD65" s="20"/>
      <c r="ME65" s="20"/>
      <c r="MF65" s="10"/>
      <c r="MG65" s="10"/>
      <c r="MH65" s="10"/>
      <c r="MI65" s="20"/>
      <c r="MJ65" s="20"/>
      <c r="MK65" s="20"/>
      <c r="ML65" s="20"/>
      <c r="MM65" s="10"/>
      <c r="MN65" s="10"/>
      <c r="MO65" s="10"/>
      <c r="MP65" s="20"/>
      <c r="MQ65" s="20"/>
      <c r="MR65" s="20"/>
      <c r="MS65" s="20"/>
      <c r="MT65" s="10"/>
      <c r="MU65" s="10"/>
      <c r="MV65" s="10"/>
      <c r="MW65" s="20"/>
      <c r="MX65" s="20"/>
      <c r="MY65" s="20"/>
      <c r="MZ65" s="20"/>
      <c r="NA65" s="10"/>
      <c r="NB65" s="10"/>
      <c r="NC65" s="10"/>
      <c r="ND65" s="20"/>
      <c r="NE65" s="20"/>
      <c r="NF65" s="20"/>
      <c r="NG65" s="20"/>
      <c r="NH65" s="10"/>
      <c r="NI65" s="10"/>
      <c r="NJ65" s="10"/>
      <c r="NK65" s="20"/>
      <c r="NL65" s="20"/>
      <c r="NM65" s="20"/>
      <c r="NN65" s="20"/>
      <c r="NO65" s="10"/>
      <c r="NP65" s="10"/>
      <c r="NQ65" s="10"/>
      <c r="NR65" s="20"/>
      <c r="NS65" s="20"/>
      <c r="NT65" s="20"/>
      <c r="NU65" s="20"/>
      <c r="NV65" s="10"/>
      <c r="NW65" s="10"/>
      <c r="NX65" s="10"/>
      <c r="NY65" s="20"/>
      <c r="NZ65" s="20"/>
      <c r="OA65" s="20"/>
      <c r="OB65" s="20"/>
      <c r="OC65" s="10"/>
      <c r="OD65" s="10"/>
      <c r="OE65" s="10"/>
      <c r="OF65" s="20"/>
      <c r="OG65" s="20"/>
      <c r="OH65" s="20"/>
      <c r="OI65" s="20"/>
      <c r="OJ65" s="10"/>
      <c r="OK65" s="10"/>
      <c r="OL65" s="10"/>
      <c r="OM65" s="20"/>
      <c r="ON65" s="20"/>
      <c r="OO65" s="20"/>
      <c r="OP65" s="20"/>
      <c r="OQ65" s="10"/>
      <c r="OR65" s="10"/>
      <c r="OS65" s="10"/>
      <c r="OT65" s="20"/>
      <c r="OU65" s="20"/>
      <c r="OV65" s="20"/>
      <c r="OW65" s="20"/>
      <c r="OX65" s="10"/>
      <c r="OY65" s="10"/>
      <c r="OZ65" s="10"/>
      <c r="PA65" s="20"/>
      <c r="PB65" s="20"/>
      <c r="PC65" s="20"/>
      <c r="PD65" s="20"/>
      <c r="PE65" s="10"/>
      <c r="PF65" s="10"/>
      <c r="PG65" s="10"/>
      <c r="PH65" s="20"/>
      <c r="PI65" s="20"/>
      <c r="PJ65" s="20"/>
      <c r="PK65" s="20"/>
      <c r="PL65" s="10"/>
      <c r="PM65" s="10"/>
    </row>
    <row r="66" spans="1:429" s="1" customFormat="1" ht="26" customHeight="1" outlineLevel="1">
      <c r="B66" s="471"/>
      <c r="C66" s="7"/>
      <c r="D66" s="19"/>
      <c r="E66" s="19"/>
      <c r="F66" s="19"/>
      <c r="G66" s="19"/>
      <c r="I66" s="8"/>
      <c r="J66" s="7"/>
      <c r="K66" s="19"/>
      <c r="L66" s="19"/>
      <c r="M66" s="19"/>
      <c r="N66" s="19"/>
      <c r="P66" s="8"/>
      <c r="Q66" s="7"/>
      <c r="R66" s="19"/>
      <c r="S66" s="19"/>
      <c r="T66" s="19"/>
      <c r="U66" s="19"/>
      <c r="W66" s="8"/>
      <c r="X66" s="7"/>
      <c r="Y66" s="19"/>
      <c r="Z66" s="19"/>
      <c r="AA66" s="19"/>
      <c r="AB66" s="19"/>
      <c r="AD66" s="8"/>
      <c r="AE66" s="7"/>
      <c r="AF66" s="19"/>
      <c r="AG66" s="19"/>
      <c r="AH66" s="19"/>
      <c r="AI66" s="19"/>
      <c r="AK66" s="8"/>
      <c r="AL66" s="7"/>
      <c r="AM66" s="19"/>
      <c r="AN66" s="19"/>
      <c r="AO66" s="19"/>
      <c r="AP66" s="19"/>
      <c r="AR66" s="8"/>
      <c r="AS66" s="7"/>
      <c r="AT66" s="19"/>
      <c r="AU66" s="19"/>
      <c r="AV66" s="19"/>
      <c r="AW66" s="19"/>
      <c r="AY66" s="8"/>
      <c r="AZ66" s="7"/>
      <c r="BA66" s="19"/>
      <c r="BB66" s="19"/>
      <c r="BC66" s="19"/>
      <c r="BD66" s="19"/>
      <c r="BF66" s="8"/>
      <c r="BG66" s="7"/>
      <c r="BH66" s="19"/>
      <c r="BI66" s="19"/>
      <c r="BJ66" s="19"/>
      <c r="BK66" s="19"/>
      <c r="BM66" s="8"/>
      <c r="BN66" s="7"/>
      <c r="BO66" s="19"/>
      <c r="BP66" s="19"/>
      <c r="BQ66" s="19"/>
      <c r="BR66" s="19"/>
      <c r="BT66" s="8"/>
      <c r="BU66" s="7"/>
      <c r="BV66" s="19"/>
      <c r="BW66" s="19"/>
      <c r="BX66" s="19"/>
      <c r="BY66" s="19"/>
      <c r="CA66" s="8"/>
      <c r="CB66" s="7"/>
      <c r="CC66" s="19"/>
      <c r="CD66" s="19"/>
      <c r="CE66" s="19"/>
      <c r="CF66" s="19"/>
      <c r="CH66" s="8"/>
      <c r="CI66" s="7"/>
      <c r="CJ66" s="19"/>
      <c r="CK66" s="19"/>
      <c r="CL66" s="19"/>
      <c r="CM66" s="19"/>
      <c r="CO66" s="8"/>
      <c r="CP66" s="7"/>
      <c r="CQ66" s="19"/>
      <c r="CR66" s="19"/>
      <c r="CS66" s="19"/>
      <c r="CT66" s="19"/>
      <c r="CV66" s="8"/>
      <c r="CW66" s="7"/>
      <c r="CX66" s="19"/>
      <c r="CY66" s="19"/>
      <c r="CZ66" s="19"/>
      <c r="DA66" s="19"/>
      <c r="DC66" s="8"/>
      <c r="DD66" s="7"/>
      <c r="DE66" s="19"/>
      <c r="DF66" s="19"/>
      <c r="DG66" s="19"/>
      <c r="DH66" s="19"/>
      <c r="DJ66" s="8"/>
      <c r="DK66" s="7" t="s">
        <v>107</v>
      </c>
      <c r="DL66" s="19" t="s">
        <v>459</v>
      </c>
      <c r="DM66" s="19"/>
      <c r="DN66" s="19"/>
      <c r="DO66" s="19"/>
      <c r="DQ66" s="8">
        <v>8</v>
      </c>
      <c r="DR66" s="7"/>
      <c r="DS66" s="19" t="s">
        <v>180</v>
      </c>
      <c r="DT66" s="19"/>
      <c r="DU66" s="19"/>
      <c r="DV66" s="19"/>
      <c r="DX66" s="8">
        <v>8</v>
      </c>
      <c r="DY66" s="7"/>
      <c r="DZ66" s="19" t="s">
        <v>180</v>
      </c>
      <c r="EA66" s="19"/>
      <c r="EB66" s="19"/>
      <c r="EC66" s="19"/>
      <c r="EE66" s="8">
        <v>8</v>
      </c>
      <c r="EF66" s="7" t="s">
        <v>107</v>
      </c>
      <c r="EG66" s="19" t="s">
        <v>460</v>
      </c>
      <c r="EH66" s="19"/>
      <c r="EI66" s="19"/>
      <c r="EJ66" s="19"/>
      <c r="EL66" s="8" t="s">
        <v>204</v>
      </c>
      <c r="EM66" s="7"/>
      <c r="EN66" s="19" t="s">
        <v>180</v>
      </c>
      <c r="EO66" s="19"/>
      <c r="EP66" s="19"/>
      <c r="EQ66" s="19"/>
      <c r="ES66" s="8" t="s">
        <v>204</v>
      </c>
      <c r="ET66" s="7"/>
      <c r="EU66" s="19" t="s">
        <v>180</v>
      </c>
      <c r="EV66" s="19"/>
      <c r="EW66" s="19"/>
      <c r="EX66" s="19"/>
      <c r="EZ66" s="8" t="s">
        <v>204</v>
      </c>
      <c r="FA66" s="7"/>
      <c r="FB66" s="19"/>
      <c r="FC66" s="19"/>
      <c r="FD66" s="19"/>
      <c r="FE66" s="19"/>
      <c r="FG66" s="8"/>
      <c r="FH66" s="7"/>
      <c r="FI66" s="19"/>
      <c r="FJ66" s="19"/>
      <c r="FK66" s="19"/>
      <c r="FL66" s="19"/>
      <c r="FN66" s="8"/>
      <c r="FO66" s="7"/>
      <c r="FP66" s="19"/>
      <c r="FQ66" s="19"/>
      <c r="FR66" s="19"/>
      <c r="FS66" s="19"/>
      <c r="FU66" s="8"/>
      <c r="FV66" s="7"/>
      <c r="FW66" s="19"/>
      <c r="FX66" s="19"/>
      <c r="FY66" s="19"/>
      <c r="FZ66" s="19"/>
      <c r="GB66" s="8"/>
      <c r="GC66" s="7"/>
      <c r="GD66" s="19"/>
      <c r="GE66" s="19"/>
      <c r="GF66" s="19"/>
      <c r="GG66" s="19"/>
      <c r="GI66" s="8"/>
      <c r="GJ66" s="7"/>
      <c r="GK66" s="19"/>
      <c r="GL66" s="19"/>
      <c r="GM66" s="19"/>
      <c r="GN66" s="19"/>
      <c r="GP66" s="8"/>
      <c r="GQ66" s="7"/>
      <c r="GR66" s="19"/>
      <c r="GS66" s="19"/>
      <c r="GT66" s="19"/>
      <c r="GU66" s="19"/>
      <c r="GW66" s="8"/>
      <c r="GX66" s="7"/>
      <c r="GY66" s="19"/>
      <c r="GZ66" s="19"/>
      <c r="HA66" s="19"/>
      <c r="HB66" s="19"/>
      <c r="HD66" s="8"/>
      <c r="HE66" s="7"/>
      <c r="HF66" s="19"/>
      <c r="HG66" s="19"/>
      <c r="HH66" s="19"/>
      <c r="HI66" s="19"/>
      <c r="HK66" s="8"/>
      <c r="HL66" s="7"/>
      <c r="HM66" s="19"/>
      <c r="HN66" s="19"/>
      <c r="HO66" s="19"/>
      <c r="HP66" s="19"/>
      <c r="HR66" s="8"/>
      <c r="HS66" s="7"/>
      <c r="HT66" s="19"/>
      <c r="HU66" s="19"/>
      <c r="HV66" s="19"/>
      <c r="HW66" s="19"/>
      <c r="HY66" s="8"/>
      <c r="HZ66" s="7"/>
      <c r="IA66" s="19"/>
      <c r="IB66" s="19"/>
      <c r="IC66" s="19"/>
      <c r="ID66" s="19"/>
      <c r="IF66" s="8"/>
      <c r="IG66" s="7"/>
      <c r="IH66" s="19"/>
      <c r="II66" s="19"/>
      <c r="IJ66" s="19"/>
      <c r="IK66" s="19"/>
      <c r="IM66" s="8"/>
      <c r="IN66" s="7"/>
      <c r="IO66" s="19"/>
      <c r="IP66" s="19"/>
      <c r="IQ66" s="19"/>
      <c r="IR66" s="19"/>
      <c r="IT66" s="8"/>
      <c r="IU66" s="7"/>
      <c r="IV66" s="19"/>
      <c r="IW66" s="19"/>
      <c r="IX66" s="19"/>
      <c r="IY66" s="19"/>
      <c r="JA66" s="8"/>
      <c r="JB66" s="7"/>
      <c r="JC66" s="19"/>
      <c r="JD66" s="19"/>
      <c r="JE66" s="19"/>
      <c r="JF66" s="19"/>
      <c r="JH66" s="8"/>
      <c r="JI66" s="7"/>
      <c r="JJ66" s="19"/>
      <c r="JK66" s="19"/>
      <c r="JL66" s="19"/>
      <c r="JM66" s="19"/>
      <c r="JO66" s="8"/>
      <c r="JP66" s="7"/>
      <c r="JQ66" s="19"/>
      <c r="JR66" s="19"/>
      <c r="JS66" s="19"/>
      <c r="JT66" s="19"/>
      <c r="JV66" s="8"/>
      <c r="JW66" s="7"/>
      <c r="JX66" s="19"/>
      <c r="JY66" s="19"/>
      <c r="JZ66" s="19"/>
      <c r="KA66" s="19"/>
      <c r="KC66" s="8"/>
      <c r="KD66" s="7"/>
      <c r="KE66" s="19"/>
      <c r="KF66" s="19"/>
      <c r="KG66" s="19"/>
      <c r="KH66" s="19"/>
      <c r="KJ66" s="8"/>
      <c r="KK66" s="7"/>
      <c r="KL66" s="19"/>
      <c r="KM66" s="19"/>
      <c r="KN66" s="19"/>
      <c r="KO66" s="19"/>
      <c r="KQ66" s="8"/>
      <c r="KR66" s="7"/>
      <c r="KS66" s="19"/>
      <c r="KT66" s="19"/>
      <c r="KU66" s="19"/>
      <c r="KV66" s="19"/>
      <c r="KX66" s="8"/>
      <c r="KY66" s="7"/>
      <c r="KZ66" s="19"/>
      <c r="LA66" s="19"/>
      <c r="LB66" s="19"/>
      <c r="LC66" s="19"/>
      <c r="LE66" s="8"/>
      <c r="LF66" s="7"/>
      <c r="LG66" s="19"/>
      <c r="LH66" s="19"/>
      <c r="LI66" s="19"/>
      <c r="LJ66" s="19"/>
      <c r="LL66" s="8"/>
      <c r="LM66" s="7"/>
      <c r="LN66" s="19"/>
      <c r="LO66" s="19"/>
      <c r="LP66" s="19"/>
      <c r="LQ66" s="19"/>
      <c r="LS66" s="8"/>
      <c r="LT66" s="7"/>
      <c r="LU66" s="19"/>
      <c r="LV66" s="19"/>
      <c r="LW66" s="19"/>
      <c r="LX66" s="19"/>
      <c r="LZ66" s="8"/>
      <c r="MA66" s="7"/>
      <c r="MB66" s="19"/>
      <c r="MC66" s="19"/>
      <c r="MD66" s="19"/>
      <c r="ME66" s="19"/>
      <c r="MG66" s="8"/>
      <c r="MH66" s="7"/>
      <c r="MI66" s="19"/>
      <c r="MJ66" s="19"/>
      <c r="MK66" s="19"/>
      <c r="ML66" s="19"/>
      <c r="MN66" s="8"/>
      <c r="MO66" s="7"/>
      <c r="MP66" s="19"/>
      <c r="MQ66" s="19"/>
      <c r="MR66" s="19"/>
      <c r="MS66" s="19"/>
      <c r="MU66" s="8"/>
      <c r="MV66" s="7"/>
      <c r="MW66" s="19"/>
      <c r="MX66" s="19"/>
      <c r="MY66" s="19"/>
      <c r="MZ66" s="19"/>
      <c r="NB66" s="8"/>
      <c r="NC66" s="7"/>
      <c r="ND66" s="19"/>
      <c r="NE66" s="19"/>
      <c r="NF66" s="19"/>
      <c r="NG66" s="19"/>
      <c r="NI66" s="8"/>
      <c r="NJ66" s="7"/>
      <c r="NK66" s="19"/>
      <c r="NL66" s="19"/>
      <c r="NM66" s="19"/>
      <c r="NN66" s="19"/>
      <c r="NP66" s="8"/>
      <c r="NQ66" s="7"/>
      <c r="NR66" s="19"/>
      <c r="NS66" s="19"/>
      <c r="NT66" s="19"/>
      <c r="NU66" s="19"/>
      <c r="NW66" s="8"/>
      <c r="NX66" s="7"/>
      <c r="NY66" s="19"/>
      <c r="NZ66" s="19"/>
      <c r="OA66" s="19"/>
      <c r="OB66" s="19"/>
      <c r="OD66" s="8"/>
      <c r="OE66" s="7"/>
      <c r="OF66" s="19"/>
      <c r="OG66" s="19"/>
      <c r="OH66" s="19"/>
      <c r="OI66" s="19"/>
      <c r="OK66" s="8"/>
      <c r="OL66" s="7"/>
      <c r="OM66" s="19"/>
      <c r="ON66" s="19"/>
      <c r="OO66" s="19"/>
      <c r="OP66" s="19"/>
      <c r="OR66" s="8"/>
      <c r="OS66" s="7"/>
      <c r="OT66" s="19"/>
      <c r="OU66" s="19"/>
      <c r="OV66" s="19"/>
      <c r="OW66" s="19"/>
      <c r="OY66" s="8"/>
      <c r="OZ66" s="7"/>
      <c r="PA66" s="19"/>
      <c r="PB66" s="19"/>
      <c r="PC66" s="19"/>
      <c r="PD66" s="19"/>
      <c r="PF66" s="8"/>
      <c r="PG66" s="7"/>
      <c r="PH66" s="19"/>
      <c r="PI66" s="19"/>
      <c r="PJ66" s="19"/>
      <c r="PK66" s="19"/>
      <c r="PM66" s="8"/>
    </row>
    <row r="67" spans="1:429" s="1" customFormat="1" ht="26" customHeight="1" outlineLevel="1">
      <c r="B67" s="471"/>
      <c r="C67" s="7"/>
      <c r="D67" s="19"/>
      <c r="E67" s="19"/>
      <c r="F67" s="19"/>
      <c r="G67" s="19"/>
      <c r="I67" s="8"/>
      <c r="J67" s="7"/>
      <c r="K67" s="19"/>
      <c r="L67" s="19"/>
      <c r="M67" s="19"/>
      <c r="N67" s="19"/>
      <c r="P67" s="8"/>
      <c r="Q67" s="7"/>
      <c r="R67" s="19"/>
      <c r="S67" s="19"/>
      <c r="T67" s="19"/>
      <c r="U67" s="19"/>
      <c r="W67" s="8"/>
      <c r="X67" s="7"/>
      <c r="Y67" s="19"/>
      <c r="Z67" s="19"/>
      <c r="AA67" s="19"/>
      <c r="AB67" s="19"/>
      <c r="AD67" s="8"/>
      <c r="AE67" s="7"/>
      <c r="AF67" s="19"/>
      <c r="AG67" s="19"/>
      <c r="AH67" s="19"/>
      <c r="AI67" s="19"/>
      <c r="AK67" s="8"/>
      <c r="AL67" s="7"/>
      <c r="AM67" s="19"/>
      <c r="AN67" s="19"/>
      <c r="AO67" s="19"/>
      <c r="AP67" s="19"/>
      <c r="AR67" s="8"/>
      <c r="AS67" s="7"/>
      <c r="AT67" s="19"/>
      <c r="AU67" s="19"/>
      <c r="AV67" s="19"/>
      <c r="AW67" s="19"/>
      <c r="AY67" s="8"/>
      <c r="AZ67" s="7"/>
      <c r="BA67" s="19"/>
      <c r="BB67" s="19"/>
      <c r="BC67" s="19"/>
      <c r="BD67" s="19"/>
      <c r="BF67" s="8"/>
      <c r="BG67" s="7"/>
      <c r="BH67" s="19"/>
      <c r="BI67" s="19"/>
      <c r="BJ67" s="19"/>
      <c r="BK67" s="19"/>
      <c r="BM67" s="8"/>
      <c r="BN67" s="7"/>
      <c r="BO67" s="19"/>
      <c r="BP67" s="19"/>
      <c r="BQ67" s="19"/>
      <c r="BR67" s="19"/>
      <c r="BT67" s="8"/>
      <c r="BU67" s="7"/>
      <c r="BV67" s="19"/>
      <c r="BW67" s="19"/>
      <c r="BX67" s="19"/>
      <c r="BY67" s="19"/>
      <c r="CA67" s="8"/>
      <c r="CB67" s="7"/>
      <c r="CC67" s="19"/>
      <c r="CD67" s="19"/>
      <c r="CE67" s="19"/>
      <c r="CF67" s="19"/>
      <c r="CH67" s="8"/>
      <c r="CI67" s="7"/>
      <c r="CJ67" s="19"/>
      <c r="CK67" s="19"/>
      <c r="CL67" s="19"/>
      <c r="CM67" s="19"/>
      <c r="CO67" s="8"/>
      <c r="CP67" s="7"/>
      <c r="CQ67" s="19"/>
      <c r="CR67" s="19"/>
      <c r="CS67" s="19"/>
      <c r="CT67" s="19"/>
      <c r="CV67" s="8"/>
      <c r="CW67" s="7"/>
      <c r="CX67" s="19"/>
      <c r="CY67" s="19"/>
      <c r="CZ67" s="19"/>
      <c r="DA67" s="19"/>
      <c r="DC67" s="8"/>
      <c r="DD67" s="7"/>
      <c r="DE67" s="19"/>
      <c r="DF67" s="19"/>
      <c r="DG67" s="19"/>
      <c r="DH67" s="19"/>
      <c r="DJ67" s="8"/>
      <c r="DK67" s="7" t="s">
        <v>108</v>
      </c>
      <c r="DL67" s="19" t="s">
        <v>183</v>
      </c>
      <c r="DM67" s="19"/>
      <c r="DN67" s="19"/>
      <c r="DO67" s="19"/>
      <c r="DQ67" s="8" t="s">
        <v>166</v>
      </c>
      <c r="DR67" s="7"/>
      <c r="DS67" s="19" t="s">
        <v>180</v>
      </c>
      <c r="DT67" s="19"/>
      <c r="DU67" s="19"/>
      <c r="DV67" s="19"/>
      <c r="DX67" s="8" t="s">
        <v>187</v>
      </c>
      <c r="DY67" s="7"/>
      <c r="DZ67" s="19" t="s">
        <v>180</v>
      </c>
      <c r="EA67" s="19"/>
      <c r="EB67" s="19"/>
      <c r="EC67" s="19"/>
      <c r="EE67" s="8" t="s">
        <v>137</v>
      </c>
      <c r="EF67" s="7" t="s">
        <v>108</v>
      </c>
      <c r="EG67" s="19" t="s">
        <v>461</v>
      </c>
      <c r="EH67" s="19"/>
      <c r="EI67" s="19"/>
      <c r="EJ67" s="19"/>
      <c r="EK67" s="1" t="s">
        <v>118</v>
      </c>
      <c r="EL67" s="8">
        <v>8</v>
      </c>
      <c r="EM67" s="7"/>
      <c r="EN67" s="19" t="s">
        <v>180</v>
      </c>
      <c r="EO67" s="19"/>
      <c r="EP67" s="19"/>
      <c r="EQ67" s="19"/>
      <c r="ES67" s="8">
        <v>9</v>
      </c>
      <c r="ET67" s="7"/>
      <c r="EU67" s="19" t="s">
        <v>180</v>
      </c>
      <c r="EV67" s="19"/>
      <c r="EW67" s="19"/>
      <c r="EX67" s="19"/>
      <c r="EZ67" s="8">
        <v>10</v>
      </c>
      <c r="FA67" s="7"/>
      <c r="FB67" s="19"/>
      <c r="FC67" s="19"/>
      <c r="FD67" s="19"/>
      <c r="FE67" s="19"/>
      <c r="FG67" s="8"/>
      <c r="FH67" s="7"/>
      <c r="FI67" s="19"/>
      <c r="FJ67" s="19"/>
      <c r="FK67" s="19"/>
      <c r="FL67" s="19"/>
      <c r="FN67" s="8"/>
      <c r="FO67" s="7"/>
      <c r="FP67" s="19"/>
      <c r="FQ67" s="19"/>
      <c r="FR67" s="19"/>
      <c r="FS67" s="19"/>
      <c r="FU67" s="8"/>
      <c r="FV67" s="7"/>
      <c r="FW67" s="19"/>
      <c r="FX67" s="19"/>
      <c r="FY67" s="19"/>
      <c r="FZ67" s="19"/>
      <c r="GB67" s="8"/>
      <c r="GC67" s="7"/>
      <c r="GD67" s="19"/>
      <c r="GE67" s="19"/>
      <c r="GF67" s="19"/>
      <c r="GG67" s="19"/>
      <c r="GI67" s="8"/>
      <c r="GJ67" s="7"/>
      <c r="GK67" s="19"/>
      <c r="GL67" s="19"/>
      <c r="GM67" s="19"/>
      <c r="GN67" s="19"/>
      <c r="GP67" s="8"/>
      <c r="GQ67" s="7"/>
      <c r="GR67" s="19"/>
      <c r="GS67" s="19"/>
      <c r="GT67" s="19"/>
      <c r="GU67" s="19"/>
      <c r="GW67" s="8"/>
      <c r="GX67" s="7"/>
      <c r="GY67" s="19"/>
      <c r="GZ67" s="19"/>
      <c r="HA67" s="19"/>
      <c r="HB67" s="19"/>
      <c r="HD67" s="8"/>
      <c r="HE67" s="7"/>
      <c r="HF67" s="19"/>
      <c r="HG67" s="19"/>
      <c r="HH67" s="19"/>
      <c r="HI67" s="19"/>
      <c r="HK67" s="8"/>
      <c r="HL67" s="7"/>
      <c r="HM67" s="19"/>
      <c r="HN67" s="19"/>
      <c r="HO67" s="19"/>
      <c r="HP67" s="19"/>
      <c r="HR67" s="8"/>
      <c r="HS67" s="7"/>
      <c r="HT67" s="19"/>
      <c r="HU67" s="19"/>
      <c r="HV67" s="19"/>
      <c r="HW67" s="19"/>
      <c r="HY67" s="8"/>
      <c r="HZ67" s="7"/>
      <c r="IA67" s="19"/>
      <c r="IB67" s="19"/>
      <c r="IC67" s="19"/>
      <c r="ID67" s="19"/>
      <c r="IF67" s="8"/>
      <c r="IG67" s="7"/>
      <c r="IH67" s="19"/>
      <c r="II67" s="19"/>
      <c r="IJ67" s="19"/>
      <c r="IK67" s="19"/>
      <c r="IM67" s="8"/>
      <c r="IN67" s="7"/>
      <c r="IO67" s="19"/>
      <c r="IP67" s="19"/>
      <c r="IQ67" s="19"/>
      <c r="IR67" s="19"/>
      <c r="IT67" s="8"/>
      <c r="IU67" s="7"/>
      <c r="IV67" s="19"/>
      <c r="IW67" s="19"/>
      <c r="IX67" s="19"/>
      <c r="IY67" s="19"/>
      <c r="JA67" s="8"/>
      <c r="JB67" s="7"/>
      <c r="JC67" s="19"/>
      <c r="JD67" s="19"/>
      <c r="JE67" s="19"/>
      <c r="JF67" s="19"/>
      <c r="JH67" s="8"/>
      <c r="JI67" s="7"/>
      <c r="JJ67" s="19"/>
      <c r="JK67" s="19"/>
      <c r="JL67" s="19"/>
      <c r="JM67" s="19"/>
      <c r="JO67" s="8"/>
      <c r="JP67" s="7"/>
      <c r="JQ67" s="19"/>
      <c r="JR67" s="19"/>
      <c r="JS67" s="19"/>
      <c r="JT67" s="19"/>
      <c r="JV67" s="8"/>
      <c r="JW67" s="7"/>
      <c r="JX67" s="19"/>
      <c r="JY67" s="19"/>
      <c r="JZ67" s="19"/>
      <c r="KA67" s="19"/>
      <c r="KC67" s="8"/>
      <c r="KD67" s="7"/>
      <c r="KE67" s="19"/>
      <c r="KF67" s="19"/>
      <c r="KG67" s="19"/>
      <c r="KH67" s="19"/>
      <c r="KJ67" s="8"/>
      <c r="KK67" s="7"/>
      <c r="KL67" s="19"/>
      <c r="KM67" s="19"/>
      <c r="KN67" s="19"/>
      <c r="KO67" s="19"/>
      <c r="KQ67" s="8"/>
      <c r="KR67" s="7"/>
      <c r="KS67" s="19"/>
      <c r="KT67" s="19"/>
      <c r="KU67" s="19"/>
      <c r="KV67" s="19"/>
      <c r="KX67" s="8"/>
      <c r="KY67" s="7"/>
      <c r="KZ67" s="19"/>
      <c r="LA67" s="19"/>
      <c r="LB67" s="19"/>
      <c r="LC67" s="19"/>
      <c r="LE67" s="8"/>
      <c r="LF67" s="7"/>
      <c r="LG67" s="19"/>
      <c r="LH67" s="19"/>
      <c r="LI67" s="19"/>
      <c r="LJ67" s="19"/>
      <c r="LL67" s="8"/>
      <c r="LM67" s="7"/>
      <c r="LN67" s="19"/>
      <c r="LO67" s="19"/>
      <c r="LP67" s="19"/>
      <c r="LQ67" s="19"/>
      <c r="LS67" s="8"/>
      <c r="LT67" s="7"/>
      <c r="LU67" s="19"/>
      <c r="LV67" s="19"/>
      <c r="LW67" s="19"/>
      <c r="LX67" s="19"/>
      <c r="LZ67" s="8"/>
      <c r="MA67" s="7"/>
      <c r="MB67" s="19"/>
      <c r="MC67" s="19"/>
      <c r="MD67" s="19"/>
      <c r="ME67" s="19"/>
      <c r="MG67" s="8"/>
      <c r="MH67" s="7"/>
      <c r="MI67" s="19"/>
      <c r="MJ67" s="19"/>
      <c r="MK67" s="19"/>
      <c r="ML67" s="19"/>
      <c r="MN67" s="8"/>
      <c r="MO67" s="7"/>
      <c r="MP67" s="19"/>
      <c r="MQ67" s="19"/>
      <c r="MR67" s="19"/>
      <c r="MS67" s="19"/>
      <c r="MU67" s="8"/>
      <c r="MV67" s="7"/>
      <c r="MW67" s="19"/>
      <c r="MX67" s="19"/>
      <c r="MY67" s="19"/>
      <c r="MZ67" s="19"/>
      <c r="NB67" s="8"/>
      <c r="NC67" s="7"/>
      <c r="ND67" s="19"/>
      <c r="NE67" s="19"/>
      <c r="NF67" s="19"/>
      <c r="NG67" s="19"/>
      <c r="NI67" s="8"/>
      <c r="NJ67" s="7"/>
      <c r="NK67" s="19"/>
      <c r="NL67" s="19"/>
      <c r="NM67" s="19"/>
      <c r="NN67" s="19"/>
      <c r="NP67" s="8"/>
      <c r="NQ67" s="7"/>
      <c r="NR67" s="19"/>
      <c r="NS67" s="19"/>
      <c r="NT67" s="19"/>
      <c r="NU67" s="19"/>
      <c r="NW67" s="8"/>
      <c r="NX67" s="7"/>
      <c r="NY67" s="19"/>
      <c r="NZ67" s="19"/>
      <c r="OA67" s="19"/>
      <c r="OB67" s="19"/>
      <c r="OD67" s="8"/>
      <c r="OE67" s="7"/>
      <c r="OF67" s="19"/>
      <c r="OG67" s="19"/>
      <c r="OH67" s="19"/>
      <c r="OI67" s="19"/>
      <c r="OK67" s="8"/>
      <c r="OL67" s="7"/>
      <c r="OM67" s="19"/>
      <c r="ON67" s="19"/>
      <c r="OO67" s="19"/>
      <c r="OP67" s="19"/>
      <c r="OR67" s="8"/>
      <c r="OS67" s="7"/>
      <c r="OT67" s="19"/>
      <c r="OU67" s="19"/>
      <c r="OV67" s="19"/>
      <c r="OW67" s="19"/>
      <c r="OY67" s="8"/>
      <c r="OZ67" s="7"/>
      <c r="PA67" s="19"/>
      <c r="PB67" s="19"/>
      <c r="PC67" s="19"/>
      <c r="PD67" s="19"/>
      <c r="PF67" s="8"/>
      <c r="PG67" s="7"/>
      <c r="PH67" s="19"/>
      <c r="PI67" s="19"/>
      <c r="PJ67" s="19"/>
      <c r="PK67" s="19"/>
      <c r="PM67" s="8"/>
    </row>
    <row r="68" spans="1:429" s="1" customFormat="1" ht="26" customHeight="1" outlineLevel="1">
      <c r="B68" s="471"/>
      <c r="C68" s="7"/>
      <c r="D68" s="19"/>
      <c r="E68" s="19"/>
      <c r="F68" s="19"/>
      <c r="G68" s="19"/>
      <c r="I68" s="8"/>
      <c r="J68" s="7"/>
      <c r="K68" s="19"/>
      <c r="L68" s="19"/>
      <c r="M68" s="19"/>
      <c r="N68" s="19"/>
      <c r="P68" s="8"/>
      <c r="Q68" s="7"/>
      <c r="R68" s="19"/>
      <c r="S68" s="19"/>
      <c r="T68" s="19"/>
      <c r="U68" s="19"/>
      <c r="W68" s="8"/>
      <c r="X68" s="7"/>
      <c r="Y68" s="19"/>
      <c r="Z68" s="19"/>
      <c r="AA68" s="19"/>
      <c r="AB68" s="19"/>
      <c r="AD68" s="8"/>
      <c r="AE68" s="7"/>
      <c r="AF68" s="19"/>
      <c r="AG68" s="19"/>
      <c r="AH68" s="19"/>
      <c r="AI68" s="19"/>
      <c r="AK68" s="8"/>
      <c r="AL68" s="7"/>
      <c r="AM68" s="19"/>
      <c r="AN68" s="19"/>
      <c r="AO68" s="19"/>
      <c r="AP68" s="19"/>
      <c r="AR68" s="8"/>
      <c r="AS68" s="7"/>
      <c r="AT68" s="19"/>
      <c r="AU68" s="19"/>
      <c r="AV68" s="19"/>
      <c r="AW68" s="19"/>
      <c r="AY68" s="8"/>
      <c r="AZ68" s="7"/>
      <c r="BA68" s="19"/>
      <c r="BB68" s="19"/>
      <c r="BC68" s="19"/>
      <c r="BD68" s="19"/>
      <c r="BF68" s="8"/>
      <c r="BG68" s="7"/>
      <c r="BH68" s="19"/>
      <c r="BI68" s="19"/>
      <c r="BJ68" s="19"/>
      <c r="BK68" s="19"/>
      <c r="BM68" s="8"/>
      <c r="BN68" s="7"/>
      <c r="BO68" s="19"/>
      <c r="BP68" s="19"/>
      <c r="BQ68" s="19"/>
      <c r="BR68" s="19"/>
      <c r="BT68" s="8"/>
      <c r="BU68" s="7"/>
      <c r="BV68" s="19"/>
      <c r="BW68" s="19"/>
      <c r="BX68" s="19"/>
      <c r="BY68" s="19"/>
      <c r="CA68" s="8"/>
      <c r="CB68" s="7"/>
      <c r="CC68" s="19"/>
      <c r="CD68" s="19"/>
      <c r="CE68" s="19"/>
      <c r="CF68" s="19"/>
      <c r="CH68" s="8"/>
      <c r="CI68" s="7"/>
      <c r="CJ68" s="19"/>
      <c r="CK68" s="19"/>
      <c r="CL68" s="19"/>
      <c r="CM68" s="19"/>
      <c r="CO68" s="8"/>
      <c r="CP68" s="7"/>
      <c r="CQ68" s="19"/>
      <c r="CR68" s="19"/>
      <c r="CS68" s="19"/>
      <c r="CT68" s="19"/>
      <c r="CV68" s="8"/>
      <c r="CW68" s="7"/>
      <c r="CX68" s="19"/>
      <c r="CY68" s="19"/>
      <c r="CZ68" s="19"/>
      <c r="DA68" s="19"/>
      <c r="DC68" s="8"/>
      <c r="DD68" s="7"/>
      <c r="DE68" s="19"/>
      <c r="DF68" s="19"/>
      <c r="DG68" s="19"/>
      <c r="DH68" s="19"/>
      <c r="DJ68" s="8"/>
      <c r="DK68" s="7" t="s">
        <v>110</v>
      </c>
      <c r="DL68" s="19" t="s">
        <v>184</v>
      </c>
      <c r="DM68" s="19"/>
      <c r="DN68" s="19"/>
      <c r="DO68" s="19"/>
      <c r="DQ68" s="8">
        <v>6</v>
      </c>
      <c r="DR68" s="7"/>
      <c r="DS68" s="19" t="s">
        <v>180</v>
      </c>
      <c r="DT68" s="19"/>
      <c r="DU68" s="19"/>
      <c r="DV68" s="19"/>
      <c r="DX68" s="8">
        <v>6</v>
      </c>
      <c r="DY68" s="7"/>
      <c r="DZ68" s="19" t="s">
        <v>180</v>
      </c>
      <c r="EA68" s="19"/>
      <c r="EB68" s="19"/>
      <c r="EC68" s="19"/>
      <c r="EE68" s="8">
        <v>6</v>
      </c>
      <c r="EF68" s="7" t="s">
        <v>110</v>
      </c>
      <c r="EG68" s="19" t="s">
        <v>462</v>
      </c>
      <c r="EH68" s="19"/>
      <c r="EI68" s="19"/>
      <c r="EJ68" s="19"/>
      <c r="EL68" s="8">
        <v>6</v>
      </c>
      <c r="EM68" s="7"/>
      <c r="EN68" s="19" t="s">
        <v>180</v>
      </c>
      <c r="EO68" s="19"/>
      <c r="EP68" s="19"/>
      <c r="EQ68" s="19"/>
      <c r="ES68" s="8">
        <v>7</v>
      </c>
      <c r="ET68" s="7"/>
      <c r="EU68" s="19" t="s">
        <v>180</v>
      </c>
      <c r="EV68" s="19"/>
      <c r="EW68" s="19"/>
      <c r="EX68" s="19"/>
      <c r="EZ68" s="8">
        <v>8</v>
      </c>
      <c r="FA68" s="7"/>
      <c r="FB68" s="19"/>
      <c r="FC68" s="19"/>
      <c r="FD68" s="19"/>
      <c r="FE68" s="19"/>
      <c r="FG68" s="8"/>
      <c r="FH68" s="7"/>
      <c r="FI68" s="19"/>
      <c r="FJ68" s="19"/>
      <c r="FK68" s="19"/>
      <c r="FL68" s="19"/>
      <c r="FN68" s="8"/>
      <c r="FO68" s="7"/>
      <c r="FP68" s="19"/>
      <c r="FQ68" s="19"/>
      <c r="FR68" s="19"/>
      <c r="FS68" s="19"/>
      <c r="FU68" s="8"/>
      <c r="FV68" s="7"/>
      <c r="FW68" s="19"/>
      <c r="FX68" s="19"/>
      <c r="FY68" s="19"/>
      <c r="FZ68" s="19"/>
      <c r="GB68" s="8"/>
      <c r="GC68" s="7"/>
      <c r="GD68" s="19"/>
      <c r="GE68" s="19"/>
      <c r="GF68" s="19"/>
      <c r="GG68" s="19"/>
      <c r="GI68" s="8"/>
      <c r="GJ68" s="7"/>
      <c r="GK68" s="19"/>
      <c r="GL68" s="19"/>
      <c r="GM68" s="19"/>
      <c r="GN68" s="19"/>
      <c r="GP68" s="8"/>
      <c r="GQ68" s="7"/>
      <c r="GR68" s="19"/>
      <c r="GS68" s="19"/>
      <c r="GT68" s="19"/>
      <c r="GU68" s="19"/>
      <c r="GW68" s="8"/>
      <c r="GX68" s="7"/>
      <c r="GY68" s="19"/>
      <c r="GZ68" s="19"/>
      <c r="HA68" s="19"/>
      <c r="HB68" s="19"/>
      <c r="HD68" s="8"/>
      <c r="HE68" s="7"/>
      <c r="HF68" s="19"/>
      <c r="HG68" s="19"/>
      <c r="HH68" s="19"/>
      <c r="HI68" s="19"/>
      <c r="HK68" s="8"/>
      <c r="HL68" s="7"/>
      <c r="HM68" s="19"/>
      <c r="HN68" s="19"/>
      <c r="HO68" s="19"/>
      <c r="HP68" s="19"/>
      <c r="HR68" s="8"/>
      <c r="HS68" s="7"/>
      <c r="HT68" s="19"/>
      <c r="HU68" s="19"/>
      <c r="HV68" s="19"/>
      <c r="HW68" s="19"/>
      <c r="HY68" s="8"/>
      <c r="HZ68" s="7"/>
      <c r="IA68" s="19"/>
      <c r="IB68" s="19"/>
      <c r="IC68" s="19"/>
      <c r="ID68" s="19"/>
      <c r="IF68" s="8"/>
      <c r="IG68" s="7"/>
      <c r="IH68" s="19"/>
      <c r="II68" s="19"/>
      <c r="IJ68" s="19"/>
      <c r="IK68" s="19"/>
      <c r="IM68" s="8"/>
      <c r="IN68" s="7"/>
      <c r="IO68" s="19"/>
      <c r="IP68" s="19"/>
      <c r="IQ68" s="19"/>
      <c r="IR68" s="19"/>
      <c r="IT68" s="8"/>
      <c r="IU68" s="7"/>
      <c r="IV68" s="19"/>
      <c r="IW68" s="19"/>
      <c r="IX68" s="19"/>
      <c r="IY68" s="19"/>
      <c r="JA68" s="8"/>
      <c r="JB68" s="7"/>
      <c r="JC68" s="19"/>
      <c r="JD68" s="19"/>
      <c r="JE68" s="19"/>
      <c r="JF68" s="19"/>
      <c r="JH68" s="8"/>
      <c r="JI68" s="7"/>
      <c r="JJ68" s="19"/>
      <c r="JK68" s="19"/>
      <c r="JL68" s="19"/>
      <c r="JM68" s="19"/>
      <c r="JO68" s="8"/>
      <c r="JP68" s="7"/>
      <c r="JQ68" s="19"/>
      <c r="JR68" s="19"/>
      <c r="JS68" s="19"/>
      <c r="JT68" s="19"/>
      <c r="JV68" s="8"/>
      <c r="JW68" s="7"/>
      <c r="JX68" s="19"/>
      <c r="JY68" s="19"/>
      <c r="JZ68" s="19"/>
      <c r="KA68" s="19"/>
      <c r="KC68" s="8"/>
      <c r="KD68" s="7"/>
      <c r="KE68" s="19"/>
      <c r="KF68" s="19"/>
      <c r="KG68" s="19"/>
      <c r="KH68" s="19"/>
      <c r="KJ68" s="8"/>
      <c r="KK68" s="7"/>
      <c r="KL68" s="19"/>
      <c r="KM68" s="19"/>
      <c r="KN68" s="19"/>
      <c r="KO68" s="19"/>
      <c r="KQ68" s="8"/>
      <c r="KR68" s="7"/>
      <c r="KS68" s="19"/>
      <c r="KT68" s="19"/>
      <c r="KU68" s="19"/>
      <c r="KV68" s="19"/>
      <c r="KX68" s="8"/>
      <c r="KY68" s="7"/>
      <c r="KZ68" s="19"/>
      <c r="LA68" s="19"/>
      <c r="LB68" s="19"/>
      <c r="LC68" s="19"/>
      <c r="LE68" s="8"/>
      <c r="LF68" s="7"/>
      <c r="LG68" s="19"/>
      <c r="LH68" s="19"/>
      <c r="LI68" s="19"/>
      <c r="LJ68" s="19"/>
      <c r="LL68" s="8"/>
      <c r="LM68" s="7"/>
      <c r="LN68" s="19"/>
      <c r="LO68" s="19"/>
      <c r="LP68" s="19"/>
      <c r="LQ68" s="19"/>
      <c r="LS68" s="8"/>
      <c r="LT68" s="7"/>
      <c r="LU68" s="19"/>
      <c r="LV68" s="19"/>
      <c r="LW68" s="19"/>
      <c r="LX68" s="19"/>
      <c r="LZ68" s="8"/>
      <c r="MA68" s="7"/>
      <c r="MB68" s="19"/>
      <c r="MC68" s="19"/>
      <c r="MD68" s="19"/>
      <c r="ME68" s="19"/>
      <c r="MG68" s="8"/>
      <c r="MH68" s="7"/>
      <c r="MI68" s="19"/>
      <c r="MJ68" s="19"/>
      <c r="MK68" s="19"/>
      <c r="ML68" s="19"/>
      <c r="MN68" s="8"/>
      <c r="MO68" s="7"/>
      <c r="MP68" s="19"/>
      <c r="MQ68" s="19"/>
      <c r="MR68" s="19"/>
      <c r="MS68" s="19"/>
      <c r="MU68" s="8"/>
      <c r="MV68" s="7"/>
      <c r="MW68" s="19"/>
      <c r="MX68" s="19"/>
      <c r="MY68" s="19"/>
      <c r="MZ68" s="19"/>
      <c r="NB68" s="8"/>
      <c r="NC68" s="7"/>
      <c r="ND68" s="19"/>
      <c r="NE68" s="19"/>
      <c r="NF68" s="19"/>
      <c r="NG68" s="19"/>
      <c r="NI68" s="8"/>
      <c r="NJ68" s="7"/>
      <c r="NK68" s="19"/>
      <c r="NL68" s="19"/>
      <c r="NM68" s="19"/>
      <c r="NN68" s="19"/>
      <c r="NP68" s="8"/>
      <c r="NQ68" s="7"/>
      <c r="NR68" s="19"/>
      <c r="NS68" s="19"/>
      <c r="NT68" s="19"/>
      <c r="NU68" s="19"/>
      <c r="NW68" s="8"/>
      <c r="NX68" s="7"/>
      <c r="NY68" s="19"/>
      <c r="NZ68" s="19"/>
      <c r="OA68" s="19"/>
      <c r="OB68" s="19"/>
      <c r="OD68" s="8"/>
      <c r="OE68" s="7"/>
      <c r="OF68" s="19"/>
      <c r="OG68" s="19"/>
      <c r="OH68" s="19"/>
      <c r="OI68" s="19"/>
      <c r="OK68" s="8"/>
      <c r="OL68" s="7"/>
      <c r="OM68" s="19"/>
      <c r="ON68" s="19"/>
      <c r="OO68" s="19"/>
      <c r="OP68" s="19"/>
      <c r="OR68" s="8"/>
      <c r="OS68" s="7"/>
      <c r="OT68" s="19"/>
      <c r="OU68" s="19"/>
      <c r="OV68" s="19"/>
      <c r="OW68" s="19"/>
      <c r="OY68" s="8"/>
      <c r="OZ68" s="7"/>
      <c r="PA68" s="19"/>
      <c r="PB68" s="19"/>
      <c r="PC68" s="19"/>
      <c r="PD68" s="19"/>
      <c r="PF68" s="8"/>
      <c r="PG68" s="7"/>
      <c r="PH68" s="19"/>
      <c r="PI68" s="19"/>
      <c r="PJ68" s="19"/>
      <c r="PK68" s="19"/>
      <c r="PM68" s="8"/>
    </row>
    <row r="69" spans="1:429" s="1" customFormat="1" ht="26" customHeight="1" outlineLevel="1">
      <c r="B69" s="471"/>
      <c r="C69" s="7"/>
      <c r="D69" s="19"/>
      <c r="E69" s="19"/>
      <c r="F69" s="19"/>
      <c r="G69" s="19"/>
      <c r="I69" s="8"/>
      <c r="J69" s="7"/>
      <c r="K69" s="19"/>
      <c r="L69" s="19"/>
      <c r="M69" s="19"/>
      <c r="N69" s="19"/>
      <c r="P69" s="8"/>
      <c r="Q69" s="7"/>
      <c r="R69" s="19"/>
      <c r="S69" s="19"/>
      <c r="T69" s="19"/>
      <c r="U69" s="19"/>
      <c r="W69" s="8"/>
      <c r="X69" s="7"/>
      <c r="Y69" s="19"/>
      <c r="Z69" s="19"/>
      <c r="AA69" s="19"/>
      <c r="AB69" s="19"/>
      <c r="AD69" s="8"/>
      <c r="AE69" s="7"/>
      <c r="AF69" s="19"/>
      <c r="AG69" s="19"/>
      <c r="AH69" s="19"/>
      <c r="AI69" s="19"/>
      <c r="AK69" s="8"/>
      <c r="AL69" s="7"/>
      <c r="AM69" s="19"/>
      <c r="AN69" s="19"/>
      <c r="AO69" s="19"/>
      <c r="AP69" s="19"/>
      <c r="AR69" s="8"/>
      <c r="AS69" s="7"/>
      <c r="AT69" s="19"/>
      <c r="AU69" s="19"/>
      <c r="AV69" s="19"/>
      <c r="AW69" s="19"/>
      <c r="AY69" s="8"/>
      <c r="AZ69" s="7"/>
      <c r="BA69" s="19"/>
      <c r="BB69" s="19"/>
      <c r="BC69" s="19"/>
      <c r="BD69" s="19"/>
      <c r="BF69" s="8"/>
      <c r="BG69" s="7"/>
      <c r="BH69" s="19"/>
      <c r="BI69" s="19"/>
      <c r="BJ69" s="19"/>
      <c r="BK69" s="19"/>
      <c r="BM69" s="8"/>
      <c r="BN69" s="7"/>
      <c r="BO69" s="19"/>
      <c r="BP69" s="19"/>
      <c r="BQ69" s="19"/>
      <c r="BR69" s="19"/>
      <c r="BT69" s="8"/>
      <c r="BU69" s="7"/>
      <c r="BV69" s="19"/>
      <c r="BW69" s="19"/>
      <c r="BX69" s="19"/>
      <c r="BY69" s="19"/>
      <c r="CA69" s="8"/>
      <c r="CB69" s="7"/>
      <c r="CC69" s="19"/>
      <c r="CD69" s="19"/>
      <c r="CE69" s="19"/>
      <c r="CF69" s="19"/>
      <c r="CH69" s="8"/>
      <c r="CI69" s="7"/>
      <c r="CJ69" s="19"/>
      <c r="CK69" s="19"/>
      <c r="CL69" s="19"/>
      <c r="CM69" s="19"/>
      <c r="CO69" s="8"/>
      <c r="CP69" s="7"/>
      <c r="CQ69" s="19"/>
      <c r="CR69" s="19"/>
      <c r="CS69" s="19"/>
      <c r="CT69" s="19"/>
      <c r="CV69" s="8"/>
      <c r="CW69" s="7"/>
      <c r="CX69" s="19"/>
      <c r="CY69" s="19"/>
      <c r="CZ69" s="19"/>
      <c r="DA69" s="19"/>
      <c r="DC69" s="8"/>
      <c r="DD69" s="7"/>
      <c r="DE69" s="19"/>
      <c r="DF69" s="19"/>
      <c r="DG69" s="19"/>
      <c r="DH69" s="19"/>
      <c r="DJ69" s="8"/>
      <c r="DK69" s="7" t="s">
        <v>111</v>
      </c>
      <c r="DL69" s="19" t="s">
        <v>185</v>
      </c>
      <c r="DM69" s="19"/>
      <c r="DN69" s="19"/>
      <c r="DO69" s="19"/>
      <c r="DQ69" s="8">
        <v>8</v>
      </c>
      <c r="DR69" s="7"/>
      <c r="DS69" s="19" t="s">
        <v>180</v>
      </c>
      <c r="DT69" s="19"/>
      <c r="DU69" s="19"/>
      <c r="DV69" s="19"/>
      <c r="DX69" s="8">
        <v>8</v>
      </c>
      <c r="DY69" s="7"/>
      <c r="DZ69" s="19" t="s">
        <v>180</v>
      </c>
      <c r="EA69" s="19"/>
      <c r="EB69" s="19"/>
      <c r="EC69" s="19"/>
      <c r="EE69" s="8">
        <v>8</v>
      </c>
      <c r="EF69" s="7" t="s">
        <v>111</v>
      </c>
      <c r="EG69" s="19" t="s">
        <v>463</v>
      </c>
      <c r="EH69" s="19"/>
      <c r="EI69" s="19"/>
      <c r="EJ69" s="19"/>
      <c r="EL69" s="8">
        <v>8</v>
      </c>
      <c r="EM69" s="7"/>
      <c r="EN69" s="19" t="s">
        <v>180</v>
      </c>
      <c r="EO69" s="19"/>
      <c r="EP69" s="19"/>
      <c r="EQ69" s="19"/>
      <c r="ES69" s="8">
        <v>8</v>
      </c>
      <c r="ET69" s="7"/>
      <c r="EU69" s="19" t="s">
        <v>180</v>
      </c>
      <c r="EV69" s="19"/>
      <c r="EW69" s="19"/>
      <c r="EX69" s="19"/>
      <c r="EZ69" s="8">
        <v>8</v>
      </c>
      <c r="FA69" s="7"/>
      <c r="FB69" s="19"/>
      <c r="FC69" s="19"/>
      <c r="FD69" s="19"/>
      <c r="FE69" s="19"/>
      <c r="FG69" s="8"/>
      <c r="FH69" s="7"/>
      <c r="FI69" s="19"/>
      <c r="FJ69" s="19"/>
      <c r="FK69" s="19"/>
      <c r="FL69" s="19"/>
      <c r="FN69" s="8"/>
      <c r="FO69" s="7"/>
      <c r="FP69" s="19"/>
      <c r="FQ69" s="19"/>
      <c r="FR69" s="19"/>
      <c r="FS69" s="19"/>
      <c r="FU69" s="8"/>
      <c r="FV69" s="7"/>
      <c r="FW69" s="19"/>
      <c r="FX69" s="19"/>
      <c r="FY69" s="19"/>
      <c r="FZ69" s="19"/>
      <c r="GB69" s="8"/>
      <c r="GC69" s="7"/>
      <c r="GD69" s="19"/>
      <c r="GE69" s="19"/>
      <c r="GF69" s="19"/>
      <c r="GG69" s="19"/>
      <c r="GI69" s="8"/>
      <c r="GJ69" s="7"/>
      <c r="GK69" s="19"/>
      <c r="GL69" s="19"/>
      <c r="GM69" s="19"/>
      <c r="GN69" s="19"/>
      <c r="GP69" s="8"/>
      <c r="GQ69" s="7"/>
      <c r="GR69" s="19"/>
      <c r="GS69" s="19"/>
      <c r="GT69" s="19"/>
      <c r="GU69" s="19"/>
      <c r="GW69" s="8"/>
      <c r="GX69" s="7"/>
      <c r="GY69" s="19"/>
      <c r="GZ69" s="19"/>
      <c r="HA69" s="19"/>
      <c r="HB69" s="19"/>
      <c r="HD69" s="8"/>
      <c r="HE69" s="7"/>
      <c r="HF69" s="19"/>
      <c r="HG69" s="19"/>
      <c r="HH69" s="19"/>
      <c r="HI69" s="19"/>
      <c r="HK69" s="8"/>
      <c r="HL69" s="7"/>
      <c r="HM69" s="19"/>
      <c r="HN69" s="19"/>
      <c r="HO69" s="19"/>
      <c r="HP69" s="19"/>
      <c r="HR69" s="8"/>
      <c r="HS69" s="7"/>
      <c r="HT69" s="19"/>
      <c r="HU69" s="19"/>
      <c r="HV69" s="19"/>
      <c r="HW69" s="19"/>
      <c r="HY69" s="8"/>
      <c r="HZ69" s="7"/>
      <c r="IA69" s="19"/>
      <c r="IB69" s="19"/>
      <c r="IC69" s="19"/>
      <c r="ID69" s="19"/>
      <c r="IF69" s="8"/>
      <c r="IG69" s="7"/>
      <c r="IH69" s="19"/>
      <c r="II69" s="19"/>
      <c r="IJ69" s="19"/>
      <c r="IK69" s="19"/>
      <c r="IM69" s="8"/>
      <c r="IN69" s="7"/>
      <c r="IO69" s="19"/>
      <c r="IP69" s="19"/>
      <c r="IQ69" s="19"/>
      <c r="IR69" s="19"/>
      <c r="IT69" s="8"/>
      <c r="IU69" s="7"/>
      <c r="IV69" s="19"/>
      <c r="IW69" s="19"/>
      <c r="IX69" s="19"/>
      <c r="IY69" s="19"/>
      <c r="JA69" s="8"/>
      <c r="JB69" s="7"/>
      <c r="JC69" s="19"/>
      <c r="JD69" s="19"/>
      <c r="JE69" s="19"/>
      <c r="JF69" s="19"/>
      <c r="JH69" s="8"/>
      <c r="JI69" s="7"/>
      <c r="JJ69" s="19"/>
      <c r="JK69" s="19"/>
      <c r="JL69" s="19"/>
      <c r="JM69" s="19"/>
      <c r="JO69" s="8"/>
      <c r="JP69" s="7"/>
      <c r="JQ69" s="19"/>
      <c r="JR69" s="19"/>
      <c r="JS69" s="19"/>
      <c r="JT69" s="19"/>
      <c r="JV69" s="8"/>
      <c r="JW69" s="7"/>
      <c r="JX69" s="19"/>
      <c r="JY69" s="19"/>
      <c r="JZ69" s="19"/>
      <c r="KA69" s="19"/>
      <c r="KC69" s="8"/>
      <c r="KD69" s="7"/>
      <c r="KE69" s="19"/>
      <c r="KF69" s="19"/>
      <c r="KG69" s="19"/>
      <c r="KH69" s="19"/>
      <c r="KJ69" s="8"/>
      <c r="KK69" s="7"/>
      <c r="KL69" s="19"/>
      <c r="KM69" s="19"/>
      <c r="KN69" s="19"/>
      <c r="KO69" s="19"/>
      <c r="KQ69" s="8"/>
      <c r="KR69" s="7"/>
      <c r="KS69" s="19"/>
      <c r="KT69" s="19"/>
      <c r="KU69" s="19"/>
      <c r="KV69" s="19"/>
      <c r="KX69" s="8"/>
      <c r="KY69" s="7"/>
      <c r="KZ69" s="19"/>
      <c r="LA69" s="19"/>
      <c r="LB69" s="19"/>
      <c r="LC69" s="19"/>
      <c r="LE69" s="8"/>
      <c r="LF69" s="7"/>
      <c r="LG69" s="19"/>
      <c r="LH69" s="19"/>
      <c r="LI69" s="19"/>
      <c r="LJ69" s="19"/>
      <c r="LL69" s="8"/>
      <c r="LM69" s="7"/>
      <c r="LN69" s="19"/>
      <c r="LO69" s="19"/>
      <c r="LP69" s="19"/>
      <c r="LQ69" s="19"/>
      <c r="LS69" s="8"/>
      <c r="LT69" s="7"/>
      <c r="LU69" s="19"/>
      <c r="LV69" s="19"/>
      <c r="LW69" s="19"/>
      <c r="LX69" s="19"/>
      <c r="LZ69" s="8"/>
      <c r="MA69" s="7"/>
      <c r="MB69" s="19"/>
      <c r="MC69" s="19"/>
      <c r="MD69" s="19"/>
      <c r="ME69" s="19"/>
      <c r="MG69" s="8"/>
      <c r="MH69" s="7"/>
      <c r="MI69" s="19"/>
      <c r="MJ69" s="19"/>
      <c r="MK69" s="19"/>
      <c r="ML69" s="19"/>
      <c r="MN69" s="8"/>
      <c r="MO69" s="7"/>
      <c r="MP69" s="19"/>
      <c r="MQ69" s="19"/>
      <c r="MR69" s="19"/>
      <c r="MS69" s="19"/>
      <c r="MU69" s="8"/>
      <c r="MV69" s="7"/>
      <c r="MW69" s="19"/>
      <c r="MX69" s="19"/>
      <c r="MY69" s="19"/>
      <c r="MZ69" s="19"/>
      <c r="NB69" s="8"/>
      <c r="NC69" s="7"/>
      <c r="ND69" s="19"/>
      <c r="NE69" s="19"/>
      <c r="NF69" s="19"/>
      <c r="NG69" s="19"/>
      <c r="NI69" s="8"/>
      <c r="NJ69" s="7"/>
      <c r="NK69" s="19"/>
      <c r="NL69" s="19"/>
      <c r="NM69" s="19"/>
      <c r="NN69" s="19"/>
      <c r="NP69" s="8"/>
      <c r="NQ69" s="7"/>
      <c r="NR69" s="19"/>
      <c r="NS69" s="19"/>
      <c r="NT69" s="19"/>
      <c r="NU69" s="19"/>
      <c r="NW69" s="8"/>
      <c r="NX69" s="7"/>
      <c r="NY69" s="19"/>
      <c r="NZ69" s="19"/>
      <c r="OA69" s="19"/>
      <c r="OB69" s="19"/>
      <c r="OD69" s="8"/>
      <c r="OE69" s="7"/>
      <c r="OF69" s="19"/>
      <c r="OG69" s="19"/>
      <c r="OH69" s="19"/>
      <c r="OI69" s="19"/>
      <c r="OK69" s="8"/>
      <c r="OL69" s="7"/>
      <c r="OM69" s="19"/>
      <c r="ON69" s="19"/>
      <c r="OO69" s="19"/>
      <c r="OP69" s="19"/>
      <c r="OR69" s="8"/>
      <c r="OS69" s="7"/>
      <c r="OT69" s="19"/>
      <c r="OU69" s="19"/>
      <c r="OV69" s="19"/>
      <c r="OW69" s="19"/>
      <c r="OY69" s="8"/>
      <c r="OZ69" s="7"/>
      <c r="PA69" s="19"/>
      <c r="PB69" s="19"/>
      <c r="PC69" s="19"/>
      <c r="PD69" s="19"/>
      <c r="PF69" s="8"/>
      <c r="PG69" s="7"/>
      <c r="PH69" s="19"/>
      <c r="PI69" s="19"/>
      <c r="PJ69" s="19"/>
      <c r="PK69" s="19"/>
      <c r="PM69" s="8"/>
    </row>
    <row r="70" spans="1:429" s="1" customFormat="1" ht="26" customHeight="1" outlineLevel="1">
      <c r="B70" s="471"/>
      <c r="C70" s="7"/>
      <c r="D70" s="19"/>
      <c r="E70" s="19"/>
      <c r="F70" s="19"/>
      <c r="G70" s="19"/>
      <c r="I70" s="8"/>
      <c r="J70" s="7"/>
      <c r="K70" s="19"/>
      <c r="L70" s="19"/>
      <c r="M70" s="19"/>
      <c r="N70" s="19"/>
      <c r="P70" s="8"/>
      <c r="Q70" s="7"/>
      <c r="R70" s="19"/>
      <c r="S70" s="19"/>
      <c r="T70" s="19"/>
      <c r="U70" s="19"/>
      <c r="W70" s="8"/>
      <c r="X70" s="7"/>
      <c r="Y70" s="19"/>
      <c r="Z70" s="19"/>
      <c r="AA70" s="19"/>
      <c r="AB70" s="19"/>
      <c r="AD70" s="8"/>
      <c r="AE70" s="7"/>
      <c r="AF70" s="19"/>
      <c r="AG70" s="19"/>
      <c r="AH70" s="19"/>
      <c r="AI70" s="19"/>
      <c r="AK70" s="8"/>
      <c r="AL70" s="7"/>
      <c r="AM70" s="19"/>
      <c r="AN70" s="19"/>
      <c r="AO70" s="19"/>
      <c r="AP70" s="19"/>
      <c r="AR70" s="8"/>
      <c r="AS70" s="7"/>
      <c r="AT70" s="19"/>
      <c r="AU70" s="19"/>
      <c r="AV70" s="19"/>
      <c r="AW70" s="19"/>
      <c r="AY70" s="8"/>
      <c r="AZ70" s="7"/>
      <c r="BA70" s="19"/>
      <c r="BB70" s="19"/>
      <c r="BC70" s="19"/>
      <c r="BD70" s="19"/>
      <c r="BF70" s="8"/>
      <c r="BG70" s="7"/>
      <c r="BH70" s="19"/>
      <c r="BI70" s="19"/>
      <c r="BJ70" s="19"/>
      <c r="BK70" s="19"/>
      <c r="BM70" s="8"/>
      <c r="BN70" s="7"/>
      <c r="BO70" s="19"/>
      <c r="BP70" s="19"/>
      <c r="BQ70" s="19"/>
      <c r="BR70" s="19"/>
      <c r="BT70" s="8"/>
      <c r="BU70" s="7"/>
      <c r="BV70" s="19"/>
      <c r="BW70" s="19"/>
      <c r="BX70" s="19"/>
      <c r="BY70" s="19"/>
      <c r="CA70" s="8"/>
      <c r="CB70" s="7"/>
      <c r="CC70" s="19"/>
      <c r="CD70" s="19"/>
      <c r="CE70" s="19"/>
      <c r="CF70" s="19"/>
      <c r="CH70" s="8"/>
      <c r="CI70" s="7"/>
      <c r="CJ70" s="19"/>
      <c r="CK70" s="19"/>
      <c r="CL70" s="19"/>
      <c r="CM70" s="19"/>
      <c r="CO70" s="8"/>
      <c r="CP70" s="7"/>
      <c r="CQ70" s="19"/>
      <c r="CR70" s="19"/>
      <c r="CS70" s="19"/>
      <c r="CT70" s="19"/>
      <c r="CV70" s="8"/>
      <c r="CW70" s="7"/>
      <c r="CX70" s="19"/>
      <c r="CY70" s="19"/>
      <c r="CZ70" s="19"/>
      <c r="DA70" s="19"/>
      <c r="DC70" s="8"/>
      <c r="DD70" s="7"/>
      <c r="DE70" s="19"/>
      <c r="DF70" s="19"/>
      <c r="DG70" s="19"/>
      <c r="DH70" s="19"/>
      <c r="DJ70" s="8"/>
      <c r="DK70" s="7" t="s">
        <v>113</v>
      </c>
      <c r="DL70" s="19" t="s">
        <v>57</v>
      </c>
      <c r="DM70" s="19"/>
      <c r="DN70" s="19"/>
      <c r="DO70" s="19"/>
      <c r="DP70" s="1" t="s">
        <v>181</v>
      </c>
      <c r="DQ70" s="8">
        <v>8</v>
      </c>
      <c r="DR70" s="7"/>
      <c r="DS70" s="19" t="s">
        <v>180</v>
      </c>
      <c r="DT70" s="19"/>
      <c r="DU70" s="19"/>
      <c r="DV70" s="19"/>
      <c r="DW70" s="1" t="s">
        <v>181</v>
      </c>
      <c r="DX70" s="8">
        <v>9</v>
      </c>
      <c r="DY70" s="7"/>
      <c r="DZ70" s="19" t="s">
        <v>180</v>
      </c>
      <c r="EA70" s="19"/>
      <c r="EB70" s="19"/>
      <c r="EC70" s="19"/>
      <c r="ED70" s="1" t="s">
        <v>181</v>
      </c>
      <c r="EE70" s="8">
        <v>10</v>
      </c>
      <c r="EF70" s="7" t="s">
        <v>113</v>
      </c>
      <c r="EG70" s="19" t="s">
        <v>464</v>
      </c>
      <c r="EH70" s="19"/>
      <c r="EI70" s="19"/>
      <c r="EJ70" s="19"/>
      <c r="EL70" s="8" t="s">
        <v>446</v>
      </c>
      <c r="EM70" s="7"/>
      <c r="EN70" s="19" t="s">
        <v>180</v>
      </c>
      <c r="EO70" s="19"/>
      <c r="EP70" s="19"/>
      <c r="EQ70" s="19"/>
      <c r="ES70" s="8" t="s">
        <v>446</v>
      </c>
      <c r="ET70" s="7"/>
      <c r="EU70" s="19" t="s">
        <v>180</v>
      </c>
      <c r="EV70" s="19"/>
      <c r="EW70" s="19"/>
      <c r="EX70" s="19"/>
      <c r="EZ70" s="8" t="s">
        <v>446</v>
      </c>
      <c r="FA70" s="7"/>
      <c r="FB70" s="19"/>
      <c r="FC70" s="19"/>
      <c r="FD70" s="19"/>
      <c r="FE70" s="19"/>
      <c r="FG70" s="8"/>
      <c r="FH70" s="7"/>
      <c r="FI70" s="19"/>
      <c r="FJ70" s="19"/>
      <c r="FK70" s="19"/>
      <c r="FL70" s="19"/>
      <c r="FN70" s="8"/>
      <c r="FO70" s="7"/>
      <c r="FP70" s="19"/>
      <c r="FQ70" s="19"/>
      <c r="FR70" s="19"/>
      <c r="FS70" s="19"/>
      <c r="FU70" s="8"/>
      <c r="FV70" s="7"/>
      <c r="FW70" s="19"/>
      <c r="FX70" s="19"/>
      <c r="FY70" s="19"/>
      <c r="FZ70" s="19"/>
      <c r="GB70" s="8"/>
      <c r="GC70" s="7"/>
      <c r="GD70" s="19"/>
      <c r="GE70" s="19"/>
      <c r="GF70" s="19"/>
      <c r="GG70" s="19"/>
      <c r="GI70" s="8"/>
      <c r="GJ70" s="7"/>
      <c r="GK70" s="19"/>
      <c r="GL70" s="19"/>
      <c r="GM70" s="19"/>
      <c r="GN70" s="19"/>
      <c r="GP70" s="8"/>
      <c r="GQ70" s="7"/>
      <c r="GR70" s="19"/>
      <c r="GS70" s="19"/>
      <c r="GT70" s="19"/>
      <c r="GU70" s="19"/>
      <c r="GW70" s="8"/>
      <c r="GX70" s="7"/>
      <c r="GY70" s="19"/>
      <c r="GZ70" s="19"/>
      <c r="HA70" s="19"/>
      <c r="HB70" s="19"/>
      <c r="HD70" s="8"/>
      <c r="HE70" s="7"/>
      <c r="HF70" s="19"/>
      <c r="HG70" s="19"/>
      <c r="HH70" s="19"/>
      <c r="HI70" s="19"/>
      <c r="HK70" s="8"/>
      <c r="HL70" s="7"/>
      <c r="HM70" s="19"/>
      <c r="HN70" s="19"/>
      <c r="HO70" s="19"/>
      <c r="HP70" s="19"/>
      <c r="HR70" s="8"/>
      <c r="HS70" s="7"/>
      <c r="HT70" s="19"/>
      <c r="HU70" s="19"/>
      <c r="HV70" s="19"/>
      <c r="HW70" s="19"/>
      <c r="HY70" s="8"/>
      <c r="HZ70" s="7"/>
      <c r="IA70" s="19"/>
      <c r="IB70" s="19"/>
      <c r="IC70" s="19"/>
      <c r="ID70" s="19"/>
      <c r="IF70" s="8"/>
      <c r="IG70" s="7"/>
      <c r="IH70" s="19"/>
      <c r="II70" s="19"/>
      <c r="IJ70" s="19"/>
      <c r="IK70" s="19"/>
      <c r="IM70" s="8"/>
      <c r="IN70" s="7"/>
      <c r="IO70" s="19"/>
      <c r="IP70" s="19"/>
      <c r="IQ70" s="19"/>
      <c r="IR70" s="19"/>
      <c r="IT70" s="8"/>
      <c r="IU70" s="7"/>
      <c r="IV70" s="19"/>
      <c r="IW70" s="19"/>
      <c r="IX70" s="19"/>
      <c r="IY70" s="19"/>
      <c r="JA70" s="8"/>
      <c r="JB70" s="7"/>
      <c r="JC70" s="19"/>
      <c r="JD70" s="19"/>
      <c r="JE70" s="19"/>
      <c r="JF70" s="19"/>
      <c r="JH70" s="8"/>
      <c r="JI70" s="7"/>
      <c r="JJ70" s="19"/>
      <c r="JK70" s="19"/>
      <c r="JL70" s="19"/>
      <c r="JM70" s="19"/>
      <c r="JO70" s="8"/>
      <c r="JP70" s="7"/>
      <c r="JQ70" s="19"/>
      <c r="JR70" s="19"/>
      <c r="JS70" s="19"/>
      <c r="JT70" s="19"/>
      <c r="JV70" s="8"/>
      <c r="JW70" s="7"/>
      <c r="JX70" s="19"/>
      <c r="JY70" s="19"/>
      <c r="JZ70" s="19"/>
      <c r="KA70" s="19"/>
      <c r="KC70" s="8"/>
      <c r="KD70" s="7"/>
      <c r="KE70" s="19"/>
      <c r="KF70" s="19"/>
      <c r="KG70" s="19"/>
      <c r="KH70" s="19"/>
      <c r="KJ70" s="8"/>
      <c r="KK70" s="7"/>
      <c r="KL70" s="19"/>
      <c r="KM70" s="19"/>
      <c r="KN70" s="19"/>
      <c r="KO70" s="19"/>
      <c r="KQ70" s="8"/>
      <c r="KR70" s="7"/>
      <c r="KS70" s="19"/>
      <c r="KT70" s="19"/>
      <c r="KU70" s="19"/>
      <c r="KV70" s="19"/>
      <c r="KX70" s="8"/>
      <c r="KY70" s="7"/>
      <c r="KZ70" s="19"/>
      <c r="LA70" s="19"/>
      <c r="LB70" s="19"/>
      <c r="LC70" s="19"/>
      <c r="LE70" s="8"/>
      <c r="LF70" s="7"/>
      <c r="LG70" s="19"/>
      <c r="LH70" s="19"/>
      <c r="LI70" s="19"/>
      <c r="LJ70" s="19"/>
      <c r="LL70" s="8"/>
      <c r="LM70" s="7"/>
      <c r="LN70" s="19"/>
      <c r="LO70" s="19"/>
      <c r="LP70" s="19"/>
      <c r="LQ70" s="19"/>
      <c r="LS70" s="8"/>
      <c r="LT70" s="7"/>
      <c r="LU70" s="19"/>
      <c r="LV70" s="19"/>
      <c r="LW70" s="19"/>
      <c r="LX70" s="19"/>
      <c r="LZ70" s="8"/>
      <c r="MA70" s="7"/>
      <c r="MB70" s="19"/>
      <c r="MC70" s="19"/>
      <c r="MD70" s="19"/>
      <c r="ME70" s="19"/>
      <c r="MG70" s="8"/>
      <c r="MH70" s="7"/>
      <c r="MI70" s="19"/>
      <c r="MJ70" s="19"/>
      <c r="MK70" s="19"/>
      <c r="ML70" s="19"/>
      <c r="MN70" s="8"/>
      <c r="MO70" s="7"/>
      <c r="MP70" s="19"/>
      <c r="MQ70" s="19"/>
      <c r="MR70" s="19"/>
      <c r="MS70" s="19"/>
      <c r="MU70" s="8"/>
      <c r="MV70" s="7"/>
      <c r="MW70" s="19"/>
      <c r="MX70" s="19"/>
      <c r="MY70" s="19"/>
      <c r="MZ70" s="19"/>
      <c r="NB70" s="8"/>
      <c r="NC70" s="7"/>
      <c r="ND70" s="19"/>
      <c r="NE70" s="19"/>
      <c r="NF70" s="19"/>
      <c r="NG70" s="19"/>
      <c r="NI70" s="8"/>
      <c r="NJ70" s="7"/>
      <c r="NK70" s="19"/>
      <c r="NL70" s="19"/>
      <c r="NM70" s="19"/>
      <c r="NN70" s="19"/>
      <c r="NP70" s="8"/>
      <c r="NQ70" s="7"/>
      <c r="NR70" s="19"/>
      <c r="NS70" s="19"/>
      <c r="NT70" s="19"/>
      <c r="NU70" s="19"/>
      <c r="NW70" s="8"/>
      <c r="NX70" s="7"/>
      <c r="NY70" s="19"/>
      <c r="NZ70" s="19"/>
      <c r="OA70" s="19"/>
      <c r="OB70" s="19"/>
      <c r="OD70" s="8"/>
      <c r="OE70" s="7"/>
      <c r="OF70" s="19"/>
      <c r="OG70" s="19"/>
      <c r="OH70" s="19"/>
      <c r="OI70" s="19"/>
      <c r="OK70" s="8"/>
      <c r="OL70" s="7"/>
      <c r="OM70" s="19"/>
      <c r="ON70" s="19"/>
      <c r="OO70" s="19"/>
      <c r="OP70" s="19"/>
      <c r="OR70" s="8"/>
      <c r="OS70" s="7"/>
      <c r="OT70" s="19"/>
      <c r="OU70" s="19"/>
      <c r="OV70" s="19"/>
      <c r="OW70" s="19"/>
      <c r="OY70" s="8"/>
      <c r="OZ70" s="7"/>
      <c r="PA70" s="19"/>
      <c r="PB70" s="19"/>
      <c r="PC70" s="19"/>
      <c r="PD70" s="19"/>
      <c r="PF70" s="8"/>
      <c r="PG70" s="7"/>
      <c r="PH70" s="19"/>
      <c r="PI70" s="19"/>
      <c r="PJ70" s="19"/>
      <c r="PK70" s="19"/>
      <c r="PM70" s="8"/>
    </row>
    <row r="71" spans="1:429" s="1" customFormat="1" ht="26" customHeight="1" outlineLevel="1">
      <c r="B71" s="471"/>
      <c r="C71" s="7"/>
      <c r="D71" s="19"/>
      <c r="E71" s="19"/>
      <c r="F71" s="19"/>
      <c r="G71" s="19"/>
      <c r="I71" s="8"/>
      <c r="J71" s="7"/>
      <c r="K71" s="19"/>
      <c r="L71" s="19"/>
      <c r="M71" s="19"/>
      <c r="N71" s="19"/>
      <c r="P71" s="8"/>
      <c r="Q71" s="7"/>
      <c r="R71" s="19"/>
      <c r="S71" s="19"/>
      <c r="T71" s="19"/>
      <c r="U71" s="19"/>
      <c r="W71" s="8"/>
      <c r="X71" s="7"/>
      <c r="Y71" s="19"/>
      <c r="Z71" s="19"/>
      <c r="AA71" s="19"/>
      <c r="AB71" s="19"/>
      <c r="AD71" s="8"/>
      <c r="AE71" s="7"/>
      <c r="AF71" s="19"/>
      <c r="AG71" s="19"/>
      <c r="AH71" s="19"/>
      <c r="AI71" s="19"/>
      <c r="AK71" s="8"/>
      <c r="AL71" s="7"/>
      <c r="AM71" s="19"/>
      <c r="AN71" s="19"/>
      <c r="AO71" s="19"/>
      <c r="AP71" s="19"/>
      <c r="AR71" s="8"/>
      <c r="AS71" s="7"/>
      <c r="AT71" s="19"/>
      <c r="AU71" s="19"/>
      <c r="AV71" s="19"/>
      <c r="AW71" s="19"/>
      <c r="AY71" s="8"/>
      <c r="AZ71" s="7"/>
      <c r="BA71" s="19"/>
      <c r="BB71" s="19"/>
      <c r="BC71" s="19"/>
      <c r="BD71" s="19"/>
      <c r="BF71" s="8"/>
      <c r="BG71" s="7"/>
      <c r="BH71" s="19"/>
      <c r="BI71" s="19"/>
      <c r="BJ71" s="19"/>
      <c r="BK71" s="19"/>
      <c r="BM71" s="8"/>
      <c r="BN71" s="7"/>
      <c r="BO71" s="19"/>
      <c r="BP71" s="19"/>
      <c r="BQ71" s="19"/>
      <c r="BR71" s="19"/>
      <c r="BT71" s="8"/>
      <c r="BU71" s="7"/>
      <c r="BV71" s="19"/>
      <c r="BW71" s="19"/>
      <c r="BX71" s="19"/>
      <c r="BY71" s="19"/>
      <c r="CA71" s="8"/>
      <c r="CB71" s="7"/>
      <c r="CC71" s="19"/>
      <c r="CD71" s="19"/>
      <c r="CE71" s="19"/>
      <c r="CF71" s="19"/>
      <c r="CH71" s="8"/>
      <c r="CI71" s="7"/>
      <c r="CJ71" s="19"/>
      <c r="CK71" s="19"/>
      <c r="CL71" s="19"/>
      <c r="CM71" s="19"/>
      <c r="CO71" s="8"/>
      <c r="CP71" s="7"/>
      <c r="CQ71" s="19"/>
      <c r="CR71" s="19"/>
      <c r="CS71" s="19"/>
      <c r="CT71" s="19"/>
      <c r="CV71" s="8"/>
      <c r="CW71" s="7"/>
      <c r="CX71" s="19"/>
      <c r="CY71" s="19"/>
      <c r="CZ71" s="19"/>
      <c r="DA71" s="19"/>
      <c r="DC71" s="8"/>
      <c r="DD71" s="7"/>
      <c r="DE71" s="19"/>
      <c r="DF71" s="19"/>
      <c r="DG71" s="19"/>
      <c r="DH71" s="19"/>
      <c r="DJ71" s="8"/>
      <c r="DK71" s="7" t="s">
        <v>114</v>
      </c>
      <c r="DL71" s="19" t="s">
        <v>186</v>
      </c>
      <c r="DM71" s="19"/>
      <c r="DN71" s="19"/>
      <c r="DO71" s="19"/>
      <c r="DQ71" s="8">
        <v>8</v>
      </c>
      <c r="DR71" s="7"/>
      <c r="DS71" s="19" t="s">
        <v>180</v>
      </c>
      <c r="DT71" s="19"/>
      <c r="DU71" s="19"/>
      <c r="DV71" s="19"/>
      <c r="DX71" s="8">
        <v>9</v>
      </c>
      <c r="DY71" s="7"/>
      <c r="DZ71" s="19" t="s">
        <v>180</v>
      </c>
      <c r="EA71" s="19"/>
      <c r="EB71" s="19"/>
      <c r="EC71" s="19"/>
      <c r="EE71" s="8">
        <v>10</v>
      </c>
      <c r="EF71" s="7" t="s">
        <v>114</v>
      </c>
      <c r="EG71" s="19" t="s">
        <v>57</v>
      </c>
      <c r="EH71" s="19"/>
      <c r="EI71" s="19"/>
      <c r="EJ71" s="19"/>
      <c r="EK71" s="1" t="s">
        <v>181</v>
      </c>
      <c r="EL71" s="8">
        <v>10</v>
      </c>
      <c r="EM71" s="7"/>
      <c r="EN71" s="19" t="s">
        <v>180</v>
      </c>
      <c r="EO71" s="19"/>
      <c r="EP71" s="19"/>
      <c r="EQ71" s="19"/>
      <c r="ES71" s="8">
        <v>11</v>
      </c>
      <c r="ET71" s="7"/>
      <c r="EU71" s="19" t="s">
        <v>180</v>
      </c>
      <c r="EV71" s="19"/>
      <c r="EW71" s="19"/>
      <c r="EX71" s="19"/>
      <c r="EZ71" s="8">
        <v>12</v>
      </c>
      <c r="FA71" s="7"/>
      <c r="FB71" s="19"/>
      <c r="FC71" s="19"/>
      <c r="FD71" s="19"/>
      <c r="FE71" s="19"/>
      <c r="FG71" s="8"/>
      <c r="FH71" s="7"/>
      <c r="FI71" s="19"/>
      <c r="FJ71" s="19"/>
      <c r="FK71" s="19"/>
      <c r="FL71" s="19"/>
      <c r="FN71" s="8"/>
      <c r="FO71" s="7"/>
      <c r="FP71" s="19"/>
      <c r="FQ71" s="19"/>
      <c r="FR71" s="19"/>
      <c r="FS71" s="19"/>
      <c r="FU71" s="8"/>
      <c r="FV71" s="7"/>
      <c r="FW71" s="19"/>
      <c r="FX71" s="19"/>
      <c r="FY71" s="19"/>
      <c r="FZ71" s="19"/>
      <c r="GB71" s="8"/>
      <c r="GC71" s="7"/>
      <c r="GD71" s="19"/>
      <c r="GE71" s="19"/>
      <c r="GF71" s="19"/>
      <c r="GG71" s="19"/>
      <c r="GI71" s="8"/>
      <c r="GJ71" s="7"/>
      <c r="GK71" s="19"/>
      <c r="GL71" s="19"/>
      <c r="GM71" s="19"/>
      <c r="GN71" s="19"/>
      <c r="GP71" s="8"/>
      <c r="GQ71" s="7"/>
      <c r="GR71" s="19"/>
      <c r="GS71" s="19"/>
      <c r="GT71" s="19"/>
      <c r="GU71" s="19"/>
      <c r="GW71" s="8"/>
      <c r="GX71" s="7"/>
      <c r="GY71" s="19"/>
      <c r="GZ71" s="19"/>
      <c r="HA71" s="19"/>
      <c r="HB71" s="19"/>
      <c r="HD71" s="8"/>
      <c r="HE71" s="7"/>
      <c r="HF71" s="19"/>
      <c r="HG71" s="19"/>
      <c r="HH71" s="19"/>
      <c r="HI71" s="19"/>
      <c r="HK71" s="8"/>
      <c r="HL71" s="7"/>
      <c r="HM71" s="19"/>
      <c r="HN71" s="19"/>
      <c r="HO71" s="19"/>
      <c r="HP71" s="19"/>
      <c r="HR71" s="8"/>
      <c r="HS71" s="7"/>
      <c r="HT71" s="19"/>
      <c r="HU71" s="19"/>
      <c r="HV71" s="19"/>
      <c r="HW71" s="19"/>
      <c r="HY71" s="8"/>
      <c r="HZ71" s="7"/>
      <c r="IA71" s="19"/>
      <c r="IB71" s="19"/>
      <c r="IC71" s="19"/>
      <c r="ID71" s="19"/>
      <c r="IF71" s="8"/>
      <c r="IG71" s="7"/>
      <c r="IH71" s="19"/>
      <c r="II71" s="19"/>
      <c r="IJ71" s="19"/>
      <c r="IK71" s="19"/>
      <c r="IM71" s="8"/>
      <c r="IN71" s="7"/>
      <c r="IO71" s="19"/>
      <c r="IP71" s="19"/>
      <c r="IQ71" s="19"/>
      <c r="IR71" s="19"/>
      <c r="IT71" s="8"/>
      <c r="IU71" s="7"/>
      <c r="IV71" s="19"/>
      <c r="IW71" s="19"/>
      <c r="IX71" s="19"/>
      <c r="IY71" s="19"/>
      <c r="JA71" s="8"/>
      <c r="JB71" s="7"/>
      <c r="JC71" s="19"/>
      <c r="JD71" s="19"/>
      <c r="JE71" s="19"/>
      <c r="JF71" s="19"/>
      <c r="JH71" s="8"/>
      <c r="JI71" s="7"/>
      <c r="JJ71" s="19"/>
      <c r="JK71" s="19"/>
      <c r="JL71" s="19"/>
      <c r="JM71" s="19"/>
      <c r="JO71" s="8"/>
      <c r="JP71" s="7"/>
      <c r="JQ71" s="19"/>
      <c r="JR71" s="19"/>
      <c r="JS71" s="19"/>
      <c r="JT71" s="19"/>
      <c r="JV71" s="8"/>
      <c r="JW71" s="7"/>
      <c r="JX71" s="19"/>
      <c r="JY71" s="19"/>
      <c r="JZ71" s="19"/>
      <c r="KA71" s="19"/>
      <c r="KC71" s="8"/>
      <c r="KD71" s="7"/>
      <c r="KE71" s="19"/>
      <c r="KF71" s="19"/>
      <c r="KG71" s="19"/>
      <c r="KH71" s="19"/>
      <c r="KJ71" s="8"/>
      <c r="KK71" s="7"/>
      <c r="KL71" s="19"/>
      <c r="KM71" s="19"/>
      <c r="KN71" s="19"/>
      <c r="KO71" s="19"/>
      <c r="KQ71" s="8"/>
      <c r="KR71" s="7"/>
      <c r="KS71" s="19"/>
      <c r="KT71" s="19"/>
      <c r="KU71" s="19"/>
      <c r="KV71" s="19"/>
      <c r="KX71" s="8"/>
      <c r="KY71" s="7"/>
      <c r="KZ71" s="19"/>
      <c r="LA71" s="19"/>
      <c r="LB71" s="19"/>
      <c r="LC71" s="19"/>
      <c r="LE71" s="8"/>
      <c r="LF71" s="7"/>
      <c r="LG71" s="19"/>
      <c r="LH71" s="19"/>
      <c r="LI71" s="19"/>
      <c r="LJ71" s="19"/>
      <c r="LL71" s="8"/>
      <c r="LM71" s="7"/>
      <c r="LN71" s="19"/>
      <c r="LO71" s="19"/>
      <c r="LP71" s="19"/>
      <c r="LQ71" s="19"/>
      <c r="LS71" s="8"/>
      <c r="LT71" s="7"/>
      <c r="LU71" s="19"/>
      <c r="LV71" s="19"/>
      <c r="LW71" s="19"/>
      <c r="LX71" s="19"/>
      <c r="LZ71" s="8"/>
      <c r="MA71" s="7"/>
      <c r="MB71" s="19"/>
      <c r="MC71" s="19"/>
      <c r="MD71" s="19"/>
      <c r="ME71" s="19"/>
      <c r="MG71" s="8"/>
      <c r="MH71" s="7"/>
      <c r="MI71" s="19"/>
      <c r="MJ71" s="19"/>
      <c r="MK71" s="19"/>
      <c r="ML71" s="19"/>
      <c r="MN71" s="8"/>
      <c r="MO71" s="7"/>
      <c r="MP71" s="19"/>
      <c r="MQ71" s="19"/>
      <c r="MR71" s="19"/>
      <c r="MS71" s="19"/>
      <c r="MU71" s="8"/>
      <c r="MV71" s="7"/>
      <c r="MW71" s="19"/>
      <c r="MX71" s="19"/>
      <c r="MY71" s="19"/>
      <c r="MZ71" s="19"/>
      <c r="NB71" s="8"/>
      <c r="NC71" s="7"/>
      <c r="ND71" s="19"/>
      <c r="NE71" s="19"/>
      <c r="NF71" s="19"/>
      <c r="NG71" s="19"/>
      <c r="NI71" s="8"/>
      <c r="NJ71" s="7"/>
      <c r="NK71" s="19"/>
      <c r="NL71" s="19"/>
      <c r="NM71" s="19"/>
      <c r="NN71" s="19"/>
      <c r="NP71" s="8"/>
      <c r="NQ71" s="7"/>
      <c r="NR71" s="19"/>
      <c r="NS71" s="19"/>
      <c r="NT71" s="19"/>
      <c r="NU71" s="19"/>
      <c r="NW71" s="8"/>
      <c r="NX71" s="7"/>
      <c r="NY71" s="19"/>
      <c r="NZ71" s="19"/>
      <c r="OA71" s="19"/>
      <c r="OB71" s="19"/>
      <c r="OD71" s="8"/>
      <c r="OE71" s="7"/>
      <c r="OF71" s="19"/>
      <c r="OG71" s="19"/>
      <c r="OH71" s="19"/>
      <c r="OI71" s="19"/>
      <c r="OK71" s="8"/>
      <c r="OL71" s="7"/>
      <c r="OM71" s="19"/>
      <c r="ON71" s="19"/>
      <c r="OO71" s="19"/>
      <c r="OP71" s="19"/>
      <c r="OR71" s="8"/>
      <c r="OS71" s="7"/>
      <c r="OT71" s="19"/>
      <c r="OU71" s="19"/>
      <c r="OV71" s="19"/>
      <c r="OW71" s="19"/>
      <c r="OY71" s="8"/>
      <c r="OZ71" s="7"/>
      <c r="PA71" s="19"/>
      <c r="PB71" s="19"/>
      <c r="PC71" s="19"/>
      <c r="PD71" s="19"/>
      <c r="PF71" s="8"/>
      <c r="PG71" s="7"/>
      <c r="PH71" s="19"/>
      <c r="PI71" s="19"/>
      <c r="PJ71" s="19"/>
      <c r="PK71" s="19"/>
      <c r="PM71" s="8"/>
    </row>
    <row r="72" spans="1:429" s="1" customFormat="1" ht="26" customHeight="1" outlineLevel="1">
      <c r="B72" s="471"/>
      <c r="C72" s="7"/>
      <c r="D72" s="19"/>
      <c r="E72" s="19"/>
      <c r="F72" s="19"/>
      <c r="G72" s="19"/>
      <c r="I72" s="8"/>
      <c r="J72" s="7"/>
      <c r="K72" s="19"/>
      <c r="L72" s="19"/>
      <c r="M72" s="19"/>
      <c r="N72" s="19"/>
      <c r="P72" s="8"/>
      <c r="Q72" s="7"/>
      <c r="R72" s="19"/>
      <c r="S72" s="19"/>
      <c r="T72" s="19"/>
      <c r="U72" s="19"/>
      <c r="W72" s="8"/>
      <c r="X72" s="7"/>
      <c r="Y72" s="19"/>
      <c r="Z72" s="19"/>
      <c r="AA72" s="19"/>
      <c r="AB72" s="19"/>
      <c r="AD72" s="8"/>
      <c r="AE72" s="7"/>
      <c r="AF72" s="19"/>
      <c r="AG72" s="19"/>
      <c r="AH72" s="19"/>
      <c r="AI72" s="19"/>
      <c r="AK72" s="8"/>
      <c r="AL72" s="7"/>
      <c r="AM72" s="19"/>
      <c r="AN72" s="19"/>
      <c r="AO72" s="19"/>
      <c r="AP72" s="19"/>
      <c r="AR72" s="8"/>
      <c r="AS72" s="7"/>
      <c r="AT72" s="19"/>
      <c r="AU72" s="19"/>
      <c r="AV72" s="19"/>
      <c r="AW72" s="19"/>
      <c r="AY72" s="8"/>
      <c r="AZ72" s="7"/>
      <c r="BA72" s="19"/>
      <c r="BB72" s="19"/>
      <c r="BC72" s="19"/>
      <c r="BD72" s="19"/>
      <c r="BF72" s="8"/>
      <c r="BG72" s="7"/>
      <c r="BH72" s="19"/>
      <c r="BI72" s="19"/>
      <c r="BJ72" s="19"/>
      <c r="BK72" s="19"/>
      <c r="BM72" s="8"/>
      <c r="BN72" s="7"/>
      <c r="BO72" s="19"/>
      <c r="BP72" s="19"/>
      <c r="BQ72" s="19"/>
      <c r="BR72" s="19"/>
      <c r="BT72" s="8"/>
      <c r="BU72" s="7"/>
      <c r="BV72" s="19"/>
      <c r="BW72" s="19"/>
      <c r="BX72" s="19"/>
      <c r="BY72" s="19"/>
      <c r="CA72" s="8"/>
      <c r="CB72" s="7"/>
      <c r="CC72" s="19"/>
      <c r="CD72" s="19"/>
      <c r="CE72" s="19"/>
      <c r="CF72" s="19"/>
      <c r="CH72" s="8"/>
      <c r="CI72" s="7"/>
      <c r="CJ72" s="19"/>
      <c r="CK72" s="19"/>
      <c r="CL72" s="19"/>
      <c r="CM72" s="19"/>
      <c r="CO72" s="8"/>
      <c r="CP72" s="7"/>
      <c r="CQ72" s="19"/>
      <c r="CR72" s="19"/>
      <c r="CS72" s="19"/>
      <c r="CT72" s="19"/>
      <c r="CV72" s="8"/>
      <c r="CW72" s="7"/>
      <c r="CX72" s="19"/>
      <c r="CY72" s="19"/>
      <c r="CZ72" s="19"/>
      <c r="DA72" s="19"/>
      <c r="DC72" s="8"/>
      <c r="DD72" s="7"/>
      <c r="DE72" s="19"/>
      <c r="DF72" s="19"/>
      <c r="DG72" s="19"/>
      <c r="DH72" s="19"/>
      <c r="DJ72" s="8"/>
      <c r="DK72" s="7"/>
      <c r="DL72" s="19"/>
      <c r="DM72" s="19"/>
      <c r="DN72" s="19"/>
      <c r="DO72" s="19"/>
      <c r="DQ72" s="8"/>
      <c r="DR72" s="7"/>
      <c r="DS72" s="19"/>
      <c r="DT72" s="19"/>
      <c r="DU72" s="19"/>
      <c r="DV72" s="19"/>
      <c r="DX72" s="8"/>
      <c r="DY72" s="7"/>
      <c r="DZ72" s="19"/>
      <c r="EA72" s="19"/>
      <c r="EB72" s="19"/>
      <c r="EC72" s="19"/>
      <c r="EE72" s="8"/>
      <c r="EF72" s="7" t="s">
        <v>115</v>
      </c>
      <c r="EG72" s="19" t="s">
        <v>465</v>
      </c>
      <c r="EH72" s="19"/>
      <c r="EI72" s="19"/>
      <c r="EJ72" s="19"/>
      <c r="EL72" s="8">
        <v>10</v>
      </c>
      <c r="EM72" s="7"/>
      <c r="EN72" s="19" t="s">
        <v>180</v>
      </c>
      <c r="EO72" s="19"/>
      <c r="EP72" s="19"/>
      <c r="EQ72" s="19"/>
      <c r="ES72" s="8">
        <v>10</v>
      </c>
      <c r="ET72" s="7"/>
      <c r="EU72" s="19" t="s">
        <v>180</v>
      </c>
      <c r="EV72" s="19"/>
      <c r="EW72" s="19"/>
      <c r="EX72" s="19"/>
      <c r="EZ72" s="8">
        <v>10</v>
      </c>
      <c r="FA72" s="7"/>
      <c r="FB72" s="19"/>
      <c r="FC72" s="19"/>
      <c r="FD72" s="19"/>
      <c r="FE72" s="19"/>
      <c r="FG72" s="8"/>
      <c r="FH72" s="7"/>
      <c r="FI72" s="19"/>
      <c r="FJ72" s="19"/>
      <c r="FK72" s="19"/>
      <c r="FL72" s="19"/>
      <c r="FN72" s="8"/>
      <c r="FO72" s="7"/>
      <c r="FP72" s="19"/>
      <c r="FQ72" s="19"/>
      <c r="FR72" s="19"/>
      <c r="FS72" s="19"/>
      <c r="FU72" s="8"/>
      <c r="FV72" s="7"/>
      <c r="FW72" s="19"/>
      <c r="FX72" s="19"/>
      <c r="FY72" s="19"/>
      <c r="FZ72" s="19"/>
      <c r="GB72" s="8"/>
      <c r="GC72" s="7"/>
      <c r="GD72" s="19"/>
      <c r="GE72" s="19"/>
      <c r="GF72" s="19"/>
      <c r="GG72" s="19"/>
      <c r="GI72" s="8"/>
      <c r="GJ72" s="7"/>
      <c r="GK72" s="19"/>
      <c r="GL72" s="19"/>
      <c r="GM72" s="19"/>
      <c r="GN72" s="19"/>
      <c r="GP72" s="8"/>
      <c r="GQ72" s="7"/>
      <c r="GR72" s="19"/>
      <c r="GS72" s="19"/>
      <c r="GT72" s="19"/>
      <c r="GU72" s="19"/>
      <c r="GW72" s="8"/>
      <c r="GX72" s="7"/>
      <c r="GY72" s="19"/>
      <c r="GZ72" s="19"/>
      <c r="HA72" s="19"/>
      <c r="HB72" s="19"/>
      <c r="HD72" s="8"/>
      <c r="HE72" s="7"/>
      <c r="HF72" s="19"/>
      <c r="HG72" s="19"/>
      <c r="HH72" s="19"/>
      <c r="HI72" s="19"/>
      <c r="HK72" s="8"/>
      <c r="HL72" s="7"/>
      <c r="HM72" s="19"/>
      <c r="HN72" s="19"/>
      <c r="HO72" s="19"/>
      <c r="HP72" s="19"/>
      <c r="HR72" s="8"/>
      <c r="HS72" s="7"/>
      <c r="HT72" s="19"/>
      <c r="HU72" s="19"/>
      <c r="HV72" s="19"/>
      <c r="HW72" s="19"/>
      <c r="HY72" s="8"/>
      <c r="HZ72" s="7"/>
      <c r="IA72" s="19"/>
      <c r="IB72" s="19"/>
      <c r="IC72" s="19"/>
      <c r="ID72" s="19"/>
      <c r="IF72" s="8"/>
      <c r="IG72" s="7"/>
      <c r="IH72" s="19"/>
      <c r="II72" s="19"/>
      <c r="IJ72" s="19"/>
      <c r="IK72" s="19"/>
      <c r="IM72" s="8"/>
      <c r="IN72" s="7"/>
      <c r="IO72" s="19"/>
      <c r="IP72" s="19"/>
      <c r="IQ72" s="19"/>
      <c r="IR72" s="19"/>
      <c r="IT72" s="8"/>
      <c r="IU72" s="7"/>
      <c r="IV72" s="19"/>
      <c r="IW72" s="19"/>
      <c r="IX72" s="19"/>
      <c r="IY72" s="19"/>
      <c r="JA72" s="8"/>
      <c r="JB72" s="7"/>
      <c r="JC72" s="19"/>
      <c r="JD72" s="19"/>
      <c r="JE72" s="19"/>
      <c r="JF72" s="19"/>
      <c r="JH72" s="8"/>
      <c r="JI72" s="7"/>
      <c r="JJ72" s="19"/>
      <c r="JK72" s="19"/>
      <c r="JL72" s="19"/>
      <c r="JM72" s="19"/>
      <c r="JO72" s="8"/>
      <c r="JP72" s="7"/>
      <c r="JQ72" s="19"/>
      <c r="JR72" s="19"/>
      <c r="JS72" s="19"/>
      <c r="JT72" s="19"/>
      <c r="JV72" s="8"/>
      <c r="JW72" s="7"/>
      <c r="JX72" s="19"/>
      <c r="JY72" s="19"/>
      <c r="JZ72" s="19"/>
      <c r="KA72" s="19"/>
      <c r="KC72" s="8"/>
      <c r="KD72" s="7"/>
      <c r="KE72" s="19"/>
      <c r="KF72" s="19"/>
      <c r="KG72" s="19"/>
      <c r="KH72" s="19"/>
      <c r="KJ72" s="8"/>
      <c r="KK72" s="7"/>
      <c r="KL72" s="19"/>
      <c r="KM72" s="19"/>
      <c r="KN72" s="19"/>
      <c r="KO72" s="19"/>
      <c r="KQ72" s="8"/>
      <c r="KR72" s="7"/>
      <c r="KS72" s="19"/>
      <c r="KT72" s="19"/>
      <c r="KU72" s="19"/>
      <c r="KV72" s="19"/>
      <c r="KX72" s="8"/>
      <c r="KY72" s="7"/>
      <c r="KZ72" s="19"/>
      <c r="LA72" s="19"/>
      <c r="LB72" s="19"/>
      <c r="LC72" s="19"/>
      <c r="LE72" s="8"/>
      <c r="LF72" s="7"/>
      <c r="LG72" s="19"/>
      <c r="LH72" s="19"/>
      <c r="LI72" s="19"/>
      <c r="LJ72" s="19"/>
      <c r="LL72" s="8"/>
      <c r="LM72" s="7"/>
      <c r="LN72" s="19"/>
      <c r="LO72" s="19"/>
      <c r="LP72" s="19"/>
      <c r="LQ72" s="19"/>
      <c r="LS72" s="8"/>
      <c r="LT72" s="7"/>
      <c r="LU72" s="19"/>
      <c r="LV72" s="19"/>
      <c r="LW72" s="19"/>
      <c r="LX72" s="19"/>
      <c r="LZ72" s="8"/>
      <c r="MA72" s="7"/>
      <c r="MB72" s="19"/>
      <c r="MC72" s="19"/>
      <c r="MD72" s="19"/>
      <c r="ME72" s="19"/>
      <c r="MG72" s="8"/>
      <c r="MH72" s="7"/>
      <c r="MI72" s="19"/>
      <c r="MJ72" s="19"/>
      <c r="MK72" s="19"/>
      <c r="ML72" s="19"/>
      <c r="MN72" s="8"/>
      <c r="MO72" s="7"/>
      <c r="MP72" s="19"/>
      <c r="MQ72" s="19"/>
      <c r="MR72" s="19"/>
      <c r="MS72" s="19"/>
      <c r="MU72" s="8"/>
      <c r="MV72" s="7"/>
      <c r="MW72" s="19"/>
      <c r="MX72" s="19"/>
      <c r="MY72" s="19"/>
      <c r="MZ72" s="19"/>
      <c r="NB72" s="8"/>
      <c r="NC72" s="7"/>
      <c r="ND72" s="19"/>
      <c r="NE72" s="19"/>
      <c r="NF72" s="19"/>
      <c r="NG72" s="19"/>
      <c r="NI72" s="8"/>
      <c r="NJ72" s="7"/>
      <c r="NK72" s="19"/>
      <c r="NL72" s="19"/>
      <c r="NM72" s="19"/>
      <c r="NN72" s="19"/>
      <c r="NP72" s="8"/>
      <c r="NQ72" s="7"/>
      <c r="NR72" s="19"/>
      <c r="NS72" s="19"/>
      <c r="NT72" s="19"/>
      <c r="NU72" s="19"/>
      <c r="NW72" s="8"/>
      <c r="NX72" s="7"/>
      <c r="NY72" s="19"/>
      <c r="NZ72" s="19"/>
      <c r="OA72" s="19"/>
      <c r="OB72" s="19"/>
      <c r="OD72" s="8"/>
      <c r="OE72" s="7"/>
      <c r="OF72" s="19"/>
      <c r="OG72" s="19"/>
      <c r="OH72" s="19"/>
      <c r="OI72" s="19"/>
      <c r="OK72" s="8"/>
      <c r="OL72" s="7"/>
      <c r="OM72" s="19"/>
      <c r="ON72" s="19"/>
      <c r="OO72" s="19"/>
      <c r="OP72" s="19"/>
      <c r="OR72" s="8"/>
      <c r="OS72" s="7"/>
      <c r="OT72" s="19"/>
      <c r="OU72" s="19"/>
      <c r="OV72" s="19"/>
      <c r="OW72" s="19"/>
      <c r="OY72" s="8"/>
      <c r="OZ72" s="7"/>
      <c r="PA72" s="19"/>
      <c r="PB72" s="19"/>
      <c r="PC72" s="19"/>
      <c r="PD72" s="19"/>
      <c r="PF72" s="8"/>
      <c r="PG72" s="7"/>
      <c r="PH72" s="19"/>
      <c r="PI72" s="19"/>
      <c r="PJ72" s="19"/>
      <c r="PK72" s="19"/>
      <c r="PM72" s="8"/>
    </row>
    <row r="73" spans="1:429" s="1" customFormat="1" ht="26" customHeight="1" outlineLevel="1">
      <c r="B73" s="471"/>
      <c r="C73" s="7"/>
      <c r="D73" s="19"/>
      <c r="E73" s="19"/>
      <c r="F73" s="19"/>
      <c r="G73" s="19"/>
      <c r="I73" s="8"/>
      <c r="J73" s="7"/>
      <c r="K73" s="19"/>
      <c r="L73" s="19"/>
      <c r="M73" s="19"/>
      <c r="N73" s="19"/>
      <c r="P73" s="8"/>
      <c r="Q73" s="7"/>
      <c r="R73" s="19"/>
      <c r="S73" s="19"/>
      <c r="T73" s="19"/>
      <c r="U73" s="19"/>
      <c r="W73" s="8"/>
      <c r="X73" s="7"/>
      <c r="Y73" s="19"/>
      <c r="Z73" s="19"/>
      <c r="AA73" s="19"/>
      <c r="AB73" s="19"/>
      <c r="AD73" s="8"/>
      <c r="AE73" s="7"/>
      <c r="AF73" s="19"/>
      <c r="AG73" s="19"/>
      <c r="AH73" s="19"/>
      <c r="AI73" s="19"/>
      <c r="AK73" s="8"/>
      <c r="AL73" s="7"/>
      <c r="AM73" s="19"/>
      <c r="AN73" s="19"/>
      <c r="AO73" s="19"/>
      <c r="AP73" s="19"/>
      <c r="AR73" s="8"/>
      <c r="AS73" s="7"/>
      <c r="AT73" s="19"/>
      <c r="AU73" s="19"/>
      <c r="AV73" s="19"/>
      <c r="AW73" s="19"/>
      <c r="AY73" s="8"/>
      <c r="AZ73" s="7"/>
      <c r="BA73" s="19"/>
      <c r="BB73" s="19"/>
      <c r="BC73" s="19"/>
      <c r="BD73" s="19"/>
      <c r="BF73" s="8"/>
      <c r="BG73" s="7"/>
      <c r="BH73" s="19"/>
      <c r="BI73" s="19"/>
      <c r="BJ73" s="19"/>
      <c r="BK73" s="19"/>
      <c r="BM73" s="8"/>
      <c r="BN73" s="7"/>
      <c r="BO73" s="19"/>
      <c r="BP73" s="19"/>
      <c r="BQ73" s="19"/>
      <c r="BR73" s="19"/>
      <c r="BT73" s="8"/>
      <c r="BU73" s="7"/>
      <c r="BV73" s="19"/>
      <c r="BW73" s="19"/>
      <c r="BX73" s="19"/>
      <c r="BY73" s="19"/>
      <c r="CA73" s="8"/>
      <c r="CB73" s="7"/>
      <c r="CC73" s="19"/>
      <c r="CD73" s="19"/>
      <c r="CE73" s="19"/>
      <c r="CF73" s="19"/>
      <c r="CH73" s="8"/>
      <c r="CI73" s="7"/>
      <c r="CJ73" s="19"/>
      <c r="CK73" s="19"/>
      <c r="CL73" s="19"/>
      <c r="CM73" s="19"/>
      <c r="CO73" s="8"/>
      <c r="CP73" s="7"/>
      <c r="CQ73" s="19"/>
      <c r="CR73" s="19"/>
      <c r="CS73" s="19"/>
      <c r="CT73" s="19"/>
      <c r="CV73" s="8"/>
      <c r="CW73" s="7"/>
      <c r="CX73" s="19"/>
      <c r="CY73" s="19"/>
      <c r="CZ73" s="19"/>
      <c r="DA73" s="19"/>
      <c r="DC73" s="8"/>
      <c r="DD73" s="7"/>
      <c r="DE73" s="19"/>
      <c r="DF73" s="19"/>
      <c r="DG73" s="19"/>
      <c r="DH73" s="19"/>
      <c r="DJ73" s="8"/>
      <c r="DK73" s="7"/>
      <c r="DL73" s="19"/>
      <c r="DM73" s="19"/>
      <c r="DN73" s="19"/>
      <c r="DO73" s="19"/>
      <c r="DQ73" s="8"/>
      <c r="DR73" s="7"/>
      <c r="DS73" s="19"/>
      <c r="DT73" s="19"/>
      <c r="DU73" s="19"/>
      <c r="DV73" s="19"/>
      <c r="DX73" s="8"/>
      <c r="DY73" s="7"/>
      <c r="DZ73" s="19"/>
      <c r="EA73" s="19"/>
      <c r="EB73" s="19"/>
      <c r="EC73" s="19"/>
      <c r="EE73" s="8"/>
      <c r="EF73" s="7"/>
      <c r="EG73" s="19"/>
      <c r="EH73" s="19"/>
      <c r="EI73" s="19"/>
      <c r="EJ73" s="19"/>
      <c r="EL73" s="8"/>
      <c r="EM73" s="7"/>
      <c r="EN73" s="19"/>
      <c r="EO73" s="19"/>
      <c r="EP73" s="19"/>
      <c r="EQ73" s="19"/>
      <c r="ES73" s="8"/>
      <c r="ET73" s="7"/>
      <c r="EU73" s="19"/>
      <c r="EV73" s="19"/>
      <c r="EW73" s="19"/>
      <c r="EX73" s="19"/>
      <c r="EZ73" s="8"/>
      <c r="FA73" s="7"/>
      <c r="FB73" s="19"/>
      <c r="FC73" s="19"/>
      <c r="FD73" s="19"/>
      <c r="FE73" s="19"/>
      <c r="FG73" s="8"/>
      <c r="FH73" s="7"/>
      <c r="FI73" s="19"/>
      <c r="FJ73" s="19"/>
      <c r="FK73" s="19"/>
      <c r="FL73" s="19"/>
      <c r="FN73" s="8"/>
      <c r="FO73" s="7"/>
      <c r="FP73" s="19"/>
      <c r="FQ73" s="19"/>
      <c r="FR73" s="19"/>
      <c r="FS73" s="19"/>
      <c r="FU73" s="8"/>
      <c r="FV73" s="7"/>
      <c r="FW73" s="19"/>
      <c r="FX73" s="19"/>
      <c r="FY73" s="19"/>
      <c r="FZ73" s="19"/>
      <c r="GB73" s="8"/>
      <c r="GC73" s="7"/>
      <c r="GD73" s="19"/>
      <c r="GE73" s="19"/>
      <c r="GF73" s="19"/>
      <c r="GG73" s="19"/>
      <c r="GI73" s="8"/>
      <c r="GJ73" s="7"/>
      <c r="GK73" s="19"/>
      <c r="GL73" s="19"/>
      <c r="GM73" s="19"/>
      <c r="GN73" s="19"/>
      <c r="GP73" s="8"/>
      <c r="GQ73" s="7"/>
      <c r="GR73" s="19"/>
      <c r="GS73" s="19"/>
      <c r="GT73" s="19"/>
      <c r="GU73" s="19"/>
      <c r="GW73" s="8"/>
      <c r="GX73" s="7"/>
      <c r="GY73" s="19"/>
      <c r="GZ73" s="19"/>
      <c r="HA73" s="19"/>
      <c r="HB73" s="19"/>
      <c r="HD73" s="8"/>
      <c r="HE73" s="7"/>
      <c r="HF73" s="19"/>
      <c r="HG73" s="19"/>
      <c r="HH73" s="19"/>
      <c r="HI73" s="19"/>
      <c r="HK73" s="8"/>
      <c r="HL73" s="7"/>
      <c r="HM73" s="19"/>
      <c r="HN73" s="19"/>
      <c r="HO73" s="19"/>
      <c r="HP73" s="19"/>
      <c r="HR73" s="8"/>
      <c r="HS73" s="7"/>
      <c r="HT73" s="19"/>
      <c r="HU73" s="19"/>
      <c r="HV73" s="19"/>
      <c r="HW73" s="19"/>
      <c r="HY73" s="8"/>
      <c r="HZ73" s="7"/>
      <c r="IA73" s="19"/>
      <c r="IB73" s="19"/>
      <c r="IC73" s="19"/>
      <c r="ID73" s="19"/>
      <c r="IF73" s="8"/>
      <c r="IG73" s="7"/>
      <c r="IH73" s="19"/>
      <c r="II73" s="19"/>
      <c r="IJ73" s="19"/>
      <c r="IK73" s="19"/>
      <c r="IM73" s="8"/>
      <c r="IN73" s="7"/>
      <c r="IO73" s="19"/>
      <c r="IP73" s="19"/>
      <c r="IQ73" s="19"/>
      <c r="IR73" s="19"/>
      <c r="IT73" s="8"/>
      <c r="IU73" s="7"/>
      <c r="IV73" s="19"/>
      <c r="IW73" s="19"/>
      <c r="IX73" s="19"/>
      <c r="IY73" s="19"/>
      <c r="JA73" s="8"/>
      <c r="JB73" s="7"/>
      <c r="JC73" s="19"/>
      <c r="JD73" s="19"/>
      <c r="JE73" s="19"/>
      <c r="JF73" s="19"/>
      <c r="JH73" s="8"/>
      <c r="JI73" s="7"/>
      <c r="JJ73" s="19"/>
      <c r="JK73" s="19"/>
      <c r="JL73" s="19"/>
      <c r="JM73" s="19"/>
      <c r="JO73" s="8"/>
      <c r="JP73" s="7"/>
      <c r="JQ73" s="19"/>
      <c r="JR73" s="19"/>
      <c r="JS73" s="19"/>
      <c r="JT73" s="19"/>
      <c r="JV73" s="8"/>
      <c r="JW73" s="7"/>
      <c r="JX73" s="19"/>
      <c r="JY73" s="19"/>
      <c r="JZ73" s="19"/>
      <c r="KA73" s="19"/>
      <c r="KC73" s="8"/>
      <c r="KD73" s="7"/>
      <c r="KE73" s="19"/>
      <c r="KF73" s="19"/>
      <c r="KG73" s="19"/>
      <c r="KH73" s="19"/>
      <c r="KJ73" s="8"/>
      <c r="KK73" s="7"/>
      <c r="KL73" s="19"/>
      <c r="KM73" s="19"/>
      <c r="KN73" s="19"/>
      <c r="KO73" s="19"/>
      <c r="KQ73" s="8"/>
      <c r="KR73" s="7"/>
      <c r="KS73" s="19"/>
      <c r="KT73" s="19"/>
      <c r="KU73" s="19"/>
      <c r="KV73" s="19"/>
      <c r="KX73" s="8"/>
      <c r="KY73" s="7"/>
      <c r="KZ73" s="19"/>
      <c r="LA73" s="19"/>
      <c r="LB73" s="19"/>
      <c r="LC73" s="19"/>
      <c r="LE73" s="8"/>
      <c r="LF73" s="7"/>
      <c r="LG73" s="19"/>
      <c r="LH73" s="19"/>
      <c r="LI73" s="19"/>
      <c r="LJ73" s="19"/>
      <c r="LL73" s="8"/>
      <c r="LM73" s="7"/>
      <c r="LN73" s="19"/>
      <c r="LO73" s="19"/>
      <c r="LP73" s="19"/>
      <c r="LQ73" s="19"/>
      <c r="LS73" s="8"/>
      <c r="LT73" s="7"/>
      <c r="LU73" s="19"/>
      <c r="LV73" s="19"/>
      <c r="LW73" s="19"/>
      <c r="LX73" s="19"/>
      <c r="LZ73" s="8"/>
      <c r="MA73" s="7"/>
      <c r="MB73" s="19"/>
      <c r="MC73" s="19"/>
      <c r="MD73" s="19"/>
      <c r="ME73" s="19"/>
      <c r="MG73" s="8"/>
      <c r="MH73" s="7"/>
      <c r="MI73" s="19"/>
      <c r="MJ73" s="19"/>
      <c r="MK73" s="19"/>
      <c r="ML73" s="19"/>
      <c r="MN73" s="8"/>
      <c r="MO73" s="7"/>
      <c r="MP73" s="19"/>
      <c r="MQ73" s="19"/>
      <c r="MR73" s="19"/>
      <c r="MS73" s="19"/>
      <c r="MU73" s="8"/>
      <c r="MV73" s="7"/>
      <c r="MW73" s="19"/>
      <c r="MX73" s="19"/>
      <c r="MY73" s="19"/>
      <c r="MZ73" s="19"/>
      <c r="NB73" s="8"/>
      <c r="NC73" s="7"/>
      <c r="ND73" s="19"/>
      <c r="NE73" s="19"/>
      <c r="NF73" s="19"/>
      <c r="NG73" s="19"/>
      <c r="NI73" s="8"/>
      <c r="NJ73" s="7"/>
      <c r="NK73" s="19"/>
      <c r="NL73" s="19"/>
      <c r="NM73" s="19"/>
      <c r="NN73" s="19"/>
      <c r="NP73" s="8"/>
      <c r="NQ73" s="7"/>
      <c r="NR73" s="19"/>
      <c r="NS73" s="19"/>
      <c r="NT73" s="19"/>
      <c r="NU73" s="19"/>
      <c r="NW73" s="8"/>
      <c r="NX73" s="7"/>
      <c r="NY73" s="19"/>
      <c r="NZ73" s="19"/>
      <c r="OA73" s="19"/>
      <c r="OB73" s="19"/>
      <c r="OD73" s="8"/>
      <c r="OE73" s="7"/>
      <c r="OF73" s="19"/>
      <c r="OG73" s="19"/>
      <c r="OH73" s="19"/>
      <c r="OI73" s="19"/>
      <c r="OK73" s="8"/>
      <c r="OL73" s="7"/>
      <c r="OM73" s="19"/>
      <c r="ON73" s="19"/>
      <c r="OO73" s="19"/>
      <c r="OP73" s="19"/>
      <c r="OR73" s="8"/>
      <c r="OS73" s="7"/>
      <c r="OT73" s="19"/>
      <c r="OU73" s="19"/>
      <c r="OV73" s="19"/>
      <c r="OW73" s="19"/>
      <c r="OY73" s="8"/>
      <c r="OZ73" s="7"/>
      <c r="PA73" s="19"/>
      <c r="PB73" s="19"/>
      <c r="PC73" s="19"/>
      <c r="PD73" s="19"/>
      <c r="PF73" s="8"/>
      <c r="PG73" s="7"/>
      <c r="PH73" s="19"/>
      <c r="PI73" s="19"/>
      <c r="PJ73" s="19"/>
      <c r="PK73" s="19"/>
      <c r="PM73" s="8"/>
    </row>
    <row r="74" spans="1:429" s="1" customFormat="1" ht="26" customHeight="1" outlineLevel="1">
      <c r="B74" s="471"/>
      <c r="C74" s="7"/>
      <c r="D74" s="19"/>
      <c r="E74" s="19"/>
      <c r="F74" s="19"/>
      <c r="G74" s="19"/>
      <c r="I74" s="8"/>
      <c r="J74" s="7"/>
      <c r="K74" s="19"/>
      <c r="L74" s="19"/>
      <c r="M74" s="19"/>
      <c r="N74" s="19"/>
      <c r="P74" s="8"/>
      <c r="Q74" s="7"/>
      <c r="R74" s="19"/>
      <c r="S74" s="19"/>
      <c r="T74" s="19"/>
      <c r="U74" s="19"/>
      <c r="W74" s="8"/>
      <c r="X74" s="7"/>
      <c r="Y74" s="19"/>
      <c r="Z74" s="19"/>
      <c r="AA74" s="19"/>
      <c r="AB74" s="19"/>
      <c r="AD74" s="8"/>
      <c r="AE74" s="7"/>
      <c r="AF74" s="19"/>
      <c r="AG74" s="19"/>
      <c r="AH74" s="19"/>
      <c r="AI74" s="19"/>
      <c r="AK74" s="8"/>
      <c r="AL74" s="7"/>
      <c r="AM74" s="19"/>
      <c r="AN74" s="19"/>
      <c r="AO74" s="19"/>
      <c r="AP74" s="19"/>
      <c r="AR74" s="8"/>
      <c r="AS74" s="7"/>
      <c r="AT74" s="19"/>
      <c r="AU74" s="19"/>
      <c r="AV74" s="19"/>
      <c r="AW74" s="19"/>
      <c r="AY74" s="8"/>
      <c r="AZ74" s="7"/>
      <c r="BA74" s="19"/>
      <c r="BB74" s="19"/>
      <c r="BC74" s="19"/>
      <c r="BD74" s="19"/>
      <c r="BF74" s="8"/>
      <c r="BG74" s="7"/>
      <c r="BH74" s="19"/>
      <c r="BI74" s="19"/>
      <c r="BJ74" s="19"/>
      <c r="BK74" s="19"/>
      <c r="BM74" s="8"/>
      <c r="BN74" s="7"/>
      <c r="BO74" s="19"/>
      <c r="BP74" s="19"/>
      <c r="BQ74" s="19"/>
      <c r="BR74" s="19"/>
      <c r="BT74" s="8"/>
      <c r="BU74" s="7"/>
      <c r="BV74" s="19"/>
      <c r="BW74" s="19"/>
      <c r="BX74" s="19"/>
      <c r="BY74" s="19"/>
      <c r="CA74" s="8"/>
      <c r="CB74" s="7"/>
      <c r="CC74" s="19"/>
      <c r="CD74" s="19"/>
      <c r="CE74" s="19"/>
      <c r="CF74" s="19"/>
      <c r="CH74" s="8"/>
      <c r="CI74" s="7"/>
      <c r="CJ74" s="19"/>
      <c r="CK74" s="19"/>
      <c r="CL74" s="19"/>
      <c r="CM74" s="19"/>
      <c r="CO74" s="8"/>
      <c r="CP74" s="7"/>
      <c r="CQ74" s="19"/>
      <c r="CR74" s="19"/>
      <c r="CS74" s="19"/>
      <c r="CT74" s="19"/>
      <c r="CV74" s="8"/>
      <c r="CW74" s="7"/>
      <c r="CX74" s="19"/>
      <c r="CY74" s="19"/>
      <c r="CZ74" s="19"/>
      <c r="DA74" s="19"/>
      <c r="DC74" s="8"/>
      <c r="DD74" s="7"/>
      <c r="DE74" s="19"/>
      <c r="DF74" s="19"/>
      <c r="DG74" s="19"/>
      <c r="DH74" s="19"/>
      <c r="DJ74" s="8"/>
      <c r="DK74" s="7"/>
      <c r="DL74" s="19"/>
      <c r="DM74" s="19"/>
      <c r="DN74" s="19"/>
      <c r="DO74" s="19"/>
      <c r="DQ74" s="8"/>
      <c r="DR74" s="7"/>
      <c r="DS74" s="19"/>
      <c r="DT74" s="19"/>
      <c r="DU74" s="19"/>
      <c r="DV74" s="19"/>
      <c r="DX74" s="8"/>
      <c r="DY74" s="7"/>
      <c r="DZ74" s="19"/>
      <c r="EA74" s="19"/>
      <c r="EB74" s="19"/>
      <c r="EC74" s="19"/>
      <c r="EE74" s="8"/>
      <c r="EF74" s="7"/>
      <c r="EG74" s="19"/>
      <c r="EH74" s="19"/>
      <c r="EI74" s="19"/>
      <c r="EJ74" s="19"/>
      <c r="EL74" s="8"/>
      <c r="EM74" s="7"/>
      <c r="EN74" s="19"/>
      <c r="EO74" s="19"/>
      <c r="EP74" s="19"/>
      <c r="EQ74" s="19"/>
      <c r="ES74" s="8"/>
      <c r="ET74" s="7"/>
      <c r="EU74" s="19"/>
      <c r="EV74" s="19"/>
      <c r="EW74" s="19"/>
      <c r="EX74" s="19"/>
      <c r="EZ74" s="8"/>
      <c r="FA74" s="7"/>
      <c r="FB74" s="19"/>
      <c r="FC74" s="19"/>
      <c r="FD74" s="19"/>
      <c r="FE74" s="19"/>
      <c r="FG74" s="8"/>
      <c r="FH74" s="7"/>
      <c r="FI74" s="19"/>
      <c r="FJ74" s="19"/>
      <c r="FK74" s="19"/>
      <c r="FL74" s="19"/>
      <c r="FN74" s="8"/>
      <c r="FO74" s="7"/>
      <c r="FP74" s="19"/>
      <c r="FQ74" s="19"/>
      <c r="FR74" s="19"/>
      <c r="FS74" s="19"/>
      <c r="FU74" s="8"/>
      <c r="FV74" s="7"/>
      <c r="FW74" s="19"/>
      <c r="FX74" s="19"/>
      <c r="FY74" s="19"/>
      <c r="FZ74" s="19"/>
      <c r="GB74" s="8"/>
      <c r="GC74" s="7"/>
      <c r="GD74" s="19"/>
      <c r="GE74" s="19"/>
      <c r="GF74" s="19"/>
      <c r="GG74" s="19"/>
      <c r="GI74" s="8"/>
      <c r="GJ74" s="7"/>
      <c r="GK74" s="19"/>
      <c r="GL74" s="19"/>
      <c r="GM74" s="19"/>
      <c r="GN74" s="19"/>
      <c r="GP74" s="8"/>
      <c r="GQ74" s="7"/>
      <c r="GR74" s="19"/>
      <c r="GS74" s="19"/>
      <c r="GT74" s="19"/>
      <c r="GU74" s="19"/>
      <c r="GW74" s="8"/>
      <c r="GX74" s="7"/>
      <c r="GY74" s="19"/>
      <c r="GZ74" s="19"/>
      <c r="HA74" s="19"/>
      <c r="HB74" s="19"/>
      <c r="HD74" s="8"/>
      <c r="HE74" s="7"/>
      <c r="HF74" s="19"/>
      <c r="HG74" s="19"/>
      <c r="HH74" s="19"/>
      <c r="HI74" s="19"/>
      <c r="HK74" s="8"/>
      <c r="HL74" s="7"/>
      <c r="HM74" s="19"/>
      <c r="HN74" s="19"/>
      <c r="HO74" s="19"/>
      <c r="HP74" s="19"/>
      <c r="HR74" s="8"/>
      <c r="HS74" s="7"/>
      <c r="HT74" s="19"/>
      <c r="HU74" s="19"/>
      <c r="HV74" s="19"/>
      <c r="HW74" s="19"/>
      <c r="HY74" s="8"/>
      <c r="HZ74" s="7"/>
      <c r="IA74" s="19"/>
      <c r="IB74" s="19"/>
      <c r="IC74" s="19"/>
      <c r="ID74" s="19"/>
      <c r="IF74" s="8"/>
      <c r="IG74" s="7"/>
      <c r="IH74" s="19"/>
      <c r="II74" s="19"/>
      <c r="IJ74" s="19"/>
      <c r="IK74" s="19"/>
      <c r="IM74" s="8"/>
      <c r="IN74" s="7"/>
      <c r="IO74" s="19"/>
      <c r="IP74" s="19"/>
      <c r="IQ74" s="19"/>
      <c r="IR74" s="19"/>
      <c r="IT74" s="8"/>
      <c r="IU74" s="7"/>
      <c r="IV74" s="19"/>
      <c r="IW74" s="19"/>
      <c r="IX74" s="19"/>
      <c r="IY74" s="19"/>
      <c r="JA74" s="8"/>
      <c r="JB74" s="7"/>
      <c r="JC74" s="19"/>
      <c r="JD74" s="19"/>
      <c r="JE74" s="19"/>
      <c r="JF74" s="19"/>
      <c r="JH74" s="8"/>
      <c r="JI74" s="7"/>
      <c r="JJ74" s="19"/>
      <c r="JK74" s="19"/>
      <c r="JL74" s="19"/>
      <c r="JM74" s="19"/>
      <c r="JO74" s="8"/>
      <c r="JP74" s="7"/>
      <c r="JQ74" s="19"/>
      <c r="JR74" s="19"/>
      <c r="JS74" s="19"/>
      <c r="JT74" s="19"/>
      <c r="JV74" s="8"/>
      <c r="JW74" s="7"/>
      <c r="JX74" s="19"/>
      <c r="JY74" s="19"/>
      <c r="JZ74" s="19"/>
      <c r="KA74" s="19"/>
      <c r="KC74" s="8"/>
      <c r="KD74" s="7"/>
      <c r="KE74" s="19"/>
      <c r="KF74" s="19"/>
      <c r="KG74" s="19"/>
      <c r="KH74" s="19"/>
      <c r="KJ74" s="8"/>
      <c r="KK74" s="7"/>
      <c r="KL74" s="19"/>
      <c r="KM74" s="19"/>
      <c r="KN74" s="19"/>
      <c r="KO74" s="19"/>
      <c r="KQ74" s="8"/>
      <c r="KR74" s="7"/>
      <c r="KS74" s="19"/>
      <c r="KT74" s="19"/>
      <c r="KU74" s="19"/>
      <c r="KV74" s="19"/>
      <c r="KX74" s="8"/>
      <c r="KY74" s="7"/>
      <c r="KZ74" s="19"/>
      <c r="LA74" s="19"/>
      <c r="LB74" s="19"/>
      <c r="LC74" s="19"/>
      <c r="LE74" s="8"/>
      <c r="LF74" s="7"/>
      <c r="LG74" s="19"/>
      <c r="LH74" s="19"/>
      <c r="LI74" s="19"/>
      <c r="LJ74" s="19"/>
      <c r="LL74" s="8"/>
      <c r="LM74" s="7"/>
      <c r="LN74" s="19"/>
      <c r="LO74" s="19"/>
      <c r="LP74" s="19"/>
      <c r="LQ74" s="19"/>
      <c r="LS74" s="8"/>
      <c r="LT74" s="7"/>
      <c r="LU74" s="19"/>
      <c r="LV74" s="19"/>
      <c r="LW74" s="19"/>
      <c r="LX74" s="19"/>
      <c r="LZ74" s="8"/>
      <c r="MA74" s="7"/>
      <c r="MB74" s="19"/>
      <c r="MC74" s="19"/>
      <c r="MD74" s="19"/>
      <c r="ME74" s="19"/>
      <c r="MG74" s="8"/>
      <c r="MH74" s="7"/>
      <c r="MI74" s="19"/>
      <c r="MJ74" s="19"/>
      <c r="MK74" s="19"/>
      <c r="ML74" s="19"/>
      <c r="MN74" s="8"/>
      <c r="MO74" s="7"/>
      <c r="MP74" s="19"/>
      <c r="MQ74" s="19"/>
      <c r="MR74" s="19"/>
      <c r="MS74" s="19"/>
      <c r="MU74" s="8"/>
      <c r="MV74" s="7"/>
      <c r="MW74" s="19"/>
      <c r="MX74" s="19"/>
      <c r="MY74" s="19"/>
      <c r="MZ74" s="19"/>
      <c r="NB74" s="8"/>
      <c r="NC74" s="7"/>
      <c r="ND74" s="19"/>
      <c r="NE74" s="19"/>
      <c r="NF74" s="19"/>
      <c r="NG74" s="19"/>
      <c r="NI74" s="8"/>
      <c r="NJ74" s="7"/>
      <c r="NK74" s="19"/>
      <c r="NL74" s="19"/>
      <c r="NM74" s="19"/>
      <c r="NN74" s="19"/>
      <c r="NP74" s="8"/>
      <c r="NQ74" s="7"/>
      <c r="NR74" s="19"/>
      <c r="NS74" s="19"/>
      <c r="NT74" s="19"/>
      <c r="NU74" s="19"/>
      <c r="NW74" s="8"/>
      <c r="NX74" s="7"/>
      <c r="NY74" s="19"/>
      <c r="NZ74" s="19"/>
      <c r="OA74" s="19"/>
      <c r="OB74" s="19"/>
      <c r="OD74" s="8"/>
      <c r="OE74" s="7"/>
      <c r="OF74" s="19"/>
      <c r="OG74" s="19"/>
      <c r="OH74" s="19"/>
      <c r="OI74" s="19"/>
      <c r="OK74" s="8"/>
      <c r="OL74" s="7"/>
      <c r="OM74" s="19"/>
      <c r="ON74" s="19"/>
      <c r="OO74" s="19"/>
      <c r="OP74" s="19"/>
      <c r="OR74" s="8"/>
      <c r="OS74" s="7"/>
      <c r="OT74" s="19"/>
      <c r="OU74" s="19"/>
      <c r="OV74" s="19"/>
      <c r="OW74" s="19"/>
      <c r="OY74" s="8"/>
      <c r="OZ74" s="7"/>
      <c r="PA74" s="19"/>
      <c r="PB74" s="19"/>
      <c r="PC74" s="19"/>
      <c r="PD74" s="19"/>
      <c r="PF74" s="8"/>
      <c r="PG74" s="7"/>
      <c r="PH74" s="19"/>
      <c r="PI74" s="19"/>
      <c r="PJ74" s="19"/>
      <c r="PK74" s="19"/>
      <c r="PM74" s="8"/>
    </row>
    <row r="75" spans="1:429" s="1" customFormat="1" ht="24" outlineLevel="1">
      <c r="B75" s="471"/>
      <c r="C75" s="7"/>
      <c r="D75" s="19"/>
      <c r="E75" s="19"/>
      <c r="F75" s="19"/>
      <c r="G75" s="19"/>
      <c r="I75" s="8"/>
      <c r="J75" s="7"/>
      <c r="K75" s="19"/>
      <c r="L75" s="19"/>
      <c r="M75" s="19"/>
      <c r="N75" s="19"/>
      <c r="P75" s="8"/>
      <c r="Q75" s="7"/>
      <c r="R75" s="19"/>
      <c r="S75" s="19"/>
      <c r="T75" s="19"/>
      <c r="U75" s="19"/>
      <c r="W75" s="8"/>
      <c r="X75" s="7"/>
      <c r="Y75" s="19"/>
      <c r="Z75" s="19"/>
      <c r="AA75" s="19"/>
      <c r="AB75" s="19"/>
      <c r="AD75" s="8"/>
      <c r="AE75" s="7"/>
      <c r="AF75" s="19"/>
      <c r="AG75" s="19"/>
      <c r="AH75" s="19"/>
      <c r="AI75" s="19"/>
      <c r="AK75" s="8"/>
      <c r="AL75" s="7"/>
      <c r="AM75" s="19"/>
      <c r="AN75" s="19"/>
      <c r="AO75" s="19"/>
      <c r="AP75" s="19"/>
      <c r="AR75" s="8"/>
      <c r="AS75" s="7"/>
      <c r="AT75" s="19"/>
      <c r="AU75" s="19"/>
      <c r="AV75" s="19"/>
      <c r="AW75" s="19"/>
      <c r="AY75" s="8"/>
      <c r="AZ75" s="7"/>
      <c r="BA75" s="19"/>
      <c r="BB75" s="19"/>
      <c r="BC75" s="19"/>
      <c r="BD75" s="19"/>
      <c r="BF75" s="8"/>
      <c r="BG75" s="7"/>
      <c r="BH75" s="19"/>
      <c r="BI75" s="19"/>
      <c r="BJ75" s="19"/>
      <c r="BK75" s="19"/>
      <c r="BM75" s="8"/>
      <c r="BN75" s="7"/>
      <c r="BO75" s="19"/>
      <c r="BP75" s="19"/>
      <c r="BQ75" s="19"/>
      <c r="BR75" s="19"/>
      <c r="BT75" s="8"/>
      <c r="BU75" s="7"/>
      <c r="BV75" s="19"/>
      <c r="BW75" s="19"/>
      <c r="BX75" s="19"/>
      <c r="BY75" s="19"/>
      <c r="CA75" s="8"/>
      <c r="CB75" s="7"/>
      <c r="CC75" s="19"/>
      <c r="CD75" s="19"/>
      <c r="CE75" s="19"/>
      <c r="CF75" s="19"/>
      <c r="CH75" s="8"/>
      <c r="CI75" s="7"/>
      <c r="CJ75" s="19"/>
      <c r="CK75" s="19"/>
      <c r="CL75" s="19"/>
      <c r="CM75" s="19"/>
      <c r="CO75" s="8"/>
      <c r="CP75" s="7"/>
      <c r="CQ75" s="19"/>
      <c r="CR75" s="19"/>
      <c r="CS75" s="19"/>
      <c r="CT75" s="19"/>
      <c r="CV75" s="8"/>
      <c r="CW75" s="7"/>
      <c r="CX75" s="19"/>
      <c r="CY75" s="19"/>
      <c r="CZ75" s="19"/>
      <c r="DA75" s="19"/>
      <c r="DC75" s="8"/>
      <c r="DD75" s="7"/>
      <c r="DE75" s="19"/>
      <c r="DF75" s="19"/>
      <c r="DG75" s="19"/>
      <c r="DH75" s="19"/>
      <c r="DJ75" s="8"/>
      <c r="DK75" s="7"/>
      <c r="DL75" s="19"/>
      <c r="DM75" s="19"/>
      <c r="DN75" s="19"/>
      <c r="DO75" s="19"/>
      <c r="DQ75" s="8"/>
      <c r="DR75" s="7"/>
      <c r="DS75" s="19"/>
      <c r="DT75" s="19"/>
      <c r="DU75" s="19"/>
      <c r="DV75" s="19"/>
      <c r="DX75" s="8"/>
      <c r="DY75" s="7"/>
      <c r="DZ75" s="19"/>
      <c r="EA75" s="19"/>
      <c r="EB75" s="19"/>
      <c r="EC75" s="19"/>
      <c r="EE75" s="8"/>
      <c r="EF75" s="7"/>
      <c r="EG75" s="19"/>
      <c r="EH75" s="19"/>
      <c r="EI75" s="19"/>
      <c r="EJ75" s="19"/>
      <c r="EL75" s="8"/>
      <c r="EM75" s="7"/>
      <c r="EN75" s="19"/>
      <c r="EO75" s="19"/>
      <c r="EP75" s="19"/>
      <c r="EQ75" s="19"/>
      <c r="ES75" s="8"/>
      <c r="ET75" s="7"/>
      <c r="EU75" s="19"/>
      <c r="EV75" s="19"/>
      <c r="EW75" s="19"/>
      <c r="EX75" s="19"/>
      <c r="EZ75" s="8"/>
      <c r="FA75" s="7"/>
      <c r="FB75" s="19"/>
      <c r="FC75" s="19"/>
      <c r="FD75" s="19"/>
      <c r="FE75" s="19"/>
      <c r="FG75" s="8"/>
      <c r="FH75" s="7"/>
      <c r="FI75" s="19"/>
      <c r="FJ75" s="19"/>
      <c r="FK75" s="19"/>
      <c r="FL75" s="19"/>
      <c r="FN75" s="8"/>
      <c r="FO75" s="7"/>
      <c r="FP75" s="19"/>
      <c r="FQ75" s="19"/>
      <c r="FR75" s="19"/>
      <c r="FS75" s="19"/>
      <c r="FU75" s="8"/>
      <c r="FV75" s="7"/>
      <c r="FW75" s="19"/>
      <c r="FX75" s="19"/>
      <c r="FY75" s="19"/>
      <c r="FZ75" s="19"/>
      <c r="GB75" s="8"/>
      <c r="GC75" s="7"/>
      <c r="GD75" s="19"/>
      <c r="GE75" s="19"/>
      <c r="GF75" s="19"/>
      <c r="GG75" s="19"/>
      <c r="GI75" s="8"/>
      <c r="GJ75" s="7"/>
      <c r="GK75" s="19"/>
      <c r="GL75" s="19"/>
      <c r="GM75" s="19"/>
      <c r="GN75" s="19"/>
      <c r="GP75" s="8"/>
      <c r="GQ75" s="7"/>
      <c r="GR75" s="19"/>
      <c r="GS75" s="19"/>
      <c r="GT75" s="19"/>
      <c r="GU75" s="19"/>
      <c r="GW75" s="8"/>
      <c r="GX75" s="7"/>
      <c r="GY75" s="19"/>
      <c r="GZ75" s="19"/>
      <c r="HA75" s="19"/>
      <c r="HB75" s="19"/>
      <c r="HD75" s="8"/>
      <c r="HE75" s="7"/>
      <c r="HF75" s="19"/>
      <c r="HG75" s="19"/>
      <c r="HH75" s="19"/>
      <c r="HI75" s="19"/>
      <c r="HK75" s="8"/>
      <c r="HL75" s="7"/>
      <c r="HM75" s="19"/>
      <c r="HN75" s="19"/>
      <c r="HO75" s="19"/>
      <c r="HP75" s="19"/>
      <c r="HR75" s="8"/>
      <c r="HS75" s="7"/>
      <c r="HT75" s="19"/>
      <c r="HU75" s="19"/>
      <c r="HV75" s="19"/>
      <c r="HW75" s="19"/>
      <c r="HY75" s="8"/>
      <c r="HZ75" s="7"/>
      <c r="IA75" s="19"/>
      <c r="IB75" s="19"/>
      <c r="IC75" s="19"/>
      <c r="ID75" s="19"/>
      <c r="IF75" s="8"/>
      <c r="IG75" s="7"/>
      <c r="IH75" s="19"/>
      <c r="II75" s="19"/>
      <c r="IJ75" s="19"/>
      <c r="IK75" s="19"/>
      <c r="IM75" s="8"/>
      <c r="IN75" s="7"/>
      <c r="IO75" s="19"/>
      <c r="IP75" s="19"/>
      <c r="IQ75" s="19"/>
      <c r="IR75" s="19"/>
      <c r="IT75" s="8"/>
      <c r="IU75" s="7"/>
      <c r="IV75" s="19"/>
      <c r="IW75" s="19"/>
      <c r="IX75" s="19"/>
      <c r="IY75" s="19"/>
      <c r="JA75" s="8"/>
      <c r="JB75" s="7"/>
      <c r="JC75" s="19"/>
      <c r="JD75" s="19"/>
      <c r="JE75" s="19"/>
      <c r="JF75" s="19"/>
      <c r="JH75" s="8"/>
      <c r="JI75" s="7"/>
      <c r="JJ75" s="19"/>
      <c r="JK75" s="19"/>
      <c r="JL75" s="19"/>
      <c r="JM75" s="19"/>
      <c r="JO75" s="8"/>
      <c r="JP75" s="7"/>
      <c r="JQ75" s="19"/>
      <c r="JR75" s="19"/>
      <c r="JS75" s="19"/>
      <c r="JT75" s="19"/>
      <c r="JV75" s="8"/>
      <c r="JW75" s="7"/>
      <c r="JX75" s="19"/>
      <c r="JY75" s="19"/>
      <c r="JZ75" s="19"/>
      <c r="KA75" s="19"/>
      <c r="KC75" s="8"/>
      <c r="KD75" s="7"/>
      <c r="KE75" s="19"/>
      <c r="KF75" s="19"/>
      <c r="KG75" s="19"/>
      <c r="KH75" s="19"/>
      <c r="KJ75" s="8"/>
      <c r="KK75" s="7"/>
      <c r="KL75" s="19"/>
      <c r="KM75" s="19"/>
      <c r="KN75" s="19"/>
      <c r="KO75" s="19"/>
      <c r="KQ75" s="8"/>
      <c r="KR75" s="7"/>
      <c r="KS75" s="19"/>
      <c r="KT75" s="19"/>
      <c r="KU75" s="19"/>
      <c r="KV75" s="19"/>
      <c r="KX75" s="8"/>
      <c r="KY75" s="7"/>
      <c r="KZ75" s="19"/>
      <c r="LA75" s="19"/>
      <c r="LB75" s="19"/>
      <c r="LC75" s="19"/>
      <c r="LE75" s="8"/>
      <c r="LF75" s="7"/>
      <c r="LG75" s="19"/>
      <c r="LH75" s="19"/>
      <c r="LI75" s="19"/>
      <c r="LJ75" s="19"/>
      <c r="LL75" s="8"/>
      <c r="LM75" s="7"/>
      <c r="LN75" s="19"/>
      <c r="LO75" s="19"/>
      <c r="LP75" s="19"/>
      <c r="LQ75" s="19"/>
      <c r="LS75" s="8"/>
      <c r="LT75" s="7"/>
      <c r="LU75" s="19"/>
      <c r="LV75" s="19"/>
      <c r="LW75" s="19"/>
      <c r="LX75" s="19"/>
      <c r="LZ75" s="8"/>
      <c r="MA75" s="7"/>
      <c r="MB75" s="19"/>
      <c r="MC75" s="19"/>
      <c r="MD75" s="19"/>
      <c r="ME75" s="19"/>
      <c r="MG75" s="8"/>
      <c r="MH75" s="7"/>
      <c r="MI75" s="19"/>
      <c r="MJ75" s="19"/>
      <c r="MK75" s="19"/>
      <c r="ML75" s="19"/>
      <c r="MN75" s="8"/>
      <c r="MO75" s="7"/>
      <c r="MP75" s="19"/>
      <c r="MQ75" s="19"/>
      <c r="MR75" s="19"/>
      <c r="MS75" s="19"/>
      <c r="MU75" s="8"/>
      <c r="MV75" s="7"/>
      <c r="MW75" s="19"/>
      <c r="MX75" s="19"/>
      <c r="MY75" s="19"/>
      <c r="MZ75" s="19"/>
      <c r="NB75" s="8"/>
      <c r="NC75" s="7"/>
      <c r="ND75" s="19"/>
      <c r="NE75" s="19"/>
      <c r="NF75" s="19"/>
      <c r="NG75" s="19"/>
      <c r="NI75" s="8"/>
      <c r="NJ75" s="7"/>
      <c r="NK75" s="19"/>
      <c r="NL75" s="19"/>
      <c r="NM75" s="19"/>
      <c r="NN75" s="19"/>
      <c r="NP75" s="8"/>
      <c r="NQ75" s="7"/>
      <c r="NR75" s="19"/>
      <c r="NS75" s="19"/>
      <c r="NT75" s="19"/>
      <c r="NU75" s="19"/>
      <c r="NW75" s="8"/>
      <c r="NX75" s="7"/>
      <c r="NY75" s="19"/>
      <c r="NZ75" s="19"/>
      <c r="OA75" s="19"/>
      <c r="OB75" s="19"/>
      <c r="OD75" s="8"/>
      <c r="OE75" s="7"/>
      <c r="OF75" s="19"/>
      <c r="OG75" s="19"/>
      <c r="OH75" s="19"/>
      <c r="OI75" s="19"/>
      <c r="OK75" s="8"/>
      <c r="OL75" s="7"/>
      <c r="OM75" s="19"/>
      <c r="ON75" s="19"/>
      <c r="OO75" s="19"/>
      <c r="OP75" s="19"/>
      <c r="OR75" s="8"/>
      <c r="OS75" s="7"/>
      <c r="OT75" s="19"/>
      <c r="OU75" s="19"/>
      <c r="OV75" s="19"/>
      <c r="OW75" s="19"/>
      <c r="OY75" s="8"/>
      <c r="OZ75" s="7"/>
      <c r="PA75" s="19"/>
      <c r="PB75" s="19"/>
      <c r="PC75" s="19"/>
      <c r="PD75" s="19"/>
      <c r="PF75" s="8"/>
      <c r="PG75" s="7"/>
      <c r="PH75" s="19"/>
      <c r="PI75" s="19"/>
      <c r="PJ75" s="19"/>
      <c r="PK75" s="19"/>
      <c r="PM75" s="8"/>
    </row>
    <row r="76" spans="1:429" s="475" customFormat="1" ht="19" customHeight="1">
      <c r="A76" s="6" t="s">
        <v>73</v>
      </c>
      <c r="B76" s="472"/>
      <c r="C76" s="10"/>
      <c r="D76" s="20"/>
      <c r="E76" s="20"/>
      <c r="F76" s="20"/>
      <c r="G76" s="20"/>
      <c r="H76" s="10"/>
      <c r="I76" s="10"/>
      <c r="J76" s="10"/>
      <c r="K76" s="20"/>
      <c r="L76" s="20"/>
      <c r="M76" s="20"/>
      <c r="N76" s="20"/>
      <c r="O76" s="10"/>
      <c r="P76" s="10"/>
      <c r="Q76" s="10"/>
      <c r="R76" s="20"/>
      <c r="S76" s="20"/>
      <c r="T76" s="20"/>
      <c r="U76" s="20"/>
      <c r="V76" s="10"/>
      <c r="W76" s="10"/>
      <c r="X76" s="10"/>
      <c r="Y76" s="20"/>
      <c r="Z76" s="20"/>
      <c r="AA76" s="20"/>
      <c r="AB76" s="20"/>
      <c r="AC76" s="10"/>
      <c r="AD76" s="10"/>
      <c r="AE76" s="10"/>
      <c r="AF76" s="20"/>
      <c r="AG76" s="20"/>
      <c r="AH76" s="20"/>
      <c r="AI76" s="20"/>
      <c r="AJ76" s="10"/>
      <c r="AK76" s="10"/>
      <c r="AL76" s="10"/>
      <c r="AM76" s="20"/>
      <c r="AN76" s="20"/>
      <c r="AO76" s="20"/>
      <c r="AP76" s="20"/>
      <c r="AQ76" s="10"/>
      <c r="AR76" s="10"/>
      <c r="AS76" s="10"/>
      <c r="AT76" s="20"/>
      <c r="AU76" s="20"/>
      <c r="AV76" s="20"/>
      <c r="AW76" s="20"/>
      <c r="AX76" s="10"/>
      <c r="AY76" s="10"/>
      <c r="AZ76" s="10"/>
      <c r="BA76" s="20"/>
      <c r="BB76" s="20"/>
      <c r="BC76" s="20"/>
      <c r="BD76" s="20"/>
      <c r="BE76" s="10"/>
      <c r="BF76" s="10"/>
      <c r="BG76" s="10"/>
      <c r="BH76" s="20"/>
      <c r="BI76" s="20"/>
      <c r="BJ76" s="20"/>
      <c r="BK76" s="20"/>
      <c r="BL76" s="10"/>
      <c r="BM76" s="10"/>
      <c r="BN76" s="10"/>
      <c r="BO76" s="20"/>
      <c r="BP76" s="20"/>
      <c r="BQ76" s="20"/>
      <c r="BR76" s="20"/>
      <c r="BS76" s="10"/>
      <c r="BT76" s="10"/>
      <c r="BU76" s="10"/>
      <c r="BV76" s="20"/>
      <c r="BW76" s="20"/>
      <c r="BX76" s="20"/>
      <c r="BY76" s="20"/>
      <c r="BZ76" s="10"/>
      <c r="CA76" s="10"/>
      <c r="CB76" s="10"/>
      <c r="CC76" s="20"/>
      <c r="CD76" s="20"/>
      <c r="CE76" s="20"/>
      <c r="CF76" s="20"/>
      <c r="CG76" s="10"/>
      <c r="CH76" s="10"/>
      <c r="CI76" s="10"/>
      <c r="CJ76" s="20"/>
      <c r="CK76" s="20"/>
      <c r="CL76" s="20"/>
      <c r="CM76" s="20"/>
      <c r="CN76" s="10"/>
      <c r="CO76" s="10"/>
      <c r="CP76" s="10"/>
      <c r="CQ76" s="20"/>
      <c r="CR76" s="20"/>
      <c r="CS76" s="20"/>
      <c r="CT76" s="20"/>
      <c r="CU76" s="10"/>
      <c r="CV76" s="10"/>
      <c r="CW76" s="10"/>
      <c r="CX76" s="20"/>
      <c r="CY76" s="20"/>
      <c r="CZ76" s="20"/>
      <c r="DA76" s="20"/>
      <c r="DB76" s="10"/>
      <c r="DC76" s="10"/>
      <c r="DD76" s="10"/>
      <c r="DE76" s="20"/>
      <c r="DF76" s="20"/>
      <c r="DG76" s="20"/>
      <c r="DH76" s="20"/>
      <c r="DI76" s="10"/>
      <c r="DJ76" s="10"/>
      <c r="DK76" s="10"/>
      <c r="DL76" s="20"/>
      <c r="DM76" s="20"/>
      <c r="DN76" s="20"/>
      <c r="DO76" s="20"/>
      <c r="DP76" s="10"/>
      <c r="DQ76" s="10"/>
      <c r="DR76" s="10"/>
      <c r="DS76" s="20"/>
      <c r="DT76" s="20"/>
      <c r="DU76" s="20"/>
      <c r="DV76" s="20"/>
      <c r="DW76" s="10"/>
      <c r="DX76" s="10"/>
      <c r="DY76" s="10"/>
      <c r="DZ76" s="20"/>
      <c r="EA76" s="20"/>
      <c r="EB76" s="20"/>
      <c r="EC76" s="20"/>
      <c r="ED76" s="10"/>
      <c r="EE76" s="10"/>
      <c r="EF76" s="10"/>
      <c r="EG76" s="20"/>
      <c r="EH76" s="20"/>
      <c r="EI76" s="20"/>
      <c r="EJ76" s="20"/>
      <c r="EK76" s="10"/>
      <c r="EL76" s="10"/>
      <c r="EM76" s="10"/>
      <c r="EN76" s="20"/>
      <c r="EO76" s="20"/>
      <c r="EP76" s="20"/>
      <c r="EQ76" s="20"/>
      <c r="ER76" s="10"/>
      <c r="ES76" s="10"/>
      <c r="ET76" s="10"/>
      <c r="EU76" s="20"/>
      <c r="EV76" s="20"/>
      <c r="EW76" s="20"/>
      <c r="EX76" s="20"/>
      <c r="EY76" s="10"/>
      <c r="EZ76" s="10"/>
      <c r="FA76" s="10"/>
      <c r="FB76" s="20"/>
      <c r="FC76" s="20"/>
      <c r="FD76" s="20"/>
      <c r="FE76" s="20"/>
      <c r="FF76" s="10"/>
      <c r="FG76" s="10"/>
      <c r="FH76" s="10"/>
      <c r="FI76" s="20"/>
      <c r="FJ76" s="20"/>
      <c r="FK76" s="20"/>
      <c r="FL76" s="20"/>
      <c r="FM76" s="10"/>
      <c r="FN76" s="10"/>
      <c r="FO76" s="10"/>
      <c r="FP76" s="20"/>
      <c r="FQ76" s="20"/>
      <c r="FR76" s="20"/>
      <c r="FS76" s="20"/>
      <c r="FT76" s="10"/>
      <c r="FU76" s="10"/>
      <c r="FV76" s="10"/>
      <c r="FW76" s="20"/>
      <c r="FX76" s="20"/>
      <c r="FY76" s="20"/>
      <c r="FZ76" s="20"/>
      <c r="GA76" s="10"/>
      <c r="GB76" s="10"/>
      <c r="GC76" s="10"/>
      <c r="GD76" s="20"/>
      <c r="GE76" s="20"/>
      <c r="GF76" s="20"/>
      <c r="GG76" s="20"/>
      <c r="GH76" s="10"/>
      <c r="GI76" s="10"/>
      <c r="GJ76" s="10"/>
      <c r="GK76" s="20"/>
      <c r="GL76" s="20"/>
      <c r="GM76" s="20"/>
      <c r="GN76" s="20"/>
      <c r="GO76" s="10"/>
      <c r="GP76" s="10"/>
      <c r="GQ76" s="10"/>
      <c r="GR76" s="20"/>
      <c r="GS76" s="20"/>
      <c r="GT76" s="20"/>
      <c r="GU76" s="20"/>
      <c r="GV76" s="10"/>
      <c r="GW76" s="10"/>
      <c r="GX76" s="10"/>
      <c r="GY76" s="20"/>
      <c r="GZ76" s="20"/>
      <c r="HA76" s="20"/>
      <c r="HB76" s="20"/>
      <c r="HC76" s="10"/>
      <c r="HD76" s="10"/>
      <c r="HE76" s="10"/>
      <c r="HF76" s="20"/>
      <c r="HG76" s="20"/>
      <c r="HH76" s="20"/>
      <c r="HI76" s="20"/>
      <c r="HJ76" s="10"/>
      <c r="HK76" s="10"/>
      <c r="HL76" s="10"/>
      <c r="HM76" s="20"/>
      <c r="HN76" s="20"/>
      <c r="HO76" s="20"/>
      <c r="HP76" s="20"/>
      <c r="HQ76" s="10"/>
      <c r="HR76" s="10"/>
      <c r="HS76" s="10"/>
      <c r="HT76" s="20"/>
      <c r="HU76" s="20"/>
      <c r="HV76" s="20"/>
      <c r="HW76" s="20"/>
      <c r="HX76" s="10"/>
      <c r="HY76" s="10"/>
      <c r="HZ76" s="10"/>
      <c r="IA76" s="20"/>
      <c r="IB76" s="20"/>
      <c r="IC76" s="20"/>
      <c r="ID76" s="20"/>
      <c r="IE76" s="10"/>
      <c r="IF76" s="10"/>
      <c r="IG76" s="10"/>
      <c r="IH76" s="20"/>
      <c r="II76" s="20"/>
      <c r="IJ76" s="20"/>
      <c r="IK76" s="20"/>
      <c r="IL76" s="10"/>
      <c r="IM76" s="10"/>
      <c r="IN76" s="10"/>
      <c r="IO76" s="20"/>
      <c r="IP76" s="20"/>
      <c r="IQ76" s="20"/>
      <c r="IR76" s="20"/>
      <c r="IS76" s="10"/>
      <c r="IT76" s="10"/>
      <c r="IU76" s="10"/>
      <c r="IV76" s="20"/>
      <c r="IW76" s="20"/>
      <c r="IX76" s="20"/>
      <c r="IY76" s="20"/>
      <c r="IZ76" s="10"/>
      <c r="JA76" s="10"/>
      <c r="JB76" s="10"/>
      <c r="JC76" s="20"/>
      <c r="JD76" s="20"/>
      <c r="JE76" s="20"/>
      <c r="JF76" s="20"/>
      <c r="JG76" s="10"/>
      <c r="JH76" s="10"/>
      <c r="JI76" s="10"/>
      <c r="JJ76" s="20"/>
      <c r="JK76" s="20"/>
      <c r="JL76" s="20"/>
      <c r="JM76" s="20"/>
      <c r="JN76" s="10"/>
      <c r="JO76" s="10"/>
      <c r="JP76" s="10"/>
      <c r="JQ76" s="20"/>
      <c r="JR76" s="20"/>
      <c r="JS76" s="20"/>
      <c r="JT76" s="20"/>
      <c r="JU76" s="10"/>
      <c r="JV76" s="10"/>
      <c r="JW76" s="10"/>
      <c r="JX76" s="20"/>
      <c r="JY76" s="20"/>
      <c r="JZ76" s="20"/>
      <c r="KA76" s="20"/>
      <c r="KB76" s="10"/>
      <c r="KC76" s="10"/>
      <c r="KD76" s="10"/>
      <c r="KE76" s="20"/>
      <c r="KF76" s="20"/>
      <c r="KG76" s="20"/>
      <c r="KH76" s="20"/>
      <c r="KI76" s="10"/>
      <c r="KJ76" s="10"/>
      <c r="KK76" s="10"/>
      <c r="KL76" s="20"/>
      <c r="KM76" s="20"/>
      <c r="KN76" s="20"/>
      <c r="KO76" s="20"/>
      <c r="KP76" s="10"/>
      <c r="KQ76" s="10"/>
      <c r="KR76" s="10"/>
      <c r="KS76" s="20"/>
      <c r="KT76" s="20"/>
      <c r="KU76" s="20"/>
      <c r="KV76" s="20"/>
      <c r="KW76" s="10"/>
      <c r="KX76" s="10"/>
      <c r="KY76" s="10"/>
      <c r="KZ76" s="20"/>
      <c r="LA76" s="20"/>
      <c r="LB76" s="20"/>
      <c r="LC76" s="20"/>
      <c r="LD76" s="10"/>
      <c r="LE76" s="10"/>
      <c r="LF76" s="10"/>
      <c r="LG76" s="20"/>
      <c r="LH76" s="20"/>
      <c r="LI76" s="20"/>
      <c r="LJ76" s="20"/>
      <c r="LK76" s="10"/>
      <c r="LL76" s="10"/>
      <c r="LM76" s="10"/>
      <c r="LN76" s="20"/>
      <c r="LO76" s="20"/>
      <c r="LP76" s="20"/>
      <c r="LQ76" s="20"/>
      <c r="LR76" s="10"/>
      <c r="LS76" s="10"/>
      <c r="LT76" s="10"/>
      <c r="LU76" s="20"/>
      <c r="LV76" s="20"/>
      <c r="LW76" s="20"/>
      <c r="LX76" s="20"/>
      <c r="LY76" s="10"/>
      <c r="LZ76" s="10"/>
      <c r="MA76" s="10"/>
      <c r="MB76" s="20"/>
      <c r="MC76" s="20"/>
      <c r="MD76" s="20"/>
      <c r="ME76" s="20"/>
      <c r="MF76" s="10"/>
      <c r="MG76" s="10"/>
      <c r="MH76" s="10"/>
      <c r="MI76" s="20"/>
      <c r="MJ76" s="20"/>
      <c r="MK76" s="20"/>
      <c r="ML76" s="20"/>
      <c r="MM76" s="10"/>
      <c r="MN76" s="10"/>
      <c r="MO76" s="10"/>
      <c r="MP76" s="20"/>
      <c r="MQ76" s="20"/>
      <c r="MR76" s="20"/>
      <c r="MS76" s="20"/>
      <c r="MT76" s="10"/>
      <c r="MU76" s="10"/>
      <c r="MV76" s="10"/>
      <c r="MW76" s="20"/>
      <c r="MX76" s="20"/>
      <c r="MY76" s="20"/>
      <c r="MZ76" s="20"/>
      <c r="NA76" s="10"/>
      <c r="NB76" s="10"/>
      <c r="NC76" s="10"/>
      <c r="ND76" s="20"/>
      <c r="NE76" s="20"/>
      <c r="NF76" s="20"/>
      <c r="NG76" s="20"/>
      <c r="NH76" s="10"/>
      <c r="NI76" s="10"/>
      <c r="NJ76" s="10"/>
      <c r="NK76" s="20"/>
      <c r="NL76" s="20"/>
      <c r="NM76" s="20"/>
      <c r="NN76" s="20"/>
      <c r="NO76" s="10"/>
      <c r="NP76" s="10"/>
      <c r="NQ76" s="10"/>
      <c r="NR76" s="20"/>
      <c r="NS76" s="20"/>
      <c r="NT76" s="20"/>
      <c r="NU76" s="20"/>
      <c r="NV76" s="10"/>
      <c r="NW76" s="10"/>
      <c r="NX76" s="10"/>
      <c r="NY76" s="20"/>
      <c r="NZ76" s="20"/>
      <c r="OA76" s="20"/>
      <c r="OB76" s="20"/>
      <c r="OC76" s="10"/>
      <c r="OD76" s="10"/>
      <c r="OE76" s="10"/>
      <c r="OF76" s="20"/>
      <c r="OG76" s="20"/>
      <c r="OH76" s="20"/>
      <c r="OI76" s="20"/>
      <c r="OJ76" s="10"/>
      <c r="OK76" s="10"/>
      <c r="OL76" s="10"/>
      <c r="OM76" s="20"/>
      <c r="ON76" s="20"/>
      <c r="OO76" s="20"/>
      <c r="OP76" s="20"/>
      <c r="OQ76" s="10"/>
      <c r="OR76" s="10"/>
      <c r="OS76" s="10"/>
      <c r="OT76" s="20"/>
      <c r="OU76" s="20"/>
      <c r="OV76" s="20"/>
      <c r="OW76" s="20"/>
      <c r="OX76" s="10"/>
      <c r="OY76" s="10"/>
      <c r="OZ76" s="10"/>
      <c r="PA76" s="20"/>
      <c r="PB76" s="20"/>
      <c r="PC76" s="20"/>
      <c r="PD76" s="20"/>
      <c r="PE76" s="10"/>
      <c r="PF76" s="10"/>
      <c r="PG76" s="10"/>
      <c r="PH76" s="20"/>
      <c r="PI76" s="20"/>
      <c r="PJ76" s="20"/>
      <c r="PK76" s="20"/>
      <c r="PL76" s="10"/>
      <c r="PM76" s="10"/>
    </row>
    <row r="77" spans="1:429" s="1" customFormat="1" ht="26" customHeight="1" outlineLevel="1">
      <c r="B77" s="471"/>
      <c r="C77" s="7"/>
      <c r="D77" s="19"/>
      <c r="E77" s="19"/>
      <c r="F77" s="19"/>
      <c r="G77" s="19"/>
      <c r="I77" s="8"/>
      <c r="J77" s="7"/>
      <c r="K77" s="19"/>
      <c r="L77" s="19"/>
      <c r="M77" s="19"/>
      <c r="N77" s="19"/>
      <c r="P77" s="8"/>
      <c r="Q77" s="7"/>
      <c r="R77" s="19"/>
      <c r="S77" s="19"/>
      <c r="T77" s="19"/>
      <c r="U77" s="19"/>
      <c r="W77" s="8"/>
      <c r="X77" s="7"/>
      <c r="Y77" s="19"/>
      <c r="Z77" s="19"/>
      <c r="AA77" s="19"/>
      <c r="AB77" s="19"/>
      <c r="AD77" s="8"/>
      <c r="AE77" s="7"/>
      <c r="AF77" s="19"/>
      <c r="AG77" s="19"/>
      <c r="AH77" s="19"/>
      <c r="AI77" s="19"/>
      <c r="AK77" s="8"/>
      <c r="AL77" s="7"/>
      <c r="AM77" s="19"/>
      <c r="AN77" s="19"/>
      <c r="AO77" s="19"/>
      <c r="AP77" s="19"/>
      <c r="AR77" s="8"/>
      <c r="AS77" s="7"/>
      <c r="AT77" s="19"/>
      <c r="AU77" s="19"/>
      <c r="AV77" s="19"/>
      <c r="AW77" s="19"/>
      <c r="AY77" s="8"/>
      <c r="AZ77" s="7"/>
      <c r="BA77" s="19"/>
      <c r="BB77" s="19"/>
      <c r="BC77" s="19"/>
      <c r="BD77" s="19"/>
      <c r="BF77" s="8"/>
      <c r="BG77" s="7"/>
      <c r="BH77" s="19"/>
      <c r="BI77" s="19"/>
      <c r="BJ77" s="19"/>
      <c r="BK77" s="19"/>
      <c r="BM77" s="8"/>
      <c r="BN77" s="7"/>
      <c r="BO77" s="19"/>
      <c r="BP77" s="19"/>
      <c r="BQ77" s="19"/>
      <c r="BR77" s="19"/>
      <c r="BT77" s="8"/>
      <c r="BU77" s="7"/>
      <c r="BV77" s="19"/>
      <c r="BW77" s="19"/>
      <c r="BX77" s="19"/>
      <c r="BY77" s="19"/>
      <c r="CA77" s="8"/>
      <c r="CB77" s="7"/>
      <c r="CC77" s="19"/>
      <c r="CD77" s="19"/>
      <c r="CE77" s="19"/>
      <c r="CF77" s="19"/>
      <c r="CH77" s="8"/>
      <c r="CI77" s="7"/>
      <c r="CJ77" s="19"/>
      <c r="CK77" s="19"/>
      <c r="CL77" s="19"/>
      <c r="CM77" s="19"/>
      <c r="CO77" s="8"/>
      <c r="CP77" s="7"/>
      <c r="CQ77" s="19"/>
      <c r="CR77" s="19"/>
      <c r="CS77" s="19"/>
      <c r="CT77" s="19"/>
      <c r="CV77" s="8"/>
      <c r="CW77" s="7"/>
      <c r="CX77" s="19"/>
      <c r="CY77" s="19"/>
      <c r="CZ77" s="19"/>
      <c r="DA77" s="19"/>
      <c r="DC77" s="8"/>
      <c r="DD77" s="7"/>
      <c r="DE77" s="19"/>
      <c r="DF77" s="19"/>
      <c r="DG77" s="19"/>
      <c r="DH77" s="19"/>
      <c r="DJ77" s="8"/>
      <c r="DK77" s="7" t="s">
        <v>107</v>
      </c>
      <c r="DL77" s="19" t="s">
        <v>176</v>
      </c>
      <c r="DM77" s="19"/>
      <c r="DN77" s="19"/>
      <c r="DO77" s="19"/>
      <c r="DP77" s="1" t="s">
        <v>193</v>
      </c>
      <c r="DQ77" s="8">
        <v>6</v>
      </c>
      <c r="DR77" s="7"/>
      <c r="DS77" s="19" t="s">
        <v>180</v>
      </c>
      <c r="DT77" s="19"/>
      <c r="DU77" s="19"/>
      <c r="DV77" s="19"/>
      <c r="DW77" s="1" t="s">
        <v>193</v>
      </c>
      <c r="DX77" s="8">
        <v>6</v>
      </c>
      <c r="DY77" s="7"/>
      <c r="DZ77" s="19" t="s">
        <v>180</v>
      </c>
      <c r="EA77" s="19"/>
      <c r="EB77" s="19"/>
      <c r="EC77" s="19"/>
      <c r="ED77" s="1" t="s">
        <v>193</v>
      </c>
      <c r="EE77" s="8">
        <v>6</v>
      </c>
      <c r="EF77" s="7" t="s">
        <v>107</v>
      </c>
      <c r="EG77" s="19" t="s">
        <v>466</v>
      </c>
      <c r="EH77" s="19"/>
      <c r="EI77" s="19"/>
      <c r="EJ77" s="19"/>
      <c r="EK77" s="1" t="s">
        <v>181</v>
      </c>
      <c r="EL77" s="8">
        <v>8</v>
      </c>
      <c r="EM77" s="7"/>
      <c r="EN77" s="19" t="s">
        <v>180</v>
      </c>
      <c r="EO77" s="19"/>
      <c r="EP77" s="19"/>
      <c r="EQ77" s="19"/>
      <c r="ES77" s="8">
        <v>8</v>
      </c>
      <c r="ET77" s="7"/>
      <c r="EU77" s="19" t="s">
        <v>180</v>
      </c>
      <c r="EV77" s="19"/>
      <c r="EW77" s="19"/>
      <c r="EX77" s="19"/>
      <c r="EZ77" s="8">
        <v>8</v>
      </c>
      <c r="FA77" s="7"/>
      <c r="FB77" s="19"/>
      <c r="FC77" s="19"/>
      <c r="FD77" s="19"/>
      <c r="FE77" s="19"/>
      <c r="FG77" s="8"/>
      <c r="FH77" s="7"/>
      <c r="FI77" s="19"/>
      <c r="FJ77" s="19"/>
      <c r="FK77" s="19"/>
      <c r="FL77" s="19"/>
      <c r="FN77" s="8"/>
      <c r="FO77" s="7"/>
      <c r="FP77" s="19"/>
      <c r="FQ77" s="19"/>
      <c r="FR77" s="19"/>
      <c r="FS77" s="19"/>
      <c r="FU77" s="8"/>
      <c r="FV77" s="7"/>
      <c r="FW77" s="19"/>
      <c r="FX77" s="19"/>
      <c r="FY77" s="19"/>
      <c r="FZ77" s="19"/>
      <c r="GB77" s="8"/>
      <c r="GC77" s="7"/>
      <c r="GD77" s="19"/>
      <c r="GE77" s="19"/>
      <c r="GF77" s="19"/>
      <c r="GG77" s="19"/>
      <c r="GI77" s="8"/>
      <c r="GJ77" s="7"/>
      <c r="GK77" s="19"/>
      <c r="GL77" s="19"/>
      <c r="GM77" s="19"/>
      <c r="GN77" s="19"/>
      <c r="GP77" s="8"/>
      <c r="GQ77" s="7"/>
      <c r="GR77" s="19"/>
      <c r="GS77" s="19"/>
      <c r="GT77" s="19"/>
      <c r="GU77" s="19"/>
      <c r="GW77" s="8"/>
      <c r="GX77" s="7"/>
      <c r="GY77" s="19"/>
      <c r="GZ77" s="19"/>
      <c r="HA77" s="19"/>
      <c r="HB77" s="19"/>
      <c r="HD77" s="8"/>
      <c r="HE77" s="7"/>
      <c r="HF77" s="19"/>
      <c r="HG77" s="19"/>
      <c r="HH77" s="19"/>
      <c r="HI77" s="19"/>
      <c r="HK77" s="8"/>
      <c r="HL77" s="7"/>
      <c r="HM77" s="19"/>
      <c r="HN77" s="19"/>
      <c r="HO77" s="19"/>
      <c r="HP77" s="19"/>
      <c r="HR77" s="8"/>
      <c r="HS77" s="7"/>
      <c r="HT77" s="19"/>
      <c r="HU77" s="19"/>
      <c r="HV77" s="19"/>
      <c r="HW77" s="19"/>
      <c r="HY77" s="8"/>
      <c r="HZ77" s="7"/>
      <c r="IA77" s="19"/>
      <c r="IB77" s="19"/>
      <c r="IC77" s="19"/>
      <c r="ID77" s="19"/>
      <c r="IF77" s="8"/>
      <c r="IG77" s="7"/>
      <c r="IH77" s="19"/>
      <c r="II77" s="19"/>
      <c r="IJ77" s="19"/>
      <c r="IK77" s="19"/>
      <c r="IM77" s="8"/>
      <c r="IN77" s="7"/>
      <c r="IO77" s="19"/>
      <c r="IP77" s="19"/>
      <c r="IQ77" s="19"/>
      <c r="IR77" s="19"/>
      <c r="IT77" s="8"/>
      <c r="IU77" s="7"/>
      <c r="IV77" s="19"/>
      <c r="IW77" s="19"/>
      <c r="IX77" s="19"/>
      <c r="IY77" s="19"/>
      <c r="JA77" s="8"/>
      <c r="JB77" s="7"/>
      <c r="JC77" s="19"/>
      <c r="JD77" s="19"/>
      <c r="JE77" s="19"/>
      <c r="JF77" s="19"/>
      <c r="JH77" s="8"/>
      <c r="JI77" s="7"/>
      <c r="JJ77" s="19"/>
      <c r="JK77" s="19"/>
      <c r="JL77" s="19"/>
      <c r="JM77" s="19"/>
      <c r="JO77" s="8"/>
      <c r="JP77" s="7"/>
      <c r="JQ77" s="19"/>
      <c r="JR77" s="19"/>
      <c r="JS77" s="19"/>
      <c r="JT77" s="19"/>
      <c r="JV77" s="8"/>
      <c r="JW77" s="7"/>
      <c r="JX77" s="19"/>
      <c r="JY77" s="19"/>
      <c r="JZ77" s="19"/>
      <c r="KA77" s="19"/>
      <c r="KC77" s="8"/>
      <c r="KD77" s="7"/>
      <c r="KE77" s="19"/>
      <c r="KF77" s="19"/>
      <c r="KG77" s="19"/>
      <c r="KH77" s="19"/>
      <c r="KJ77" s="8"/>
      <c r="KK77" s="7"/>
      <c r="KL77" s="19"/>
      <c r="KM77" s="19"/>
      <c r="KN77" s="19"/>
      <c r="KO77" s="19"/>
      <c r="KQ77" s="8"/>
      <c r="KR77" s="7"/>
      <c r="KS77" s="19"/>
      <c r="KT77" s="19"/>
      <c r="KU77" s="19"/>
      <c r="KV77" s="19"/>
      <c r="KX77" s="8"/>
      <c r="KY77" s="7"/>
      <c r="KZ77" s="19"/>
      <c r="LA77" s="19"/>
      <c r="LB77" s="19"/>
      <c r="LC77" s="19"/>
      <c r="LE77" s="8"/>
      <c r="LF77" s="7"/>
      <c r="LG77" s="19"/>
      <c r="LH77" s="19"/>
      <c r="LI77" s="19"/>
      <c r="LJ77" s="19"/>
      <c r="LL77" s="8"/>
      <c r="LM77" s="7"/>
      <c r="LN77" s="19"/>
      <c r="LO77" s="19"/>
      <c r="LP77" s="19"/>
      <c r="LQ77" s="19"/>
      <c r="LS77" s="8"/>
      <c r="LT77" s="7"/>
      <c r="LU77" s="19"/>
      <c r="LV77" s="19"/>
      <c r="LW77" s="19"/>
      <c r="LX77" s="19"/>
      <c r="LZ77" s="8"/>
      <c r="MA77" s="7"/>
      <c r="MB77" s="19"/>
      <c r="MC77" s="19"/>
      <c r="MD77" s="19"/>
      <c r="ME77" s="19"/>
      <c r="MG77" s="8"/>
      <c r="MH77" s="7"/>
      <c r="MI77" s="19"/>
      <c r="MJ77" s="19"/>
      <c r="MK77" s="19"/>
      <c r="ML77" s="19"/>
      <c r="MN77" s="8"/>
      <c r="MO77" s="7"/>
      <c r="MP77" s="19"/>
      <c r="MQ77" s="19"/>
      <c r="MR77" s="19"/>
      <c r="MS77" s="19"/>
      <c r="MU77" s="8"/>
      <c r="MV77" s="7"/>
      <c r="MW77" s="19"/>
      <c r="MX77" s="19"/>
      <c r="MY77" s="19"/>
      <c r="MZ77" s="19"/>
      <c r="NB77" s="8"/>
      <c r="NC77" s="7"/>
      <c r="ND77" s="19"/>
      <c r="NE77" s="19"/>
      <c r="NF77" s="19"/>
      <c r="NG77" s="19"/>
      <c r="NI77" s="8"/>
      <c r="NJ77" s="7"/>
      <c r="NK77" s="19"/>
      <c r="NL77" s="19"/>
      <c r="NM77" s="19"/>
      <c r="NN77" s="19"/>
      <c r="NP77" s="8"/>
      <c r="NQ77" s="7"/>
      <c r="NR77" s="19"/>
      <c r="NS77" s="19"/>
      <c r="NT77" s="19"/>
      <c r="NU77" s="19"/>
      <c r="NW77" s="8"/>
      <c r="NX77" s="7"/>
      <c r="NY77" s="19"/>
      <c r="NZ77" s="19"/>
      <c r="OA77" s="19"/>
      <c r="OB77" s="19"/>
      <c r="OD77" s="8"/>
      <c r="OE77" s="7"/>
      <c r="OF77" s="19"/>
      <c r="OG77" s="19"/>
      <c r="OH77" s="19"/>
      <c r="OI77" s="19"/>
      <c r="OK77" s="8"/>
      <c r="OL77" s="7"/>
      <c r="OM77" s="19"/>
      <c r="ON77" s="19"/>
      <c r="OO77" s="19"/>
      <c r="OP77" s="19"/>
      <c r="OR77" s="8"/>
      <c r="OS77" s="7"/>
      <c r="OT77" s="19"/>
      <c r="OU77" s="19"/>
      <c r="OV77" s="19"/>
      <c r="OW77" s="19"/>
      <c r="OY77" s="8"/>
      <c r="OZ77" s="7"/>
      <c r="PA77" s="19"/>
      <c r="PB77" s="19"/>
      <c r="PC77" s="19"/>
      <c r="PD77" s="19"/>
      <c r="PF77" s="8"/>
      <c r="PG77" s="7"/>
      <c r="PH77" s="19"/>
      <c r="PI77" s="19"/>
      <c r="PJ77" s="19"/>
      <c r="PK77" s="19"/>
      <c r="PM77" s="8"/>
    </row>
    <row r="78" spans="1:429" s="1" customFormat="1" ht="26" customHeight="1" outlineLevel="1">
      <c r="B78" s="471"/>
      <c r="C78" s="7"/>
      <c r="D78" s="19"/>
      <c r="E78" s="19"/>
      <c r="F78" s="19"/>
      <c r="G78" s="19"/>
      <c r="I78" s="8"/>
      <c r="J78" s="7"/>
      <c r="K78" s="19"/>
      <c r="L78" s="19"/>
      <c r="M78" s="19"/>
      <c r="N78" s="19"/>
      <c r="P78" s="8"/>
      <c r="Q78" s="7"/>
      <c r="R78" s="19"/>
      <c r="S78" s="19"/>
      <c r="T78" s="19"/>
      <c r="U78" s="19"/>
      <c r="W78" s="8"/>
      <c r="X78" s="7"/>
      <c r="Y78" s="19"/>
      <c r="Z78" s="19"/>
      <c r="AA78" s="19"/>
      <c r="AB78" s="19"/>
      <c r="AD78" s="8"/>
      <c r="AE78" s="7"/>
      <c r="AF78" s="19"/>
      <c r="AG78" s="19"/>
      <c r="AH78" s="19"/>
      <c r="AI78" s="19"/>
      <c r="AK78" s="8"/>
      <c r="AL78" s="7"/>
      <c r="AM78" s="19"/>
      <c r="AN78" s="19"/>
      <c r="AO78" s="19"/>
      <c r="AP78" s="19"/>
      <c r="AR78" s="8"/>
      <c r="AS78" s="7"/>
      <c r="AT78" s="19"/>
      <c r="AU78" s="19"/>
      <c r="AV78" s="19"/>
      <c r="AW78" s="19"/>
      <c r="AY78" s="8"/>
      <c r="AZ78" s="7"/>
      <c r="BA78" s="19"/>
      <c r="BB78" s="19"/>
      <c r="BC78" s="19"/>
      <c r="BD78" s="19"/>
      <c r="BF78" s="8"/>
      <c r="BG78" s="7"/>
      <c r="BH78" s="19"/>
      <c r="BI78" s="19"/>
      <c r="BJ78" s="19"/>
      <c r="BK78" s="19"/>
      <c r="BM78" s="8"/>
      <c r="BN78" s="7"/>
      <c r="BO78" s="19"/>
      <c r="BP78" s="19"/>
      <c r="BQ78" s="19"/>
      <c r="BR78" s="19"/>
      <c r="BT78" s="8"/>
      <c r="BU78" s="7"/>
      <c r="BV78" s="19"/>
      <c r="BW78" s="19"/>
      <c r="BX78" s="19"/>
      <c r="BY78" s="19"/>
      <c r="CA78" s="8"/>
      <c r="CB78" s="7"/>
      <c r="CC78" s="19"/>
      <c r="CD78" s="19"/>
      <c r="CE78" s="19"/>
      <c r="CF78" s="19"/>
      <c r="CH78" s="8"/>
      <c r="CI78" s="7"/>
      <c r="CJ78" s="19"/>
      <c r="CK78" s="19"/>
      <c r="CL78" s="19"/>
      <c r="CM78" s="19"/>
      <c r="CO78" s="8"/>
      <c r="CP78" s="7"/>
      <c r="CQ78" s="19"/>
      <c r="CR78" s="19"/>
      <c r="CS78" s="19"/>
      <c r="CT78" s="19"/>
      <c r="CV78" s="8"/>
      <c r="CW78" s="7"/>
      <c r="CX78" s="19"/>
      <c r="CY78" s="19"/>
      <c r="CZ78" s="19"/>
      <c r="DA78" s="19"/>
      <c r="DC78" s="8"/>
      <c r="DD78" s="7"/>
      <c r="DE78" s="19"/>
      <c r="DF78" s="19"/>
      <c r="DG78" s="19"/>
      <c r="DH78" s="19"/>
      <c r="DJ78" s="8"/>
      <c r="DK78" s="7" t="s">
        <v>108</v>
      </c>
      <c r="DL78" s="19" t="s">
        <v>188</v>
      </c>
      <c r="DM78" s="19"/>
      <c r="DN78" s="19"/>
      <c r="DO78" s="19"/>
      <c r="DP78" s="1" t="s">
        <v>155</v>
      </c>
      <c r="DQ78" s="8" t="s">
        <v>137</v>
      </c>
      <c r="DR78" s="7"/>
      <c r="DS78" s="19" t="s">
        <v>180</v>
      </c>
      <c r="DT78" s="19"/>
      <c r="DU78" s="19"/>
      <c r="DV78" s="19"/>
      <c r="DW78" s="1" t="s">
        <v>155</v>
      </c>
      <c r="DX78" s="8" t="s">
        <v>137</v>
      </c>
      <c r="DY78" s="7"/>
      <c r="DZ78" s="19" t="s">
        <v>180</v>
      </c>
      <c r="EA78" s="19"/>
      <c r="EB78" s="19"/>
      <c r="EC78" s="19"/>
      <c r="ED78" s="1" t="s">
        <v>155</v>
      </c>
      <c r="EE78" s="8" t="s">
        <v>137</v>
      </c>
      <c r="EF78" s="7" t="s">
        <v>108</v>
      </c>
      <c r="EG78" s="19" t="s">
        <v>467</v>
      </c>
      <c r="EH78" s="19"/>
      <c r="EI78" s="19"/>
      <c r="EJ78" s="19"/>
      <c r="EK78" s="1" t="s">
        <v>105</v>
      </c>
      <c r="EL78" s="8">
        <v>3</v>
      </c>
      <c r="EM78" s="7"/>
      <c r="EN78" s="19" t="s">
        <v>180</v>
      </c>
      <c r="EO78" s="19"/>
      <c r="EP78" s="19"/>
      <c r="EQ78" s="19"/>
      <c r="ES78" s="8">
        <v>3</v>
      </c>
      <c r="ET78" s="7"/>
      <c r="EU78" s="19" t="s">
        <v>180</v>
      </c>
      <c r="EV78" s="19"/>
      <c r="EW78" s="19"/>
      <c r="EX78" s="19"/>
      <c r="EZ78" s="8">
        <v>3</v>
      </c>
      <c r="FA78" s="7"/>
      <c r="FB78" s="19"/>
      <c r="FC78" s="19"/>
      <c r="FD78" s="19"/>
      <c r="FE78" s="19"/>
      <c r="FG78" s="8"/>
      <c r="FH78" s="7"/>
      <c r="FI78" s="19"/>
      <c r="FJ78" s="19"/>
      <c r="FK78" s="19"/>
      <c r="FL78" s="19"/>
      <c r="FN78" s="8"/>
      <c r="FO78" s="7"/>
      <c r="FP78" s="19"/>
      <c r="FQ78" s="19"/>
      <c r="FR78" s="19"/>
      <c r="FS78" s="19"/>
      <c r="FU78" s="8"/>
      <c r="FV78" s="7"/>
      <c r="FW78" s="19"/>
      <c r="FX78" s="19"/>
      <c r="FY78" s="19"/>
      <c r="FZ78" s="19"/>
      <c r="GB78" s="8"/>
      <c r="GC78" s="7"/>
      <c r="GD78" s="19"/>
      <c r="GE78" s="19"/>
      <c r="GF78" s="19"/>
      <c r="GG78" s="19"/>
      <c r="GI78" s="8"/>
      <c r="GJ78" s="7"/>
      <c r="GK78" s="19"/>
      <c r="GL78" s="19"/>
      <c r="GM78" s="19"/>
      <c r="GN78" s="19"/>
      <c r="GP78" s="8"/>
      <c r="GQ78" s="7"/>
      <c r="GR78" s="19"/>
      <c r="GS78" s="19"/>
      <c r="GT78" s="19"/>
      <c r="GU78" s="19"/>
      <c r="GW78" s="8"/>
      <c r="GX78" s="7"/>
      <c r="GY78" s="19"/>
      <c r="GZ78" s="19"/>
      <c r="HA78" s="19"/>
      <c r="HB78" s="19"/>
      <c r="HD78" s="8"/>
      <c r="HE78" s="7"/>
      <c r="HF78" s="19"/>
      <c r="HG78" s="19"/>
      <c r="HH78" s="19"/>
      <c r="HI78" s="19"/>
      <c r="HK78" s="8"/>
      <c r="HL78" s="7"/>
      <c r="HM78" s="19"/>
      <c r="HN78" s="19"/>
      <c r="HO78" s="19"/>
      <c r="HP78" s="19"/>
      <c r="HR78" s="8"/>
      <c r="HS78" s="7"/>
      <c r="HT78" s="19"/>
      <c r="HU78" s="19"/>
      <c r="HV78" s="19"/>
      <c r="HW78" s="19"/>
      <c r="HY78" s="8"/>
      <c r="HZ78" s="7"/>
      <c r="IA78" s="19"/>
      <c r="IB78" s="19"/>
      <c r="IC78" s="19"/>
      <c r="ID78" s="19"/>
      <c r="IF78" s="8"/>
      <c r="IG78" s="7"/>
      <c r="IH78" s="19"/>
      <c r="II78" s="19"/>
      <c r="IJ78" s="19"/>
      <c r="IK78" s="19"/>
      <c r="IM78" s="8"/>
      <c r="IN78" s="7"/>
      <c r="IO78" s="19"/>
      <c r="IP78" s="19"/>
      <c r="IQ78" s="19"/>
      <c r="IR78" s="19"/>
      <c r="IT78" s="8"/>
      <c r="IU78" s="7"/>
      <c r="IV78" s="19"/>
      <c r="IW78" s="19"/>
      <c r="IX78" s="19"/>
      <c r="IY78" s="19"/>
      <c r="JA78" s="8"/>
      <c r="JB78" s="7"/>
      <c r="JC78" s="19"/>
      <c r="JD78" s="19"/>
      <c r="JE78" s="19"/>
      <c r="JF78" s="19"/>
      <c r="JH78" s="8"/>
      <c r="JI78" s="7"/>
      <c r="JJ78" s="19"/>
      <c r="JK78" s="19"/>
      <c r="JL78" s="19"/>
      <c r="JM78" s="19"/>
      <c r="JO78" s="8"/>
      <c r="JP78" s="7"/>
      <c r="JQ78" s="19"/>
      <c r="JR78" s="19"/>
      <c r="JS78" s="19"/>
      <c r="JT78" s="19"/>
      <c r="JV78" s="8"/>
      <c r="JW78" s="7"/>
      <c r="JX78" s="19"/>
      <c r="JY78" s="19"/>
      <c r="JZ78" s="19"/>
      <c r="KA78" s="19"/>
      <c r="KC78" s="8"/>
      <c r="KD78" s="7"/>
      <c r="KE78" s="19"/>
      <c r="KF78" s="19"/>
      <c r="KG78" s="19"/>
      <c r="KH78" s="19"/>
      <c r="KJ78" s="8"/>
      <c r="KK78" s="7"/>
      <c r="KL78" s="19"/>
      <c r="KM78" s="19"/>
      <c r="KN78" s="19"/>
      <c r="KO78" s="19"/>
      <c r="KQ78" s="8"/>
      <c r="KR78" s="7"/>
      <c r="KS78" s="19"/>
      <c r="KT78" s="19"/>
      <c r="KU78" s="19"/>
      <c r="KV78" s="19"/>
      <c r="KX78" s="8"/>
      <c r="KY78" s="7"/>
      <c r="KZ78" s="19"/>
      <c r="LA78" s="19"/>
      <c r="LB78" s="19"/>
      <c r="LC78" s="19"/>
      <c r="LE78" s="8"/>
      <c r="LF78" s="7"/>
      <c r="LG78" s="19"/>
      <c r="LH78" s="19"/>
      <c r="LI78" s="19"/>
      <c r="LJ78" s="19"/>
      <c r="LL78" s="8"/>
      <c r="LM78" s="7"/>
      <c r="LN78" s="19"/>
      <c r="LO78" s="19"/>
      <c r="LP78" s="19"/>
      <c r="LQ78" s="19"/>
      <c r="LS78" s="8"/>
      <c r="LT78" s="7"/>
      <c r="LU78" s="19"/>
      <c r="LV78" s="19"/>
      <c r="LW78" s="19"/>
      <c r="LX78" s="19"/>
      <c r="LZ78" s="8"/>
      <c r="MA78" s="7"/>
      <c r="MB78" s="19"/>
      <c r="MC78" s="19"/>
      <c r="MD78" s="19"/>
      <c r="ME78" s="19"/>
      <c r="MG78" s="8"/>
      <c r="MH78" s="7"/>
      <c r="MI78" s="19"/>
      <c r="MJ78" s="19"/>
      <c r="MK78" s="19"/>
      <c r="ML78" s="19"/>
      <c r="MN78" s="8"/>
      <c r="MO78" s="7"/>
      <c r="MP78" s="19"/>
      <c r="MQ78" s="19"/>
      <c r="MR78" s="19"/>
      <c r="MS78" s="19"/>
      <c r="MU78" s="8"/>
      <c r="MV78" s="7"/>
      <c r="MW78" s="19"/>
      <c r="MX78" s="19"/>
      <c r="MY78" s="19"/>
      <c r="MZ78" s="19"/>
      <c r="NB78" s="8"/>
      <c r="NC78" s="7"/>
      <c r="ND78" s="19"/>
      <c r="NE78" s="19"/>
      <c r="NF78" s="19"/>
      <c r="NG78" s="19"/>
      <c r="NI78" s="8"/>
      <c r="NJ78" s="7"/>
      <c r="NK78" s="19"/>
      <c r="NL78" s="19"/>
      <c r="NM78" s="19"/>
      <c r="NN78" s="19"/>
      <c r="NP78" s="8"/>
      <c r="NQ78" s="7"/>
      <c r="NR78" s="19"/>
      <c r="NS78" s="19"/>
      <c r="NT78" s="19"/>
      <c r="NU78" s="19"/>
      <c r="NW78" s="8"/>
      <c r="NX78" s="7"/>
      <c r="NY78" s="19"/>
      <c r="NZ78" s="19"/>
      <c r="OA78" s="19"/>
      <c r="OB78" s="19"/>
      <c r="OD78" s="8"/>
      <c r="OE78" s="7"/>
      <c r="OF78" s="19"/>
      <c r="OG78" s="19"/>
      <c r="OH78" s="19"/>
      <c r="OI78" s="19"/>
      <c r="OK78" s="8"/>
      <c r="OL78" s="7"/>
      <c r="OM78" s="19"/>
      <c r="ON78" s="19"/>
      <c r="OO78" s="19"/>
      <c r="OP78" s="19"/>
      <c r="OR78" s="8"/>
      <c r="OS78" s="7"/>
      <c r="OT78" s="19"/>
      <c r="OU78" s="19"/>
      <c r="OV78" s="19"/>
      <c r="OW78" s="19"/>
      <c r="OY78" s="8"/>
      <c r="OZ78" s="7"/>
      <c r="PA78" s="19"/>
      <c r="PB78" s="19"/>
      <c r="PC78" s="19"/>
      <c r="PD78" s="19"/>
      <c r="PF78" s="8"/>
      <c r="PG78" s="7"/>
      <c r="PH78" s="19"/>
      <c r="PI78" s="19"/>
      <c r="PJ78" s="19"/>
      <c r="PK78" s="19"/>
      <c r="PM78" s="8"/>
    </row>
    <row r="79" spans="1:429" s="1" customFormat="1" ht="26" customHeight="1" outlineLevel="1">
      <c r="B79" s="471"/>
      <c r="C79" s="7"/>
      <c r="D79" s="19"/>
      <c r="E79" s="19"/>
      <c r="F79" s="19"/>
      <c r="G79" s="19"/>
      <c r="I79" s="8"/>
      <c r="J79" s="7"/>
      <c r="K79" s="19"/>
      <c r="L79" s="19"/>
      <c r="M79" s="19"/>
      <c r="N79" s="19"/>
      <c r="P79" s="8"/>
      <c r="Q79" s="7"/>
      <c r="R79" s="19"/>
      <c r="S79" s="19"/>
      <c r="T79" s="19"/>
      <c r="U79" s="19"/>
      <c r="W79" s="8"/>
      <c r="X79" s="7"/>
      <c r="Y79" s="19"/>
      <c r="Z79" s="19"/>
      <c r="AA79" s="19"/>
      <c r="AB79" s="19"/>
      <c r="AD79" s="8"/>
      <c r="AE79" s="7"/>
      <c r="AF79" s="19"/>
      <c r="AG79" s="19"/>
      <c r="AH79" s="19"/>
      <c r="AI79" s="19"/>
      <c r="AK79" s="8"/>
      <c r="AL79" s="7"/>
      <c r="AM79" s="19"/>
      <c r="AN79" s="19"/>
      <c r="AO79" s="19"/>
      <c r="AP79" s="19"/>
      <c r="AR79" s="8"/>
      <c r="AS79" s="7"/>
      <c r="AT79" s="19"/>
      <c r="AU79" s="19"/>
      <c r="AV79" s="19"/>
      <c r="AW79" s="19"/>
      <c r="AY79" s="8"/>
      <c r="AZ79" s="7"/>
      <c r="BA79" s="19"/>
      <c r="BB79" s="19"/>
      <c r="BC79" s="19"/>
      <c r="BD79" s="19"/>
      <c r="BF79" s="8"/>
      <c r="BG79" s="7"/>
      <c r="BH79" s="19"/>
      <c r="BI79" s="19"/>
      <c r="BJ79" s="19"/>
      <c r="BK79" s="19"/>
      <c r="BM79" s="8"/>
      <c r="BN79" s="7"/>
      <c r="BO79" s="19"/>
      <c r="BP79" s="19"/>
      <c r="BQ79" s="19"/>
      <c r="BR79" s="19"/>
      <c r="BT79" s="8"/>
      <c r="BU79" s="7"/>
      <c r="BV79" s="19"/>
      <c r="BW79" s="19"/>
      <c r="BX79" s="19"/>
      <c r="BY79" s="19"/>
      <c r="CA79" s="8"/>
      <c r="CB79" s="7"/>
      <c r="CC79" s="19"/>
      <c r="CD79" s="19"/>
      <c r="CE79" s="19"/>
      <c r="CF79" s="19"/>
      <c r="CH79" s="8"/>
      <c r="CI79" s="7"/>
      <c r="CJ79" s="19"/>
      <c r="CK79" s="19"/>
      <c r="CL79" s="19"/>
      <c r="CM79" s="19"/>
      <c r="CO79" s="8"/>
      <c r="CP79" s="7"/>
      <c r="CQ79" s="19"/>
      <c r="CR79" s="19"/>
      <c r="CS79" s="19"/>
      <c r="CT79" s="19"/>
      <c r="CV79" s="8"/>
      <c r="CW79" s="7"/>
      <c r="CX79" s="19"/>
      <c r="CY79" s="19"/>
      <c r="CZ79" s="19"/>
      <c r="DA79" s="19"/>
      <c r="DC79" s="8"/>
      <c r="DD79" s="7"/>
      <c r="DE79" s="19"/>
      <c r="DF79" s="19"/>
      <c r="DG79" s="19"/>
      <c r="DH79" s="19"/>
      <c r="DJ79" s="8"/>
      <c r="DK79" s="7" t="s">
        <v>110</v>
      </c>
      <c r="DL79" s="19" t="s">
        <v>189</v>
      </c>
      <c r="DM79" s="19"/>
      <c r="DN79" s="19"/>
      <c r="DO79" s="19"/>
      <c r="DQ79" s="8">
        <v>6</v>
      </c>
      <c r="DR79" s="7"/>
      <c r="DS79" s="19" t="s">
        <v>180</v>
      </c>
      <c r="DT79" s="19"/>
      <c r="DU79" s="19"/>
      <c r="DV79" s="19"/>
      <c r="DX79" s="8">
        <v>7</v>
      </c>
      <c r="DY79" s="7"/>
      <c r="DZ79" s="19" t="s">
        <v>180</v>
      </c>
      <c r="EA79" s="19"/>
      <c r="EB79" s="19"/>
      <c r="EC79" s="19"/>
      <c r="EE79" s="8">
        <v>8</v>
      </c>
      <c r="EF79" s="7" t="s">
        <v>110</v>
      </c>
      <c r="EG79" s="19" t="s">
        <v>468</v>
      </c>
      <c r="EH79" s="19"/>
      <c r="EI79" s="19"/>
      <c r="EJ79" s="19"/>
      <c r="EK79" s="1" t="s">
        <v>181</v>
      </c>
      <c r="EL79" s="8">
        <v>6</v>
      </c>
      <c r="EM79" s="7"/>
      <c r="EN79" s="19" t="s">
        <v>180</v>
      </c>
      <c r="EO79" s="19"/>
      <c r="EP79" s="19"/>
      <c r="EQ79" s="19"/>
      <c r="ES79" s="8">
        <v>7</v>
      </c>
      <c r="ET79" s="7"/>
      <c r="EU79" s="19" t="s">
        <v>180</v>
      </c>
      <c r="EV79" s="19"/>
      <c r="EW79" s="19"/>
      <c r="EX79" s="19"/>
      <c r="EZ79" s="8">
        <v>8</v>
      </c>
      <c r="FA79" s="7"/>
      <c r="FB79" s="19"/>
      <c r="FC79" s="19"/>
      <c r="FD79" s="19"/>
      <c r="FE79" s="19"/>
      <c r="FG79" s="8"/>
      <c r="FH79" s="7"/>
      <c r="FI79" s="19"/>
      <c r="FJ79" s="19"/>
      <c r="FK79" s="19"/>
      <c r="FL79" s="19"/>
      <c r="FN79" s="8"/>
      <c r="FO79" s="7"/>
      <c r="FP79" s="19"/>
      <c r="FQ79" s="19"/>
      <c r="FR79" s="19"/>
      <c r="FS79" s="19"/>
      <c r="FU79" s="8"/>
      <c r="FV79" s="7"/>
      <c r="FW79" s="19"/>
      <c r="FX79" s="19"/>
      <c r="FY79" s="19"/>
      <c r="FZ79" s="19"/>
      <c r="GB79" s="8"/>
      <c r="GC79" s="7"/>
      <c r="GD79" s="19"/>
      <c r="GE79" s="19"/>
      <c r="GF79" s="19"/>
      <c r="GG79" s="19"/>
      <c r="GI79" s="8"/>
      <c r="GJ79" s="7"/>
      <c r="GK79" s="19"/>
      <c r="GL79" s="19"/>
      <c r="GM79" s="19"/>
      <c r="GN79" s="19"/>
      <c r="GP79" s="8"/>
      <c r="GQ79" s="7"/>
      <c r="GR79" s="19"/>
      <c r="GS79" s="19"/>
      <c r="GT79" s="19"/>
      <c r="GU79" s="19"/>
      <c r="GW79" s="8"/>
      <c r="GX79" s="7"/>
      <c r="GY79" s="19"/>
      <c r="GZ79" s="19"/>
      <c r="HA79" s="19"/>
      <c r="HB79" s="19"/>
      <c r="HD79" s="8"/>
      <c r="HE79" s="7"/>
      <c r="HF79" s="19"/>
      <c r="HG79" s="19"/>
      <c r="HH79" s="19"/>
      <c r="HI79" s="19"/>
      <c r="HK79" s="8"/>
      <c r="HL79" s="7"/>
      <c r="HM79" s="19"/>
      <c r="HN79" s="19"/>
      <c r="HO79" s="19"/>
      <c r="HP79" s="19"/>
      <c r="HR79" s="8"/>
      <c r="HS79" s="7"/>
      <c r="HT79" s="19"/>
      <c r="HU79" s="19"/>
      <c r="HV79" s="19"/>
      <c r="HW79" s="19"/>
      <c r="HY79" s="8"/>
      <c r="HZ79" s="7"/>
      <c r="IA79" s="19"/>
      <c r="IB79" s="19"/>
      <c r="IC79" s="19"/>
      <c r="ID79" s="19"/>
      <c r="IF79" s="8"/>
      <c r="IG79" s="7"/>
      <c r="IH79" s="19"/>
      <c r="II79" s="19"/>
      <c r="IJ79" s="19"/>
      <c r="IK79" s="19"/>
      <c r="IM79" s="8"/>
      <c r="IN79" s="7"/>
      <c r="IO79" s="19"/>
      <c r="IP79" s="19"/>
      <c r="IQ79" s="19"/>
      <c r="IR79" s="19"/>
      <c r="IT79" s="8"/>
      <c r="IU79" s="7"/>
      <c r="IV79" s="19"/>
      <c r="IW79" s="19"/>
      <c r="IX79" s="19"/>
      <c r="IY79" s="19"/>
      <c r="JA79" s="8"/>
      <c r="JB79" s="7"/>
      <c r="JC79" s="19"/>
      <c r="JD79" s="19"/>
      <c r="JE79" s="19"/>
      <c r="JF79" s="19"/>
      <c r="JH79" s="8"/>
      <c r="JI79" s="7"/>
      <c r="JJ79" s="19"/>
      <c r="JK79" s="19"/>
      <c r="JL79" s="19"/>
      <c r="JM79" s="19"/>
      <c r="JO79" s="8"/>
      <c r="JP79" s="7"/>
      <c r="JQ79" s="19"/>
      <c r="JR79" s="19"/>
      <c r="JS79" s="19"/>
      <c r="JT79" s="19"/>
      <c r="JV79" s="8"/>
      <c r="JW79" s="7"/>
      <c r="JX79" s="19"/>
      <c r="JY79" s="19"/>
      <c r="JZ79" s="19"/>
      <c r="KA79" s="19"/>
      <c r="KC79" s="8"/>
      <c r="KD79" s="7"/>
      <c r="KE79" s="19"/>
      <c r="KF79" s="19"/>
      <c r="KG79" s="19"/>
      <c r="KH79" s="19"/>
      <c r="KJ79" s="8"/>
      <c r="KK79" s="7"/>
      <c r="KL79" s="19"/>
      <c r="KM79" s="19"/>
      <c r="KN79" s="19"/>
      <c r="KO79" s="19"/>
      <c r="KQ79" s="8"/>
      <c r="KR79" s="7"/>
      <c r="KS79" s="19"/>
      <c r="KT79" s="19"/>
      <c r="KU79" s="19"/>
      <c r="KV79" s="19"/>
      <c r="KX79" s="8"/>
      <c r="KY79" s="7"/>
      <c r="KZ79" s="19"/>
      <c r="LA79" s="19"/>
      <c r="LB79" s="19"/>
      <c r="LC79" s="19"/>
      <c r="LE79" s="8"/>
      <c r="LF79" s="7"/>
      <c r="LG79" s="19"/>
      <c r="LH79" s="19"/>
      <c r="LI79" s="19"/>
      <c r="LJ79" s="19"/>
      <c r="LL79" s="8"/>
      <c r="LM79" s="7"/>
      <c r="LN79" s="19"/>
      <c r="LO79" s="19"/>
      <c r="LP79" s="19"/>
      <c r="LQ79" s="19"/>
      <c r="LS79" s="8"/>
      <c r="LT79" s="7"/>
      <c r="LU79" s="19"/>
      <c r="LV79" s="19"/>
      <c r="LW79" s="19"/>
      <c r="LX79" s="19"/>
      <c r="LZ79" s="8"/>
      <c r="MA79" s="7"/>
      <c r="MB79" s="19"/>
      <c r="MC79" s="19"/>
      <c r="MD79" s="19"/>
      <c r="ME79" s="19"/>
      <c r="MG79" s="8"/>
      <c r="MH79" s="7"/>
      <c r="MI79" s="19"/>
      <c r="MJ79" s="19"/>
      <c r="MK79" s="19"/>
      <c r="ML79" s="19"/>
      <c r="MN79" s="8"/>
      <c r="MO79" s="7"/>
      <c r="MP79" s="19"/>
      <c r="MQ79" s="19"/>
      <c r="MR79" s="19"/>
      <c r="MS79" s="19"/>
      <c r="MU79" s="8"/>
      <c r="MV79" s="7"/>
      <c r="MW79" s="19"/>
      <c r="MX79" s="19"/>
      <c r="MY79" s="19"/>
      <c r="MZ79" s="19"/>
      <c r="NB79" s="8"/>
      <c r="NC79" s="7"/>
      <c r="ND79" s="19"/>
      <c r="NE79" s="19"/>
      <c r="NF79" s="19"/>
      <c r="NG79" s="19"/>
      <c r="NI79" s="8"/>
      <c r="NJ79" s="7"/>
      <c r="NK79" s="19"/>
      <c r="NL79" s="19"/>
      <c r="NM79" s="19"/>
      <c r="NN79" s="19"/>
      <c r="NP79" s="8"/>
      <c r="NQ79" s="7"/>
      <c r="NR79" s="19"/>
      <c r="NS79" s="19"/>
      <c r="NT79" s="19"/>
      <c r="NU79" s="19"/>
      <c r="NW79" s="8"/>
      <c r="NX79" s="7"/>
      <c r="NY79" s="19"/>
      <c r="NZ79" s="19"/>
      <c r="OA79" s="19"/>
      <c r="OB79" s="19"/>
      <c r="OD79" s="8"/>
      <c r="OE79" s="7"/>
      <c r="OF79" s="19"/>
      <c r="OG79" s="19"/>
      <c r="OH79" s="19"/>
      <c r="OI79" s="19"/>
      <c r="OK79" s="8"/>
      <c r="OL79" s="7"/>
      <c r="OM79" s="19"/>
      <c r="ON79" s="19"/>
      <c r="OO79" s="19"/>
      <c r="OP79" s="19"/>
      <c r="OR79" s="8"/>
      <c r="OS79" s="7"/>
      <c r="OT79" s="19"/>
      <c r="OU79" s="19"/>
      <c r="OV79" s="19"/>
      <c r="OW79" s="19"/>
      <c r="OY79" s="8"/>
      <c r="OZ79" s="7"/>
      <c r="PA79" s="19"/>
      <c r="PB79" s="19"/>
      <c r="PC79" s="19"/>
      <c r="PD79" s="19"/>
      <c r="PF79" s="8"/>
      <c r="PG79" s="7"/>
      <c r="PH79" s="19"/>
      <c r="PI79" s="19"/>
      <c r="PJ79" s="19"/>
      <c r="PK79" s="19"/>
      <c r="PM79" s="8"/>
    </row>
    <row r="80" spans="1:429" s="1" customFormat="1" ht="26" customHeight="1" outlineLevel="1">
      <c r="B80" s="471"/>
      <c r="C80" s="7"/>
      <c r="D80" s="19"/>
      <c r="E80" s="19"/>
      <c r="F80" s="19"/>
      <c r="G80" s="19"/>
      <c r="I80" s="8"/>
      <c r="J80" s="7"/>
      <c r="K80" s="19"/>
      <c r="L80" s="19"/>
      <c r="M80" s="19"/>
      <c r="N80" s="19"/>
      <c r="P80" s="8"/>
      <c r="Q80" s="7"/>
      <c r="R80" s="19"/>
      <c r="S80" s="19"/>
      <c r="T80" s="19"/>
      <c r="U80" s="19"/>
      <c r="W80" s="8"/>
      <c r="X80" s="7"/>
      <c r="Y80" s="19"/>
      <c r="Z80" s="19"/>
      <c r="AA80" s="19"/>
      <c r="AB80" s="19"/>
      <c r="AD80" s="8"/>
      <c r="AE80" s="7"/>
      <c r="AF80" s="19"/>
      <c r="AG80" s="19"/>
      <c r="AH80" s="19"/>
      <c r="AI80" s="19"/>
      <c r="AK80" s="8"/>
      <c r="AL80" s="7"/>
      <c r="AM80" s="19"/>
      <c r="AN80" s="19"/>
      <c r="AO80" s="19"/>
      <c r="AP80" s="19"/>
      <c r="AR80" s="8"/>
      <c r="AS80" s="7"/>
      <c r="AT80" s="19"/>
      <c r="AU80" s="19"/>
      <c r="AV80" s="19"/>
      <c r="AW80" s="19"/>
      <c r="AY80" s="8"/>
      <c r="AZ80" s="7"/>
      <c r="BA80" s="19"/>
      <c r="BB80" s="19"/>
      <c r="BC80" s="19"/>
      <c r="BD80" s="19"/>
      <c r="BF80" s="8"/>
      <c r="BG80" s="7"/>
      <c r="BH80" s="19"/>
      <c r="BI80" s="19"/>
      <c r="BJ80" s="19"/>
      <c r="BK80" s="19"/>
      <c r="BM80" s="8"/>
      <c r="BN80" s="7"/>
      <c r="BO80" s="19"/>
      <c r="BP80" s="19"/>
      <c r="BQ80" s="19"/>
      <c r="BR80" s="19"/>
      <c r="BT80" s="8"/>
      <c r="BU80" s="7"/>
      <c r="BV80" s="19"/>
      <c r="BW80" s="19"/>
      <c r="BX80" s="19"/>
      <c r="BY80" s="19"/>
      <c r="CA80" s="8"/>
      <c r="CB80" s="7"/>
      <c r="CC80" s="19"/>
      <c r="CD80" s="19"/>
      <c r="CE80" s="19"/>
      <c r="CF80" s="19"/>
      <c r="CH80" s="8"/>
      <c r="CI80" s="7"/>
      <c r="CJ80" s="19"/>
      <c r="CK80" s="19"/>
      <c r="CL80" s="19"/>
      <c r="CM80" s="19"/>
      <c r="CO80" s="8"/>
      <c r="CP80" s="7"/>
      <c r="CQ80" s="19"/>
      <c r="CR80" s="19"/>
      <c r="CS80" s="19"/>
      <c r="CT80" s="19"/>
      <c r="CV80" s="8"/>
      <c r="CW80" s="7"/>
      <c r="CX80" s="19"/>
      <c r="CY80" s="19"/>
      <c r="CZ80" s="19"/>
      <c r="DA80" s="19"/>
      <c r="DC80" s="8"/>
      <c r="DD80" s="7"/>
      <c r="DE80" s="19"/>
      <c r="DF80" s="19"/>
      <c r="DG80" s="19"/>
      <c r="DH80" s="19"/>
      <c r="DJ80" s="8"/>
      <c r="DK80" s="7" t="s">
        <v>111</v>
      </c>
      <c r="DL80" s="19" t="s">
        <v>190</v>
      </c>
      <c r="DM80" s="19"/>
      <c r="DN80" s="19"/>
      <c r="DO80" s="19"/>
      <c r="DQ80" s="8">
        <v>8</v>
      </c>
      <c r="DR80" s="7"/>
      <c r="DS80" s="19" t="s">
        <v>180</v>
      </c>
      <c r="DT80" s="19"/>
      <c r="DU80" s="19"/>
      <c r="DV80" s="19"/>
      <c r="DX80" s="8">
        <v>8</v>
      </c>
      <c r="DY80" s="7"/>
      <c r="DZ80" s="19" t="s">
        <v>180</v>
      </c>
      <c r="EA80" s="19"/>
      <c r="EB80" s="19"/>
      <c r="EC80" s="19"/>
      <c r="EE80" s="8">
        <v>8</v>
      </c>
      <c r="EF80" s="7" t="s">
        <v>111</v>
      </c>
      <c r="EG80" s="19" t="s">
        <v>469</v>
      </c>
      <c r="EH80" s="19"/>
      <c r="EI80" s="19"/>
      <c r="EJ80" s="19"/>
      <c r="EL80" s="8">
        <v>8</v>
      </c>
      <c r="EM80" s="7"/>
      <c r="EN80" s="19" t="s">
        <v>180</v>
      </c>
      <c r="EO80" s="19"/>
      <c r="EP80" s="19"/>
      <c r="EQ80" s="19"/>
      <c r="ES80" s="8">
        <v>8</v>
      </c>
      <c r="ET80" s="7"/>
      <c r="EU80" s="19" t="s">
        <v>180</v>
      </c>
      <c r="EV80" s="19"/>
      <c r="EW80" s="19"/>
      <c r="EX80" s="19"/>
      <c r="EZ80" s="8">
        <v>8</v>
      </c>
      <c r="FA80" s="7"/>
      <c r="FB80" s="19"/>
      <c r="FC80" s="19"/>
      <c r="FD80" s="19"/>
      <c r="FE80" s="19"/>
      <c r="FG80" s="8"/>
      <c r="FH80" s="7"/>
      <c r="FI80" s="19"/>
      <c r="FJ80" s="19"/>
      <c r="FK80" s="19"/>
      <c r="FL80" s="19"/>
      <c r="FN80" s="8"/>
      <c r="FO80" s="7"/>
      <c r="FP80" s="19"/>
      <c r="FQ80" s="19"/>
      <c r="FR80" s="19"/>
      <c r="FS80" s="19"/>
      <c r="FU80" s="8"/>
      <c r="FV80" s="7"/>
      <c r="FW80" s="19"/>
      <c r="FX80" s="19"/>
      <c r="FY80" s="19"/>
      <c r="FZ80" s="19"/>
      <c r="GB80" s="8"/>
      <c r="GC80" s="7"/>
      <c r="GD80" s="19"/>
      <c r="GE80" s="19"/>
      <c r="GF80" s="19"/>
      <c r="GG80" s="19"/>
      <c r="GI80" s="8"/>
      <c r="GJ80" s="7"/>
      <c r="GK80" s="19"/>
      <c r="GL80" s="19"/>
      <c r="GM80" s="19"/>
      <c r="GN80" s="19"/>
      <c r="GP80" s="8"/>
      <c r="GQ80" s="7"/>
      <c r="GR80" s="19"/>
      <c r="GS80" s="19"/>
      <c r="GT80" s="19"/>
      <c r="GU80" s="19"/>
      <c r="GW80" s="8"/>
      <c r="GX80" s="7"/>
      <c r="GY80" s="19"/>
      <c r="GZ80" s="19"/>
      <c r="HA80" s="19"/>
      <c r="HB80" s="19"/>
      <c r="HD80" s="8"/>
      <c r="HE80" s="7"/>
      <c r="HF80" s="19"/>
      <c r="HG80" s="19"/>
      <c r="HH80" s="19"/>
      <c r="HI80" s="19"/>
      <c r="HK80" s="8"/>
      <c r="HL80" s="7"/>
      <c r="HM80" s="19"/>
      <c r="HN80" s="19"/>
      <c r="HO80" s="19"/>
      <c r="HP80" s="19"/>
      <c r="HR80" s="8"/>
      <c r="HS80" s="7"/>
      <c r="HT80" s="19"/>
      <c r="HU80" s="19"/>
      <c r="HV80" s="19"/>
      <c r="HW80" s="19"/>
      <c r="HY80" s="8"/>
      <c r="HZ80" s="7"/>
      <c r="IA80" s="19"/>
      <c r="IB80" s="19"/>
      <c r="IC80" s="19"/>
      <c r="ID80" s="19"/>
      <c r="IF80" s="8"/>
      <c r="IG80" s="7"/>
      <c r="IH80" s="19"/>
      <c r="II80" s="19"/>
      <c r="IJ80" s="19"/>
      <c r="IK80" s="19"/>
      <c r="IM80" s="8"/>
      <c r="IN80" s="7"/>
      <c r="IO80" s="19"/>
      <c r="IP80" s="19"/>
      <c r="IQ80" s="19"/>
      <c r="IR80" s="19"/>
      <c r="IT80" s="8"/>
      <c r="IU80" s="7"/>
      <c r="IV80" s="19"/>
      <c r="IW80" s="19"/>
      <c r="IX80" s="19"/>
      <c r="IY80" s="19"/>
      <c r="JA80" s="8"/>
      <c r="JB80" s="7"/>
      <c r="JC80" s="19"/>
      <c r="JD80" s="19"/>
      <c r="JE80" s="19"/>
      <c r="JF80" s="19"/>
      <c r="JH80" s="8"/>
      <c r="JI80" s="7"/>
      <c r="JJ80" s="19"/>
      <c r="JK80" s="19"/>
      <c r="JL80" s="19"/>
      <c r="JM80" s="19"/>
      <c r="JO80" s="8"/>
      <c r="JP80" s="7"/>
      <c r="JQ80" s="19"/>
      <c r="JR80" s="19"/>
      <c r="JS80" s="19"/>
      <c r="JT80" s="19"/>
      <c r="JV80" s="8"/>
      <c r="JW80" s="7"/>
      <c r="JX80" s="19"/>
      <c r="JY80" s="19"/>
      <c r="JZ80" s="19"/>
      <c r="KA80" s="19"/>
      <c r="KC80" s="8"/>
      <c r="KD80" s="7"/>
      <c r="KE80" s="19"/>
      <c r="KF80" s="19"/>
      <c r="KG80" s="19"/>
      <c r="KH80" s="19"/>
      <c r="KJ80" s="8"/>
      <c r="KK80" s="7"/>
      <c r="KL80" s="19"/>
      <c r="KM80" s="19"/>
      <c r="KN80" s="19"/>
      <c r="KO80" s="19"/>
      <c r="KQ80" s="8"/>
      <c r="KR80" s="7"/>
      <c r="KS80" s="19"/>
      <c r="KT80" s="19"/>
      <c r="KU80" s="19"/>
      <c r="KV80" s="19"/>
      <c r="KX80" s="8"/>
      <c r="KY80" s="7"/>
      <c r="KZ80" s="19"/>
      <c r="LA80" s="19"/>
      <c r="LB80" s="19"/>
      <c r="LC80" s="19"/>
      <c r="LE80" s="8"/>
      <c r="LF80" s="7"/>
      <c r="LG80" s="19"/>
      <c r="LH80" s="19"/>
      <c r="LI80" s="19"/>
      <c r="LJ80" s="19"/>
      <c r="LL80" s="8"/>
      <c r="LM80" s="7"/>
      <c r="LN80" s="19"/>
      <c r="LO80" s="19"/>
      <c r="LP80" s="19"/>
      <c r="LQ80" s="19"/>
      <c r="LS80" s="8"/>
      <c r="LT80" s="7"/>
      <c r="LU80" s="19"/>
      <c r="LV80" s="19"/>
      <c r="LW80" s="19"/>
      <c r="LX80" s="19"/>
      <c r="LZ80" s="8"/>
      <c r="MA80" s="7"/>
      <c r="MB80" s="19"/>
      <c r="MC80" s="19"/>
      <c r="MD80" s="19"/>
      <c r="ME80" s="19"/>
      <c r="MG80" s="8"/>
      <c r="MH80" s="7"/>
      <c r="MI80" s="19"/>
      <c r="MJ80" s="19"/>
      <c r="MK80" s="19"/>
      <c r="ML80" s="19"/>
      <c r="MN80" s="8"/>
      <c r="MO80" s="7"/>
      <c r="MP80" s="19"/>
      <c r="MQ80" s="19"/>
      <c r="MR80" s="19"/>
      <c r="MS80" s="19"/>
      <c r="MU80" s="8"/>
      <c r="MV80" s="7"/>
      <c r="MW80" s="19"/>
      <c r="MX80" s="19"/>
      <c r="MY80" s="19"/>
      <c r="MZ80" s="19"/>
      <c r="NB80" s="8"/>
      <c r="NC80" s="7"/>
      <c r="ND80" s="19"/>
      <c r="NE80" s="19"/>
      <c r="NF80" s="19"/>
      <c r="NG80" s="19"/>
      <c r="NI80" s="8"/>
      <c r="NJ80" s="7"/>
      <c r="NK80" s="19"/>
      <c r="NL80" s="19"/>
      <c r="NM80" s="19"/>
      <c r="NN80" s="19"/>
      <c r="NP80" s="8"/>
      <c r="NQ80" s="7"/>
      <c r="NR80" s="19"/>
      <c r="NS80" s="19"/>
      <c r="NT80" s="19"/>
      <c r="NU80" s="19"/>
      <c r="NW80" s="8"/>
      <c r="NX80" s="7"/>
      <c r="NY80" s="19"/>
      <c r="NZ80" s="19"/>
      <c r="OA80" s="19"/>
      <c r="OB80" s="19"/>
      <c r="OD80" s="8"/>
      <c r="OE80" s="7"/>
      <c r="OF80" s="19"/>
      <c r="OG80" s="19"/>
      <c r="OH80" s="19"/>
      <c r="OI80" s="19"/>
      <c r="OK80" s="8"/>
      <c r="OL80" s="7"/>
      <c r="OM80" s="19"/>
      <c r="ON80" s="19"/>
      <c r="OO80" s="19"/>
      <c r="OP80" s="19"/>
      <c r="OR80" s="8"/>
      <c r="OS80" s="7"/>
      <c r="OT80" s="19"/>
      <c r="OU80" s="19"/>
      <c r="OV80" s="19"/>
      <c r="OW80" s="19"/>
      <c r="OY80" s="8"/>
      <c r="OZ80" s="7"/>
      <c r="PA80" s="19"/>
      <c r="PB80" s="19"/>
      <c r="PC80" s="19"/>
      <c r="PD80" s="19"/>
      <c r="PF80" s="8"/>
      <c r="PG80" s="7"/>
      <c r="PH80" s="19"/>
      <c r="PI80" s="19"/>
      <c r="PJ80" s="19"/>
      <c r="PK80" s="19"/>
      <c r="PM80" s="8"/>
    </row>
    <row r="81" spans="1:429" s="1" customFormat="1" ht="26" customHeight="1" outlineLevel="1">
      <c r="B81" s="471"/>
      <c r="C81" s="7"/>
      <c r="D81" s="19"/>
      <c r="E81" s="19"/>
      <c r="F81" s="19"/>
      <c r="G81" s="19"/>
      <c r="I81" s="8"/>
      <c r="J81" s="7"/>
      <c r="K81" s="19"/>
      <c r="L81" s="19"/>
      <c r="M81" s="19"/>
      <c r="N81" s="19"/>
      <c r="P81" s="8"/>
      <c r="Q81" s="7"/>
      <c r="R81" s="19"/>
      <c r="S81" s="19"/>
      <c r="T81" s="19"/>
      <c r="U81" s="19"/>
      <c r="W81" s="8"/>
      <c r="X81" s="7"/>
      <c r="Y81" s="19"/>
      <c r="Z81" s="19"/>
      <c r="AA81" s="19"/>
      <c r="AB81" s="19"/>
      <c r="AD81" s="8"/>
      <c r="AE81" s="7"/>
      <c r="AF81" s="19"/>
      <c r="AG81" s="19"/>
      <c r="AH81" s="19"/>
      <c r="AI81" s="19"/>
      <c r="AK81" s="8"/>
      <c r="AL81" s="7"/>
      <c r="AM81" s="19"/>
      <c r="AN81" s="19"/>
      <c r="AO81" s="19"/>
      <c r="AP81" s="19"/>
      <c r="AR81" s="8"/>
      <c r="AS81" s="7"/>
      <c r="AT81" s="19"/>
      <c r="AU81" s="19"/>
      <c r="AV81" s="19"/>
      <c r="AW81" s="19"/>
      <c r="AY81" s="8"/>
      <c r="AZ81" s="7"/>
      <c r="BA81" s="19"/>
      <c r="BB81" s="19"/>
      <c r="BC81" s="19"/>
      <c r="BD81" s="19"/>
      <c r="BF81" s="8"/>
      <c r="BG81" s="7"/>
      <c r="BH81" s="19"/>
      <c r="BI81" s="19"/>
      <c r="BJ81" s="19"/>
      <c r="BK81" s="19"/>
      <c r="BM81" s="8"/>
      <c r="BN81" s="7"/>
      <c r="BO81" s="19"/>
      <c r="BP81" s="19"/>
      <c r="BQ81" s="19"/>
      <c r="BR81" s="19"/>
      <c r="BT81" s="8"/>
      <c r="BU81" s="7"/>
      <c r="BV81" s="19"/>
      <c r="BW81" s="19"/>
      <c r="BX81" s="19"/>
      <c r="BY81" s="19"/>
      <c r="CA81" s="8"/>
      <c r="CB81" s="7"/>
      <c r="CC81" s="19"/>
      <c r="CD81" s="19"/>
      <c r="CE81" s="19"/>
      <c r="CF81" s="19"/>
      <c r="CH81" s="8"/>
      <c r="CI81" s="7"/>
      <c r="CJ81" s="19"/>
      <c r="CK81" s="19"/>
      <c r="CL81" s="19"/>
      <c r="CM81" s="19"/>
      <c r="CO81" s="8"/>
      <c r="CP81" s="7"/>
      <c r="CQ81" s="19"/>
      <c r="CR81" s="19"/>
      <c r="CS81" s="19"/>
      <c r="CT81" s="19"/>
      <c r="CV81" s="8"/>
      <c r="CW81" s="7"/>
      <c r="CX81" s="19"/>
      <c r="CY81" s="19"/>
      <c r="CZ81" s="19"/>
      <c r="DA81" s="19"/>
      <c r="DC81" s="8"/>
      <c r="DD81" s="7"/>
      <c r="DE81" s="19"/>
      <c r="DF81" s="19"/>
      <c r="DG81" s="19"/>
      <c r="DH81" s="19"/>
      <c r="DJ81" s="8"/>
      <c r="DK81" s="7" t="s">
        <v>113</v>
      </c>
      <c r="DL81" s="19" t="s">
        <v>191</v>
      </c>
      <c r="DM81" s="19"/>
      <c r="DN81" s="19"/>
      <c r="DO81" s="19"/>
      <c r="DP81" s="1" t="s">
        <v>106</v>
      </c>
      <c r="DQ81" s="8">
        <v>3</v>
      </c>
      <c r="DR81" s="7"/>
      <c r="DS81" s="19" t="s">
        <v>180</v>
      </c>
      <c r="DT81" s="19"/>
      <c r="DU81" s="19"/>
      <c r="DV81" s="19"/>
      <c r="DW81" s="1" t="s">
        <v>106</v>
      </c>
      <c r="DX81" s="8">
        <v>3</v>
      </c>
      <c r="DY81" s="7"/>
      <c r="DZ81" s="19" t="s">
        <v>180</v>
      </c>
      <c r="EA81" s="19"/>
      <c r="EB81" s="19"/>
      <c r="EC81" s="19"/>
      <c r="ED81" s="1" t="s">
        <v>106</v>
      </c>
      <c r="EE81" s="8">
        <v>3</v>
      </c>
      <c r="EF81" s="7" t="s">
        <v>113</v>
      </c>
      <c r="EG81" s="19" t="s">
        <v>470</v>
      </c>
      <c r="EH81" s="19"/>
      <c r="EI81" s="19"/>
      <c r="EJ81" s="19"/>
      <c r="EK81" s="1" t="s">
        <v>106</v>
      </c>
      <c r="EL81" s="8">
        <v>3</v>
      </c>
      <c r="EM81" s="7"/>
      <c r="EN81" s="19" t="s">
        <v>180</v>
      </c>
      <c r="EO81" s="19"/>
      <c r="EP81" s="19"/>
      <c r="EQ81" s="19"/>
      <c r="ES81" s="8">
        <v>4</v>
      </c>
      <c r="ET81" s="7"/>
      <c r="EU81" s="19" t="s">
        <v>180</v>
      </c>
      <c r="EV81" s="19"/>
      <c r="EW81" s="19"/>
      <c r="EX81" s="19"/>
      <c r="EZ81" s="8">
        <v>5</v>
      </c>
      <c r="FA81" s="7"/>
      <c r="FB81" s="19"/>
      <c r="FC81" s="19"/>
      <c r="FD81" s="19"/>
      <c r="FE81" s="19"/>
      <c r="FG81" s="8"/>
      <c r="FH81" s="7"/>
      <c r="FI81" s="19"/>
      <c r="FJ81" s="19"/>
      <c r="FK81" s="19"/>
      <c r="FL81" s="19"/>
      <c r="FN81" s="8"/>
      <c r="FO81" s="7"/>
      <c r="FP81" s="19"/>
      <c r="FQ81" s="19"/>
      <c r="FR81" s="19"/>
      <c r="FS81" s="19"/>
      <c r="FU81" s="8"/>
      <c r="FV81" s="7"/>
      <c r="FW81" s="19"/>
      <c r="FX81" s="19"/>
      <c r="FY81" s="19"/>
      <c r="FZ81" s="19"/>
      <c r="GB81" s="8"/>
      <c r="GC81" s="7"/>
      <c r="GD81" s="19"/>
      <c r="GE81" s="19"/>
      <c r="GF81" s="19"/>
      <c r="GG81" s="19"/>
      <c r="GI81" s="8"/>
      <c r="GJ81" s="7"/>
      <c r="GK81" s="19"/>
      <c r="GL81" s="19"/>
      <c r="GM81" s="19"/>
      <c r="GN81" s="19"/>
      <c r="GP81" s="8"/>
      <c r="GQ81" s="7"/>
      <c r="GR81" s="19"/>
      <c r="GS81" s="19"/>
      <c r="GT81" s="19"/>
      <c r="GU81" s="19"/>
      <c r="GW81" s="8"/>
      <c r="GX81" s="7"/>
      <c r="GY81" s="19"/>
      <c r="GZ81" s="19"/>
      <c r="HA81" s="19"/>
      <c r="HB81" s="19"/>
      <c r="HD81" s="8"/>
      <c r="HE81" s="7"/>
      <c r="HF81" s="19"/>
      <c r="HG81" s="19"/>
      <c r="HH81" s="19"/>
      <c r="HI81" s="19"/>
      <c r="HK81" s="8"/>
      <c r="HL81" s="7"/>
      <c r="HM81" s="19"/>
      <c r="HN81" s="19"/>
      <c r="HO81" s="19"/>
      <c r="HP81" s="19"/>
      <c r="HR81" s="8"/>
      <c r="HS81" s="7"/>
      <c r="HT81" s="19"/>
      <c r="HU81" s="19"/>
      <c r="HV81" s="19"/>
      <c r="HW81" s="19"/>
      <c r="HY81" s="8"/>
      <c r="HZ81" s="7"/>
      <c r="IA81" s="19"/>
      <c r="IB81" s="19"/>
      <c r="IC81" s="19"/>
      <c r="ID81" s="19"/>
      <c r="IF81" s="8"/>
      <c r="IG81" s="7"/>
      <c r="IH81" s="19"/>
      <c r="II81" s="19"/>
      <c r="IJ81" s="19"/>
      <c r="IK81" s="19"/>
      <c r="IM81" s="8"/>
      <c r="IN81" s="7"/>
      <c r="IO81" s="19"/>
      <c r="IP81" s="19"/>
      <c r="IQ81" s="19"/>
      <c r="IR81" s="19"/>
      <c r="IT81" s="8"/>
      <c r="IU81" s="7"/>
      <c r="IV81" s="19"/>
      <c r="IW81" s="19"/>
      <c r="IX81" s="19"/>
      <c r="IY81" s="19"/>
      <c r="JA81" s="8"/>
      <c r="JB81" s="7"/>
      <c r="JC81" s="19"/>
      <c r="JD81" s="19"/>
      <c r="JE81" s="19"/>
      <c r="JF81" s="19"/>
      <c r="JH81" s="8"/>
      <c r="JI81" s="7"/>
      <c r="JJ81" s="19"/>
      <c r="JK81" s="19"/>
      <c r="JL81" s="19"/>
      <c r="JM81" s="19"/>
      <c r="JO81" s="8"/>
      <c r="JP81" s="7"/>
      <c r="JQ81" s="19"/>
      <c r="JR81" s="19"/>
      <c r="JS81" s="19"/>
      <c r="JT81" s="19"/>
      <c r="JV81" s="8"/>
      <c r="JW81" s="7"/>
      <c r="JX81" s="19"/>
      <c r="JY81" s="19"/>
      <c r="JZ81" s="19"/>
      <c r="KA81" s="19"/>
      <c r="KC81" s="8"/>
      <c r="KD81" s="7"/>
      <c r="KE81" s="19"/>
      <c r="KF81" s="19"/>
      <c r="KG81" s="19"/>
      <c r="KH81" s="19"/>
      <c r="KJ81" s="8"/>
      <c r="KK81" s="7"/>
      <c r="KL81" s="19"/>
      <c r="KM81" s="19"/>
      <c r="KN81" s="19"/>
      <c r="KO81" s="19"/>
      <c r="KQ81" s="8"/>
      <c r="KR81" s="7"/>
      <c r="KS81" s="19"/>
      <c r="KT81" s="19"/>
      <c r="KU81" s="19"/>
      <c r="KV81" s="19"/>
      <c r="KX81" s="8"/>
      <c r="KY81" s="7"/>
      <c r="KZ81" s="19"/>
      <c r="LA81" s="19"/>
      <c r="LB81" s="19"/>
      <c r="LC81" s="19"/>
      <c r="LE81" s="8"/>
      <c r="LF81" s="7"/>
      <c r="LG81" s="19"/>
      <c r="LH81" s="19"/>
      <c r="LI81" s="19"/>
      <c r="LJ81" s="19"/>
      <c r="LL81" s="8"/>
      <c r="LM81" s="7"/>
      <c r="LN81" s="19"/>
      <c r="LO81" s="19"/>
      <c r="LP81" s="19"/>
      <c r="LQ81" s="19"/>
      <c r="LS81" s="8"/>
      <c r="LT81" s="7"/>
      <c r="LU81" s="19"/>
      <c r="LV81" s="19"/>
      <c r="LW81" s="19"/>
      <c r="LX81" s="19"/>
      <c r="LZ81" s="8"/>
      <c r="MA81" s="7"/>
      <c r="MB81" s="19"/>
      <c r="MC81" s="19"/>
      <c r="MD81" s="19"/>
      <c r="ME81" s="19"/>
      <c r="MG81" s="8"/>
      <c r="MH81" s="7"/>
      <c r="MI81" s="19"/>
      <c r="MJ81" s="19"/>
      <c r="MK81" s="19"/>
      <c r="ML81" s="19"/>
      <c r="MN81" s="8"/>
      <c r="MO81" s="7"/>
      <c r="MP81" s="19"/>
      <c r="MQ81" s="19"/>
      <c r="MR81" s="19"/>
      <c r="MS81" s="19"/>
      <c r="MU81" s="8"/>
      <c r="MV81" s="7"/>
      <c r="MW81" s="19"/>
      <c r="MX81" s="19"/>
      <c r="MY81" s="19"/>
      <c r="MZ81" s="19"/>
      <c r="NB81" s="8"/>
      <c r="NC81" s="7"/>
      <c r="ND81" s="19"/>
      <c r="NE81" s="19"/>
      <c r="NF81" s="19"/>
      <c r="NG81" s="19"/>
      <c r="NI81" s="8"/>
      <c r="NJ81" s="7"/>
      <c r="NK81" s="19"/>
      <c r="NL81" s="19"/>
      <c r="NM81" s="19"/>
      <c r="NN81" s="19"/>
      <c r="NP81" s="8"/>
      <c r="NQ81" s="7"/>
      <c r="NR81" s="19"/>
      <c r="NS81" s="19"/>
      <c r="NT81" s="19"/>
      <c r="NU81" s="19"/>
      <c r="NW81" s="8"/>
      <c r="NX81" s="7"/>
      <c r="NY81" s="19"/>
      <c r="NZ81" s="19"/>
      <c r="OA81" s="19"/>
      <c r="OB81" s="19"/>
      <c r="OD81" s="8"/>
      <c r="OE81" s="7"/>
      <c r="OF81" s="19"/>
      <c r="OG81" s="19"/>
      <c r="OH81" s="19"/>
      <c r="OI81" s="19"/>
      <c r="OK81" s="8"/>
      <c r="OL81" s="7"/>
      <c r="OM81" s="19"/>
      <c r="ON81" s="19"/>
      <c r="OO81" s="19"/>
      <c r="OP81" s="19"/>
      <c r="OR81" s="8"/>
      <c r="OS81" s="7"/>
      <c r="OT81" s="19"/>
      <c r="OU81" s="19"/>
      <c r="OV81" s="19"/>
      <c r="OW81" s="19"/>
      <c r="OY81" s="8"/>
      <c r="OZ81" s="7"/>
      <c r="PA81" s="19"/>
      <c r="PB81" s="19"/>
      <c r="PC81" s="19"/>
      <c r="PD81" s="19"/>
      <c r="PF81" s="8"/>
      <c r="PG81" s="7"/>
      <c r="PH81" s="19"/>
      <c r="PI81" s="19"/>
      <c r="PJ81" s="19"/>
      <c r="PK81" s="19"/>
      <c r="PM81" s="8"/>
    </row>
    <row r="82" spans="1:429" s="1" customFormat="1" ht="26" customHeight="1" outlineLevel="1">
      <c r="B82" s="471"/>
      <c r="C82" s="7"/>
      <c r="D82" s="19"/>
      <c r="E82" s="19"/>
      <c r="F82" s="19"/>
      <c r="G82" s="19"/>
      <c r="I82" s="8"/>
      <c r="J82" s="7"/>
      <c r="K82" s="19"/>
      <c r="L82" s="19"/>
      <c r="M82" s="19"/>
      <c r="N82" s="19"/>
      <c r="P82" s="8"/>
      <c r="Q82" s="7"/>
      <c r="R82" s="19"/>
      <c r="S82" s="19"/>
      <c r="T82" s="19"/>
      <c r="U82" s="19"/>
      <c r="W82" s="8"/>
      <c r="X82" s="7"/>
      <c r="Y82" s="19"/>
      <c r="Z82" s="19"/>
      <c r="AA82" s="19"/>
      <c r="AB82" s="19"/>
      <c r="AD82" s="8"/>
      <c r="AE82" s="7"/>
      <c r="AF82" s="19"/>
      <c r="AG82" s="19"/>
      <c r="AH82" s="19"/>
      <c r="AI82" s="19"/>
      <c r="AK82" s="8"/>
      <c r="AL82" s="7"/>
      <c r="AM82" s="19"/>
      <c r="AN82" s="19"/>
      <c r="AO82" s="19"/>
      <c r="AP82" s="19"/>
      <c r="AR82" s="8"/>
      <c r="AS82" s="7"/>
      <c r="AT82" s="19"/>
      <c r="AU82" s="19"/>
      <c r="AV82" s="19"/>
      <c r="AW82" s="19"/>
      <c r="AY82" s="8"/>
      <c r="AZ82" s="7"/>
      <c r="BA82" s="19"/>
      <c r="BB82" s="19"/>
      <c r="BC82" s="19"/>
      <c r="BD82" s="19"/>
      <c r="BF82" s="8"/>
      <c r="BG82" s="7"/>
      <c r="BH82" s="19"/>
      <c r="BI82" s="19"/>
      <c r="BJ82" s="19"/>
      <c r="BK82" s="19"/>
      <c r="BM82" s="8"/>
      <c r="BN82" s="7"/>
      <c r="BO82" s="19"/>
      <c r="BP82" s="19"/>
      <c r="BQ82" s="19"/>
      <c r="BR82" s="19"/>
      <c r="BT82" s="8"/>
      <c r="BU82" s="7"/>
      <c r="BV82" s="19"/>
      <c r="BW82" s="19"/>
      <c r="BX82" s="19"/>
      <c r="BY82" s="19"/>
      <c r="CA82" s="8"/>
      <c r="CB82" s="7"/>
      <c r="CC82" s="19"/>
      <c r="CD82" s="19"/>
      <c r="CE82" s="19"/>
      <c r="CF82" s="19"/>
      <c r="CH82" s="8"/>
      <c r="CI82" s="7"/>
      <c r="CJ82" s="19"/>
      <c r="CK82" s="19"/>
      <c r="CL82" s="19"/>
      <c r="CM82" s="19"/>
      <c r="CO82" s="8"/>
      <c r="CP82" s="7"/>
      <c r="CQ82" s="19"/>
      <c r="CR82" s="19"/>
      <c r="CS82" s="19"/>
      <c r="CT82" s="19"/>
      <c r="CV82" s="8"/>
      <c r="CW82" s="7"/>
      <c r="CX82" s="19"/>
      <c r="CY82" s="19"/>
      <c r="CZ82" s="19"/>
      <c r="DA82" s="19"/>
      <c r="DC82" s="8"/>
      <c r="DD82" s="7"/>
      <c r="DE82" s="19"/>
      <c r="DF82" s="19"/>
      <c r="DG82" s="19"/>
      <c r="DH82" s="19"/>
      <c r="DJ82" s="8"/>
      <c r="DK82" s="7" t="s">
        <v>114</v>
      </c>
      <c r="DL82" s="19" t="s">
        <v>192</v>
      </c>
      <c r="DM82" s="19"/>
      <c r="DN82" s="19"/>
      <c r="DO82" s="19"/>
      <c r="DQ82" s="8">
        <v>8</v>
      </c>
      <c r="DR82" s="7"/>
      <c r="DS82" s="19" t="s">
        <v>180</v>
      </c>
      <c r="DT82" s="19"/>
      <c r="DU82" s="19"/>
      <c r="DV82" s="19"/>
      <c r="DX82" s="8">
        <v>8</v>
      </c>
      <c r="DY82" s="7"/>
      <c r="DZ82" s="19" t="s">
        <v>180</v>
      </c>
      <c r="EA82" s="19"/>
      <c r="EB82" s="19"/>
      <c r="EC82" s="19"/>
      <c r="EE82" s="8">
        <v>8</v>
      </c>
      <c r="EF82" s="7" t="s">
        <v>114</v>
      </c>
      <c r="EG82" s="19" t="s">
        <v>471</v>
      </c>
      <c r="EH82" s="19"/>
      <c r="EI82" s="19"/>
      <c r="EJ82" s="19"/>
      <c r="EK82" s="1" t="s">
        <v>181</v>
      </c>
      <c r="EL82" s="8">
        <v>6</v>
      </c>
      <c r="EM82" s="7"/>
      <c r="EN82" s="19" t="s">
        <v>180</v>
      </c>
      <c r="EO82" s="19"/>
      <c r="EP82" s="19"/>
      <c r="EQ82" s="19"/>
      <c r="ES82" s="8">
        <v>7</v>
      </c>
      <c r="ET82" s="7"/>
      <c r="EU82" s="19" t="s">
        <v>180</v>
      </c>
      <c r="EV82" s="19"/>
      <c r="EW82" s="19"/>
      <c r="EX82" s="19"/>
      <c r="EZ82" s="8">
        <v>8</v>
      </c>
      <c r="FA82" s="7"/>
      <c r="FB82" s="19"/>
      <c r="FC82" s="19"/>
      <c r="FD82" s="19"/>
      <c r="FE82" s="19"/>
      <c r="FG82" s="8"/>
      <c r="FH82" s="7"/>
      <c r="FI82" s="19"/>
      <c r="FJ82" s="19"/>
      <c r="FK82" s="19"/>
      <c r="FL82" s="19"/>
      <c r="FN82" s="8"/>
      <c r="FO82" s="7"/>
      <c r="FP82" s="19"/>
      <c r="FQ82" s="19"/>
      <c r="FR82" s="19"/>
      <c r="FS82" s="19"/>
      <c r="FU82" s="8"/>
      <c r="FV82" s="7"/>
      <c r="FW82" s="19"/>
      <c r="FX82" s="19"/>
      <c r="FY82" s="19"/>
      <c r="FZ82" s="19"/>
      <c r="GB82" s="8"/>
      <c r="GC82" s="7"/>
      <c r="GD82" s="19"/>
      <c r="GE82" s="19"/>
      <c r="GF82" s="19"/>
      <c r="GG82" s="19"/>
      <c r="GI82" s="8"/>
      <c r="GJ82" s="7"/>
      <c r="GK82" s="19"/>
      <c r="GL82" s="19"/>
      <c r="GM82" s="19"/>
      <c r="GN82" s="19"/>
      <c r="GP82" s="8"/>
      <c r="GQ82" s="7"/>
      <c r="GR82" s="19"/>
      <c r="GS82" s="19"/>
      <c r="GT82" s="19"/>
      <c r="GU82" s="19"/>
      <c r="GW82" s="8"/>
      <c r="GX82" s="7"/>
      <c r="GY82" s="19"/>
      <c r="GZ82" s="19"/>
      <c r="HA82" s="19"/>
      <c r="HB82" s="19"/>
      <c r="HD82" s="8"/>
      <c r="HE82" s="7"/>
      <c r="HF82" s="19"/>
      <c r="HG82" s="19"/>
      <c r="HH82" s="19"/>
      <c r="HI82" s="19"/>
      <c r="HK82" s="8"/>
      <c r="HL82" s="7"/>
      <c r="HM82" s="19"/>
      <c r="HN82" s="19"/>
      <c r="HO82" s="19"/>
      <c r="HP82" s="19"/>
      <c r="HR82" s="8"/>
      <c r="HS82" s="7"/>
      <c r="HT82" s="19"/>
      <c r="HU82" s="19"/>
      <c r="HV82" s="19"/>
      <c r="HW82" s="19"/>
      <c r="HY82" s="8"/>
      <c r="HZ82" s="7"/>
      <c r="IA82" s="19"/>
      <c r="IB82" s="19"/>
      <c r="IC82" s="19"/>
      <c r="ID82" s="19"/>
      <c r="IF82" s="8"/>
      <c r="IG82" s="7"/>
      <c r="IH82" s="19"/>
      <c r="II82" s="19"/>
      <c r="IJ82" s="19"/>
      <c r="IK82" s="19"/>
      <c r="IM82" s="8"/>
      <c r="IN82" s="7"/>
      <c r="IO82" s="19"/>
      <c r="IP82" s="19"/>
      <c r="IQ82" s="19"/>
      <c r="IR82" s="19"/>
      <c r="IT82" s="8"/>
      <c r="IU82" s="7"/>
      <c r="IV82" s="19"/>
      <c r="IW82" s="19"/>
      <c r="IX82" s="19"/>
      <c r="IY82" s="19"/>
      <c r="JA82" s="8"/>
      <c r="JB82" s="7"/>
      <c r="JC82" s="19"/>
      <c r="JD82" s="19"/>
      <c r="JE82" s="19"/>
      <c r="JF82" s="19"/>
      <c r="JH82" s="8"/>
      <c r="JI82" s="7"/>
      <c r="JJ82" s="19"/>
      <c r="JK82" s="19"/>
      <c r="JL82" s="19"/>
      <c r="JM82" s="19"/>
      <c r="JO82" s="8"/>
      <c r="JP82" s="7"/>
      <c r="JQ82" s="19"/>
      <c r="JR82" s="19"/>
      <c r="JS82" s="19"/>
      <c r="JT82" s="19"/>
      <c r="JV82" s="8"/>
      <c r="JW82" s="7"/>
      <c r="JX82" s="19"/>
      <c r="JY82" s="19"/>
      <c r="JZ82" s="19"/>
      <c r="KA82" s="19"/>
      <c r="KC82" s="8"/>
      <c r="KD82" s="7"/>
      <c r="KE82" s="19"/>
      <c r="KF82" s="19"/>
      <c r="KG82" s="19"/>
      <c r="KH82" s="19"/>
      <c r="KJ82" s="8"/>
      <c r="KK82" s="7"/>
      <c r="KL82" s="19"/>
      <c r="KM82" s="19"/>
      <c r="KN82" s="19"/>
      <c r="KO82" s="19"/>
      <c r="KQ82" s="8"/>
      <c r="KR82" s="7"/>
      <c r="KS82" s="19"/>
      <c r="KT82" s="19"/>
      <c r="KU82" s="19"/>
      <c r="KV82" s="19"/>
      <c r="KX82" s="8"/>
      <c r="KY82" s="7"/>
      <c r="KZ82" s="19"/>
      <c r="LA82" s="19"/>
      <c r="LB82" s="19"/>
      <c r="LC82" s="19"/>
      <c r="LE82" s="8"/>
      <c r="LF82" s="7"/>
      <c r="LG82" s="19"/>
      <c r="LH82" s="19"/>
      <c r="LI82" s="19"/>
      <c r="LJ82" s="19"/>
      <c r="LL82" s="8"/>
      <c r="LM82" s="7"/>
      <c r="LN82" s="19"/>
      <c r="LO82" s="19"/>
      <c r="LP82" s="19"/>
      <c r="LQ82" s="19"/>
      <c r="LS82" s="8"/>
      <c r="LT82" s="7"/>
      <c r="LU82" s="19"/>
      <c r="LV82" s="19"/>
      <c r="LW82" s="19"/>
      <c r="LX82" s="19"/>
      <c r="LZ82" s="8"/>
      <c r="MA82" s="7"/>
      <c r="MB82" s="19"/>
      <c r="MC82" s="19"/>
      <c r="MD82" s="19"/>
      <c r="ME82" s="19"/>
      <c r="MG82" s="8"/>
      <c r="MH82" s="7"/>
      <c r="MI82" s="19"/>
      <c r="MJ82" s="19"/>
      <c r="MK82" s="19"/>
      <c r="ML82" s="19"/>
      <c r="MN82" s="8"/>
      <c r="MO82" s="7"/>
      <c r="MP82" s="19"/>
      <c r="MQ82" s="19"/>
      <c r="MR82" s="19"/>
      <c r="MS82" s="19"/>
      <c r="MU82" s="8"/>
      <c r="MV82" s="7"/>
      <c r="MW82" s="19"/>
      <c r="MX82" s="19"/>
      <c r="MY82" s="19"/>
      <c r="MZ82" s="19"/>
      <c r="NB82" s="8"/>
      <c r="NC82" s="7"/>
      <c r="ND82" s="19"/>
      <c r="NE82" s="19"/>
      <c r="NF82" s="19"/>
      <c r="NG82" s="19"/>
      <c r="NI82" s="8"/>
      <c r="NJ82" s="7"/>
      <c r="NK82" s="19"/>
      <c r="NL82" s="19"/>
      <c r="NM82" s="19"/>
      <c r="NN82" s="19"/>
      <c r="NP82" s="8"/>
      <c r="NQ82" s="7"/>
      <c r="NR82" s="19"/>
      <c r="NS82" s="19"/>
      <c r="NT82" s="19"/>
      <c r="NU82" s="19"/>
      <c r="NW82" s="8"/>
      <c r="NX82" s="7"/>
      <c r="NY82" s="19"/>
      <c r="NZ82" s="19"/>
      <c r="OA82" s="19"/>
      <c r="OB82" s="19"/>
      <c r="OD82" s="8"/>
      <c r="OE82" s="7"/>
      <c r="OF82" s="19"/>
      <c r="OG82" s="19"/>
      <c r="OH82" s="19"/>
      <c r="OI82" s="19"/>
      <c r="OK82" s="8"/>
      <c r="OL82" s="7"/>
      <c r="OM82" s="19"/>
      <c r="ON82" s="19"/>
      <c r="OO82" s="19"/>
      <c r="OP82" s="19"/>
      <c r="OR82" s="8"/>
      <c r="OS82" s="7"/>
      <c r="OT82" s="19"/>
      <c r="OU82" s="19"/>
      <c r="OV82" s="19"/>
      <c r="OW82" s="19"/>
      <c r="OY82" s="8"/>
      <c r="OZ82" s="7"/>
      <c r="PA82" s="19"/>
      <c r="PB82" s="19"/>
      <c r="PC82" s="19"/>
      <c r="PD82" s="19"/>
      <c r="PF82" s="8"/>
      <c r="PG82" s="7"/>
      <c r="PH82" s="19"/>
      <c r="PI82" s="19"/>
      <c r="PJ82" s="19"/>
      <c r="PK82" s="19"/>
      <c r="PM82" s="8"/>
    </row>
    <row r="83" spans="1:429" s="1" customFormat="1" ht="26" customHeight="1" outlineLevel="1">
      <c r="B83" s="471"/>
      <c r="C83" s="7"/>
      <c r="D83" s="19"/>
      <c r="E83" s="19"/>
      <c r="F83" s="19"/>
      <c r="G83" s="19"/>
      <c r="I83" s="8"/>
      <c r="J83" s="7"/>
      <c r="K83" s="19"/>
      <c r="L83" s="19"/>
      <c r="M83" s="19"/>
      <c r="N83" s="19"/>
      <c r="P83" s="8"/>
      <c r="Q83" s="7"/>
      <c r="R83" s="19"/>
      <c r="S83" s="19"/>
      <c r="T83" s="19"/>
      <c r="U83" s="19"/>
      <c r="W83" s="8"/>
      <c r="X83" s="7"/>
      <c r="Y83" s="19"/>
      <c r="Z83" s="19"/>
      <c r="AA83" s="19"/>
      <c r="AB83" s="19"/>
      <c r="AD83" s="8"/>
      <c r="AE83" s="7"/>
      <c r="AF83" s="19"/>
      <c r="AG83" s="19"/>
      <c r="AH83" s="19"/>
      <c r="AI83" s="19"/>
      <c r="AK83" s="8"/>
      <c r="AL83" s="7"/>
      <c r="AM83" s="19"/>
      <c r="AN83" s="19"/>
      <c r="AO83" s="19"/>
      <c r="AP83" s="19"/>
      <c r="AR83" s="8"/>
      <c r="AS83" s="7"/>
      <c r="AT83" s="19"/>
      <c r="AU83" s="19"/>
      <c r="AV83" s="19"/>
      <c r="AW83" s="19"/>
      <c r="AY83" s="8"/>
      <c r="AZ83" s="7"/>
      <c r="BA83" s="19"/>
      <c r="BB83" s="19"/>
      <c r="BC83" s="19"/>
      <c r="BD83" s="19"/>
      <c r="BF83" s="8"/>
      <c r="BG83" s="7"/>
      <c r="BH83" s="19"/>
      <c r="BI83" s="19"/>
      <c r="BJ83" s="19"/>
      <c r="BK83" s="19"/>
      <c r="BM83" s="8"/>
      <c r="BN83" s="7"/>
      <c r="BO83" s="19"/>
      <c r="BP83" s="19"/>
      <c r="BQ83" s="19"/>
      <c r="BR83" s="19"/>
      <c r="BT83" s="8"/>
      <c r="BU83" s="7"/>
      <c r="BV83" s="19"/>
      <c r="BW83" s="19"/>
      <c r="BX83" s="19"/>
      <c r="BY83" s="19"/>
      <c r="CA83" s="8"/>
      <c r="CB83" s="7"/>
      <c r="CC83" s="19"/>
      <c r="CD83" s="19"/>
      <c r="CE83" s="19"/>
      <c r="CF83" s="19"/>
      <c r="CH83" s="8"/>
      <c r="CI83" s="7"/>
      <c r="CJ83" s="19"/>
      <c r="CK83" s="19"/>
      <c r="CL83" s="19"/>
      <c r="CM83" s="19"/>
      <c r="CO83" s="8"/>
      <c r="CP83" s="7"/>
      <c r="CQ83" s="19"/>
      <c r="CR83" s="19"/>
      <c r="CS83" s="19"/>
      <c r="CT83" s="19"/>
      <c r="CV83" s="8"/>
      <c r="CW83" s="7"/>
      <c r="CX83" s="19"/>
      <c r="CY83" s="19"/>
      <c r="CZ83" s="19"/>
      <c r="DA83" s="19"/>
      <c r="DC83" s="8"/>
      <c r="DD83" s="7"/>
      <c r="DE83" s="19"/>
      <c r="DF83" s="19"/>
      <c r="DG83" s="19"/>
      <c r="DH83" s="19"/>
      <c r="DJ83" s="8"/>
      <c r="DK83" s="7"/>
      <c r="DL83" s="19"/>
      <c r="DM83" s="19"/>
      <c r="DN83" s="19"/>
      <c r="DO83" s="19"/>
      <c r="DQ83" s="8"/>
      <c r="DR83" s="7"/>
      <c r="DS83" s="19"/>
      <c r="DT83" s="19"/>
      <c r="DU83" s="19"/>
      <c r="DV83" s="19"/>
      <c r="DX83" s="8"/>
      <c r="DY83" s="7"/>
      <c r="DZ83" s="19"/>
      <c r="EA83" s="19"/>
      <c r="EB83" s="19"/>
      <c r="EC83" s="19"/>
      <c r="EE83" s="8"/>
      <c r="EF83" s="7" t="s">
        <v>115</v>
      </c>
      <c r="EG83" s="19" t="s">
        <v>472</v>
      </c>
      <c r="EH83" s="19"/>
      <c r="EI83" s="19"/>
      <c r="EJ83" s="19"/>
      <c r="EK83" s="476" t="s">
        <v>473</v>
      </c>
      <c r="EL83" s="8">
        <v>8</v>
      </c>
      <c r="EM83" s="7"/>
      <c r="EN83" s="19" t="s">
        <v>180</v>
      </c>
      <c r="EO83" s="19"/>
      <c r="EP83" s="19"/>
      <c r="EQ83" s="19"/>
      <c r="ES83" s="8">
        <v>9</v>
      </c>
      <c r="ET83" s="7"/>
      <c r="EU83" s="19" t="s">
        <v>180</v>
      </c>
      <c r="EV83" s="19"/>
      <c r="EW83" s="19"/>
      <c r="EX83" s="19"/>
      <c r="EZ83" s="8">
        <v>10</v>
      </c>
      <c r="FA83" s="7"/>
      <c r="FB83" s="19"/>
      <c r="FC83" s="19"/>
      <c r="FD83" s="19"/>
      <c r="FE83" s="19"/>
      <c r="FG83" s="8"/>
      <c r="FH83" s="7"/>
      <c r="FI83" s="19"/>
      <c r="FJ83" s="19"/>
      <c r="FK83" s="19"/>
      <c r="FL83" s="19"/>
      <c r="FN83" s="8"/>
      <c r="FO83" s="7"/>
      <c r="FP83" s="19"/>
      <c r="FQ83" s="19"/>
      <c r="FR83" s="19"/>
      <c r="FS83" s="19"/>
      <c r="FU83" s="8"/>
      <c r="FV83" s="7"/>
      <c r="FW83" s="19"/>
      <c r="FX83" s="19"/>
      <c r="FY83" s="19"/>
      <c r="FZ83" s="19"/>
      <c r="GB83" s="8"/>
      <c r="GC83" s="7"/>
      <c r="GD83" s="19"/>
      <c r="GE83" s="19"/>
      <c r="GF83" s="19"/>
      <c r="GG83" s="19"/>
      <c r="GI83" s="8"/>
      <c r="GJ83" s="7"/>
      <c r="GK83" s="19"/>
      <c r="GL83" s="19"/>
      <c r="GM83" s="19"/>
      <c r="GN83" s="19"/>
      <c r="GP83" s="8"/>
      <c r="GQ83" s="7"/>
      <c r="GR83" s="19"/>
      <c r="GS83" s="19"/>
      <c r="GT83" s="19"/>
      <c r="GU83" s="19"/>
      <c r="GW83" s="8"/>
      <c r="GX83" s="7"/>
      <c r="GY83" s="19"/>
      <c r="GZ83" s="19"/>
      <c r="HA83" s="19"/>
      <c r="HB83" s="19"/>
      <c r="HD83" s="8"/>
      <c r="HE83" s="7"/>
      <c r="HF83" s="19"/>
      <c r="HG83" s="19"/>
      <c r="HH83" s="19"/>
      <c r="HI83" s="19"/>
      <c r="HK83" s="8"/>
      <c r="HL83" s="7"/>
      <c r="HM83" s="19"/>
      <c r="HN83" s="19"/>
      <c r="HO83" s="19"/>
      <c r="HP83" s="19"/>
      <c r="HR83" s="8"/>
      <c r="HS83" s="7"/>
      <c r="HT83" s="19"/>
      <c r="HU83" s="19"/>
      <c r="HV83" s="19"/>
      <c r="HW83" s="19"/>
      <c r="HY83" s="8"/>
      <c r="HZ83" s="7"/>
      <c r="IA83" s="19"/>
      <c r="IB83" s="19"/>
      <c r="IC83" s="19"/>
      <c r="ID83" s="19"/>
      <c r="IF83" s="8"/>
      <c r="IG83" s="7"/>
      <c r="IH83" s="19"/>
      <c r="II83" s="19"/>
      <c r="IJ83" s="19"/>
      <c r="IK83" s="19"/>
      <c r="IM83" s="8"/>
      <c r="IN83" s="7"/>
      <c r="IO83" s="19"/>
      <c r="IP83" s="19"/>
      <c r="IQ83" s="19"/>
      <c r="IR83" s="19"/>
      <c r="IT83" s="8"/>
      <c r="IU83" s="7"/>
      <c r="IV83" s="19"/>
      <c r="IW83" s="19"/>
      <c r="IX83" s="19"/>
      <c r="IY83" s="19"/>
      <c r="JA83" s="8"/>
      <c r="JB83" s="7"/>
      <c r="JC83" s="19"/>
      <c r="JD83" s="19"/>
      <c r="JE83" s="19"/>
      <c r="JF83" s="19"/>
      <c r="JH83" s="8"/>
      <c r="JI83" s="7"/>
      <c r="JJ83" s="19"/>
      <c r="JK83" s="19"/>
      <c r="JL83" s="19"/>
      <c r="JM83" s="19"/>
      <c r="JO83" s="8"/>
      <c r="JP83" s="7"/>
      <c r="JQ83" s="19"/>
      <c r="JR83" s="19"/>
      <c r="JS83" s="19"/>
      <c r="JT83" s="19"/>
      <c r="JV83" s="8"/>
      <c r="JW83" s="7"/>
      <c r="JX83" s="19"/>
      <c r="JY83" s="19"/>
      <c r="JZ83" s="19"/>
      <c r="KA83" s="19"/>
      <c r="KC83" s="8"/>
      <c r="KD83" s="7"/>
      <c r="KE83" s="19"/>
      <c r="KF83" s="19"/>
      <c r="KG83" s="19"/>
      <c r="KH83" s="19"/>
      <c r="KJ83" s="8"/>
      <c r="KK83" s="7"/>
      <c r="KL83" s="19"/>
      <c r="KM83" s="19"/>
      <c r="KN83" s="19"/>
      <c r="KO83" s="19"/>
      <c r="KQ83" s="8"/>
      <c r="KR83" s="7"/>
      <c r="KS83" s="19"/>
      <c r="KT83" s="19"/>
      <c r="KU83" s="19"/>
      <c r="KV83" s="19"/>
      <c r="KX83" s="8"/>
      <c r="KY83" s="7"/>
      <c r="KZ83" s="19"/>
      <c r="LA83" s="19"/>
      <c r="LB83" s="19"/>
      <c r="LC83" s="19"/>
      <c r="LE83" s="8"/>
      <c r="LF83" s="7"/>
      <c r="LG83" s="19"/>
      <c r="LH83" s="19"/>
      <c r="LI83" s="19"/>
      <c r="LJ83" s="19"/>
      <c r="LL83" s="8"/>
      <c r="LM83" s="7"/>
      <c r="LN83" s="19"/>
      <c r="LO83" s="19"/>
      <c r="LP83" s="19"/>
      <c r="LQ83" s="19"/>
      <c r="LS83" s="8"/>
      <c r="LT83" s="7"/>
      <c r="LU83" s="19"/>
      <c r="LV83" s="19"/>
      <c r="LW83" s="19"/>
      <c r="LX83" s="19"/>
      <c r="LZ83" s="8"/>
      <c r="MA83" s="7"/>
      <c r="MB83" s="19"/>
      <c r="MC83" s="19"/>
      <c r="MD83" s="19"/>
      <c r="ME83" s="19"/>
      <c r="MG83" s="8"/>
      <c r="MH83" s="7"/>
      <c r="MI83" s="19"/>
      <c r="MJ83" s="19"/>
      <c r="MK83" s="19"/>
      <c r="ML83" s="19"/>
      <c r="MN83" s="8"/>
      <c r="MO83" s="7"/>
      <c r="MP83" s="19"/>
      <c r="MQ83" s="19"/>
      <c r="MR83" s="19"/>
      <c r="MS83" s="19"/>
      <c r="MU83" s="8"/>
      <c r="MV83" s="7"/>
      <c r="MW83" s="19"/>
      <c r="MX83" s="19"/>
      <c r="MY83" s="19"/>
      <c r="MZ83" s="19"/>
      <c r="NB83" s="8"/>
      <c r="NC83" s="7"/>
      <c r="ND83" s="19"/>
      <c r="NE83" s="19"/>
      <c r="NF83" s="19"/>
      <c r="NG83" s="19"/>
      <c r="NI83" s="8"/>
      <c r="NJ83" s="7"/>
      <c r="NK83" s="19"/>
      <c r="NL83" s="19"/>
      <c r="NM83" s="19"/>
      <c r="NN83" s="19"/>
      <c r="NP83" s="8"/>
      <c r="NQ83" s="7"/>
      <c r="NR83" s="19"/>
      <c r="NS83" s="19"/>
      <c r="NT83" s="19"/>
      <c r="NU83" s="19"/>
      <c r="NW83" s="8"/>
      <c r="NX83" s="7"/>
      <c r="NY83" s="19"/>
      <c r="NZ83" s="19"/>
      <c r="OA83" s="19"/>
      <c r="OB83" s="19"/>
      <c r="OD83" s="8"/>
      <c r="OE83" s="7"/>
      <c r="OF83" s="19"/>
      <c r="OG83" s="19"/>
      <c r="OH83" s="19"/>
      <c r="OI83" s="19"/>
      <c r="OK83" s="8"/>
      <c r="OL83" s="7"/>
      <c r="OM83" s="19"/>
      <c r="ON83" s="19"/>
      <c r="OO83" s="19"/>
      <c r="OP83" s="19"/>
      <c r="OR83" s="8"/>
      <c r="OS83" s="7"/>
      <c r="OT83" s="19"/>
      <c r="OU83" s="19"/>
      <c r="OV83" s="19"/>
      <c r="OW83" s="19"/>
      <c r="OY83" s="8"/>
      <c r="OZ83" s="7"/>
      <c r="PA83" s="19"/>
      <c r="PB83" s="19"/>
      <c r="PC83" s="19"/>
      <c r="PD83" s="19"/>
      <c r="PF83" s="8"/>
      <c r="PG83" s="7"/>
      <c r="PH83" s="19"/>
      <c r="PI83" s="19"/>
      <c r="PJ83" s="19"/>
      <c r="PK83" s="19"/>
      <c r="PM83" s="8"/>
    </row>
    <row r="84" spans="1:429" s="1" customFormat="1" ht="26" customHeight="1" outlineLevel="1">
      <c r="B84" s="471"/>
      <c r="C84" s="7"/>
      <c r="D84" s="19"/>
      <c r="E84" s="19"/>
      <c r="F84" s="19"/>
      <c r="G84" s="19"/>
      <c r="I84" s="8"/>
      <c r="J84" s="7"/>
      <c r="K84" s="19"/>
      <c r="L84" s="19"/>
      <c r="M84" s="19"/>
      <c r="N84" s="19"/>
      <c r="P84" s="8"/>
      <c r="Q84" s="7"/>
      <c r="R84" s="19"/>
      <c r="S84" s="19"/>
      <c r="T84" s="19"/>
      <c r="U84" s="19"/>
      <c r="W84" s="8"/>
      <c r="X84" s="7"/>
      <c r="Y84" s="19"/>
      <c r="Z84" s="19"/>
      <c r="AA84" s="19"/>
      <c r="AB84" s="19"/>
      <c r="AD84" s="8"/>
      <c r="AE84" s="7"/>
      <c r="AF84" s="19"/>
      <c r="AG84" s="19"/>
      <c r="AH84" s="19"/>
      <c r="AI84" s="19"/>
      <c r="AK84" s="8"/>
      <c r="AL84" s="7"/>
      <c r="AM84" s="19"/>
      <c r="AN84" s="19"/>
      <c r="AO84" s="19"/>
      <c r="AP84" s="19"/>
      <c r="AR84" s="8"/>
      <c r="AS84" s="7"/>
      <c r="AT84" s="19"/>
      <c r="AU84" s="19"/>
      <c r="AV84" s="19"/>
      <c r="AW84" s="19"/>
      <c r="AY84" s="8"/>
      <c r="AZ84" s="7"/>
      <c r="BA84" s="19"/>
      <c r="BB84" s="19"/>
      <c r="BC84" s="19"/>
      <c r="BD84" s="19"/>
      <c r="BF84" s="8"/>
      <c r="BG84" s="7"/>
      <c r="BH84" s="19"/>
      <c r="BI84" s="19"/>
      <c r="BJ84" s="19"/>
      <c r="BK84" s="19"/>
      <c r="BM84" s="8"/>
      <c r="BN84" s="7"/>
      <c r="BO84" s="19"/>
      <c r="BP84" s="19"/>
      <c r="BQ84" s="19"/>
      <c r="BR84" s="19"/>
      <c r="BT84" s="8"/>
      <c r="BU84" s="7"/>
      <c r="BV84" s="19"/>
      <c r="BW84" s="19"/>
      <c r="BX84" s="19"/>
      <c r="BY84" s="19"/>
      <c r="CA84" s="8"/>
      <c r="CB84" s="7"/>
      <c r="CC84" s="19"/>
      <c r="CD84" s="19"/>
      <c r="CE84" s="19"/>
      <c r="CF84" s="19"/>
      <c r="CH84" s="8"/>
      <c r="CI84" s="7"/>
      <c r="CJ84" s="19"/>
      <c r="CK84" s="19"/>
      <c r="CL84" s="19"/>
      <c r="CM84" s="19"/>
      <c r="CO84" s="8"/>
      <c r="CP84" s="7"/>
      <c r="CQ84" s="19"/>
      <c r="CR84" s="19"/>
      <c r="CS84" s="19"/>
      <c r="CT84" s="19"/>
      <c r="CV84" s="8"/>
      <c r="CW84" s="7"/>
      <c r="CX84" s="19"/>
      <c r="CY84" s="19"/>
      <c r="CZ84" s="19"/>
      <c r="DA84" s="19"/>
      <c r="DC84" s="8"/>
      <c r="DD84" s="7"/>
      <c r="DE84" s="19"/>
      <c r="DF84" s="19"/>
      <c r="DG84" s="19"/>
      <c r="DH84" s="19"/>
      <c r="DJ84" s="8"/>
      <c r="DK84" s="7"/>
      <c r="DL84" s="19"/>
      <c r="DM84" s="19"/>
      <c r="DN84" s="19"/>
      <c r="DO84" s="19"/>
      <c r="DQ84" s="8"/>
      <c r="DR84" s="7"/>
      <c r="DS84" s="19"/>
      <c r="DT84" s="19"/>
      <c r="DU84" s="19"/>
      <c r="DV84" s="19"/>
      <c r="DX84" s="8"/>
      <c r="DY84" s="7"/>
      <c r="DZ84" s="19"/>
      <c r="EA84" s="19"/>
      <c r="EB84" s="19"/>
      <c r="EC84" s="19"/>
      <c r="EE84" s="8"/>
      <c r="EF84" s="7"/>
      <c r="EG84" s="19"/>
      <c r="EH84" s="19"/>
      <c r="EI84" s="19"/>
      <c r="EJ84" s="19"/>
      <c r="EL84" s="8"/>
      <c r="EM84" s="7"/>
      <c r="EN84" s="19"/>
      <c r="EO84" s="19"/>
      <c r="EP84" s="19"/>
      <c r="EQ84" s="19"/>
      <c r="ES84" s="8"/>
      <c r="ET84" s="7"/>
      <c r="EU84" s="19"/>
      <c r="EV84" s="19"/>
      <c r="EW84" s="19"/>
      <c r="EX84" s="19"/>
      <c r="EZ84" s="8"/>
      <c r="FA84" s="7"/>
      <c r="FB84" s="19"/>
      <c r="FC84" s="19"/>
      <c r="FD84" s="19"/>
      <c r="FE84" s="19"/>
      <c r="FG84" s="8"/>
      <c r="FH84" s="7"/>
      <c r="FI84" s="19"/>
      <c r="FJ84" s="19"/>
      <c r="FK84" s="19"/>
      <c r="FL84" s="19"/>
      <c r="FN84" s="8"/>
      <c r="FO84" s="7"/>
      <c r="FP84" s="19"/>
      <c r="FQ84" s="19"/>
      <c r="FR84" s="19"/>
      <c r="FS84" s="19"/>
      <c r="FU84" s="8"/>
      <c r="FV84" s="7"/>
      <c r="FW84" s="19"/>
      <c r="FX84" s="19"/>
      <c r="FY84" s="19"/>
      <c r="FZ84" s="19"/>
      <c r="GB84" s="8"/>
      <c r="GC84" s="7"/>
      <c r="GD84" s="19"/>
      <c r="GE84" s="19"/>
      <c r="GF84" s="19"/>
      <c r="GG84" s="19"/>
      <c r="GI84" s="8"/>
      <c r="GJ84" s="7"/>
      <c r="GK84" s="19"/>
      <c r="GL84" s="19"/>
      <c r="GM84" s="19"/>
      <c r="GN84" s="19"/>
      <c r="GP84" s="8"/>
      <c r="GQ84" s="7"/>
      <c r="GR84" s="19"/>
      <c r="GS84" s="19"/>
      <c r="GT84" s="19"/>
      <c r="GU84" s="19"/>
      <c r="GW84" s="8"/>
      <c r="GX84" s="7"/>
      <c r="GY84" s="19"/>
      <c r="GZ84" s="19"/>
      <c r="HA84" s="19"/>
      <c r="HB84" s="19"/>
      <c r="HD84" s="8"/>
      <c r="HE84" s="7"/>
      <c r="HF84" s="19"/>
      <c r="HG84" s="19"/>
      <c r="HH84" s="19"/>
      <c r="HI84" s="19"/>
      <c r="HK84" s="8"/>
      <c r="HL84" s="7"/>
      <c r="HM84" s="19"/>
      <c r="HN84" s="19"/>
      <c r="HO84" s="19"/>
      <c r="HP84" s="19"/>
      <c r="HR84" s="8"/>
      <c r="HS84" s="7"/>
      <c r="HT84" s="19"/>
      <c r="HU84" s="19"/>
      <c r="HV84" s="19"/>
      <c r="HW84" s="19"/>
      <c r="HY84" s="8"/>
      <c r="HZ84" s="7"/>
      <c r="IA84" s="19"/>
      <c r="IB84" s="19"/>
      <c r="IC84" s="19"/>
      <c r="ID84" s="19"/>
      <c r="IF84" s="8"/>
      <c r="IG84" s="7"/>
      <c r="IH84" s="19"/>
      <c r="II84" s="19"/>
      <c r="IJ84" s="19"/>
      <c r="IK84" s="19"/>
      <c r="IM84" s="8"/>
      <c r="IN84" s="7"/>
      <c r="IO84" s="19"/>
      <c r="IP84" s="19"/>
      <c r="IQ84" s="19"/>
      <c r="IR84" s="19"/>
      <c r="IT84" s="8"/>
      <c r="IU84" s="7"/>
      <c r="IV84" s="19"/>
      <c r="IW84" s="19"/>
      <c r="IX84" s="19"/>
      <c r="IY84" s="19"/>
      <c r="JA84" s="8"/>
      <c r="JB84" s="7"/>
      <c r="JC84" s="19"/>
      <c r="JD84" s="19"/>
      <c r="JE84" s="19"/>
      <c r="JF84" s="19"/>
      <c r="JH84" s="8"/>
      <c r="JI84" s="7"/>
      <c r="JJ84" s="19"/>
      <c r="JK84" s="19"/>
      <c r="JL84" s="19"/>
      <c r="JM84" s="19"/>
      <c r="JO84" s="8"/>
      <c r="JP84" s="7"/>
      <c r="JQ84" s="19"/>
      <c r="JR84" s="19"/>
      <c r="JS84" s="19"/>
      <c r="JT84" s="19"/>
      <c r="JV84" s="8"/>
      <c r="JW84" s="7"/>
      <c r="JX84" s="19"/>
      <c r="JY84" s="19"/>
      <c r="JZ84" s="19"/>
      <c r="KA84" s="19"/>
      <c r="KC84" s="8"/>
      <c r="KD84" s="7"/>
      <c r="KE84" s="19"/>
      <c r="KF84" s="19"/>
      <c r="KG84" s="19"/>
      <c r="KH84" s="19"/>
      <c r="KJ84" s="8"/>
      <c r="KK84" s="7"/>
      <c r="KL84" s="19"/>
      <c r="KM84" s="19"/>
      <c r="KN84" s="19"/>
      <c r="KO84" s="19"/>
      <c r="KQ84" s="8"/>
      <c r="KR84" s="7"/>
      <c r="KS84" s="19"/>
      <c r="KT84" s="19"/>
      <c r="KU84" s="19"/>
      <c r="KV84" s="19"/>
      <c r="KX84" s="8"/>
      <c r="KY84" s="7"/>
      <c r="KZ84" s="19"/>
      <c r="LA84" s="19"/>
      <c r="LB84" s="19"/>
      <c r="LC84" s="19"/>
      <c r="LE84" s="8"/>
      <c r="LF84" s="7"/>
      <c r="LG84" s="19"/>
      <c r="LH84" s="19"/>
      <c r="LI84" s="19"/>
      <c r="LJ84" s="19"/>
      <c r="LL84" s="8"/>
      <c r="LM84" s="7"/>
      <c r="LN84" s="19"/>
      <c r="LO84" s="19"/>
      <c r="LP84" s="19"/>
      <c r="LQ84" s="19"/>
      <c r="LS84" s="8"/>
      <c r="LT84" s="7"/>
      <c r="LU84" s="19"/>
      <c r="LV84" s="19"/>
      <c r="LW84" s="19"/>
      <c r="LX84" s="19"/>
      <c r="LZ84" s="8"/>
      <c r="MA84" s="7"/>
      <c r="MB84" s="19"/>
      <c r="MC84" s="19"/>
      <c r="MD84" s="19"/>
      <c r="ME84" s="19"/>
      <c r="MG84" s="8"/>
      <c r="MH84" s="7"/>
      <c r="MI84" s="19"/>
      <c r="MJ84" s="19"/>
      <c r="MK84" s="19"/>
      <c r="ML84" s="19"/>
      <c r="MN84" s="8"/>
      <c r="MO84" s="7"/>
      <c r="MP84" s="19"/>
      <c r="MQ84" s="19"/>
      <c r="MR84" s="19"/>
      <c r="MS84" s="19"/>
      <c r="MU84" s="8"/>
      <c r="MV84" s="7"/>
      <c r="MW84" s="19"/>
      <c r="MX84" s="19"/>
      <c r="MY84" s="19"/>
      <c r="MZ84" s="19"/>
      <c r="NB84" s="8"/>
      <c r="NC84" s="7"/>
      <c r="ND84" s="19"/>
      <c r="NE84" s="19"/>
      <c r="NF84" s="19"/>
      <c r="NG84" s="19"/>
      <c r="NI84" s="8"/>
      <c r="NJ84" s="7"/>
      <c r="NK84" s="19"/>
      <c r="NL84" s="19"/>
      <c r="NM84" s="19"/>
      <c r="NN84" s="19"/>
      <c r="NP84" s="8"/>
      <c r="NQ84" s="7"/>
      <c r="NR84" s="19"/>
      <c r="NS84" s="19"/>
      <c r="NT84" s="19"/>
      <c r="NU84" s="19"/>
      <c r="NW84" s="8"/>
      <c r="NX84" s="7"/>
      <c r="NY84" s="19"/>
      <c r="NZ84" s="19"/>
      <c r="OA84" s="19"/>
      <c r="OB84" s="19"/>
      <c r="OD84" s="8"/>
      <c r="OE84" s="7"/>
      <c r="OF84" s="19"/>
      <c r="OG84" s="19"/>
      <c r="OH84" s="19"/>
      <c r="OI84" s="19"/>
      <c r="OK84" s="8"/>
      <c r="OL84" s="7"/>
      <c r="OM84" s="19"/>
      <c r="ON84" s="19"/>
      <c r="OO84" s="19"/>
      <c r="OP84" s="19"/>
      <c r="OR84" s="8"/>
      <c r="OS84" s="7"/>
      <c r="OT84" s="19"/>
      <c r="OU84" s="19"/>
      <c r="OV84" s="19"/>
      <c r="OW84" s="19"/>
      <c r="OY84" s="8"/>
      <c r="OZ84" s="7"/>
      <c r="PA84" s="19"/>
      <c r="PB84" s="19"/>
      <c r="PC84" s="19"/>
      <c r="PD84" s="19"/>
      <c r="PF84" s="8"/>
      <c r="PG84" s="7"/>
      <c r="PH84" s="19"/>
      <c r="PI84" s="19"/>
      <c r="PJ84" s="19"/>
      <c r="PK84" s="19"/>
      <c r="PM84" s="8"/>
    </row>
    <row r="85" spans="1:429" s="1" customFormat="1" ht="26" customHeight="1" outlineLevel="1">
      <c r="B85" s="471"/>
      <c r="C85" s="7"/>
      <c r="D85" s="19"/>
      <c r="E85" s="19"/>
      <c r="F85" s="19"/>
      <c r="G85" s="19"/>
      <c r="I85" s="8"/>
      <c r="J85" s="7"/>
      <c r="K85" s="19"/>
      <c r="L85" s="19"/>
      <c r="M85" s="19"/>
      <c r="N85" s="19"/>
      <c r="P85" s="8"/>
      <c r="Q85" s="7"/>
      <c r="R85" s="19"/>
      <c r="S85" s="19"/>
      <c r="T85" s="19"/>
      <c r="U85" s="19"/>
      <c r="W85" s="8"/>
      <c r="X85" s="7"/>
      <c r="Y85" s="19"/>
      <c r="Z85" s="19"/>
      <c r="AA85" s="19"/>
      <c r="AB85" s="19"/>
      <c r="AD85" s="8"/>
      <c r="AE85" s="7"/>
      <c r="AF85" s="19"/>
      <c r="AG85" s="19"/>
      <c r="AH85" s="19"/>
      <c r="AI85" s="19"/>
      <c r="AK85" s="8"/>
      <c r="AL85" s="7"/>
      <c r="AM85" s="19"/>
      <c r="AN85" s="19"/>
      <c r="AO85" s="19"/>
      <c r="AP85" s="19"/>
      <c r="AR85" s="8"/>
      <c r="AS85" s="7"/>
      <c r="AT85" s="19"/>
      <c r="AU85" s="19"/>
      <c r="AV85" s="19"/>
      <c r="AW85" s="19"/>
      <c r="AY85" s="8"/>
      <c r="AZ85" s="7"/>
      <c r="BA85" s="19"/>
      <c r="BB85" s="19"/>
      <c r="BC85" s="19"/>
      <c r="BD85" s="19"/>
      <c r="BF85" s="8"/>
      <c r="BG85" s="7"/>
      <c r="BH85" s="19"/>
      <c r="BI85" s="19"/>
      <c r="BJ85" s="19"/>
      <c r="BK85" s="19"/>
      <c r="BM85" s="8"/>
      <c r="BN85" s="7"/>
      <c r="BO85" s="19"/>
      <c r="BP85" s="19"/>
      <c r="BQ85" s="19"/>
      <c r="BR85" s="19"/>
      <c r="BT85" s="8"/>
      <c r="BU85" s="7"/>
      <c r="BV85" s="19"/>
      <c r="BW85" s="19"/>
      <c r="BX85" s="19"/>
      <c r="BY85" s="19"/>
      <c r="CA85" s="8"/>
      <c r="CB85" s="7"/>
      <c r="CC85" s="19"/>
      <c r="CD85" s="19"/>
      <c r="CE85" s="19"/>
      <c r="CF85" s="19"/>
      <c r="CH85" s="8"/>
      <c r="CI85" s="7"/>
      <c r="CJ85" s="19"/>
      <c r="CK85" s="19"/>
      <c r="CL85" s="19"/>
      <c r="CM85" s="19"/>
      <c r="CO85" s="8"/>
      <c r="CP85" s="7"/>
      <c r="CQ85" s="19"/>
      <c r="CR85" s="19"/>
      <c r="CS85" s="19"/>
      <c r="CT85" s="19"/>
      <c r="CV85" s="8"/>
      <c r="CW85" s="7"/>
      <c r="CX85" s="19"/>
      <c r="CY85" s="19"/>
      <c r="CZ85" s="19"/>
      <c r="DA85" s="19"/>
      <c r="DC85" s="8"/>
      <c r="DD85" s="7"/>
      <c r="DE85" s="19"/>
      <c r="DF85" s="19"/>
      <c r="DG85" s="19"/>
      <c r="DH85" s="19"/>
      <c r="DJ85" s="8"/>
      <c r="DK85" s="7"/>
      <c r="DL85" s="19"/>
      <c r="DM85" s="19"/>
      <c r="DN85" s="19"/>
      <c r="DO85" s="19"/>
      <c r="DQ85" s="8"/>
      <c r="DR85" s="7"/>
      <c r="DS85" s="19"/>
      <c r="DT85" s="19"/>
      <c r="DU85" s="19"/>
      <c r="DV85" s="19"/>
      <c r="DX85" s="8"/>
      <c r="DY85" s="7"/>
      <c r="DZ85" s="19"/>
      <c r="EA85" s="19"/>
      <c r="EB85" s="19"/>
      <c r="EC85" s="19"/>
      <c r="EE85" s="8"/>
      <c r="EF85" s="7"/>
      <c r="EG85" s="19"/>
      <c r="EH85" s="19"/>
      <c r="EI85" s="19"/>
      <c r="EJ85" s="19"/>
      <c r="EL85" s="8"/>
      <c r="EM85" s="7"/>
      <c r="EN85" s="19"/>
      <c r="EO85" s="19"/>
      <c r="EP85" s="19"/>
      <c r="EQ85" s="19"/>
      <c r="ES85" s="8"/>
      <c r="ET85" s="7"/>
      <c r="EU85" s="19"/>
      <c r="EV85" s="19"/>
      <c r="EW85" s="19"/>
      <c r="EX85" s="19"/>
      <c r="EZ85" s="8"/>
      <c r="FA85" s="7"/>
      <c r="FB85" s="19"/>
      <c r="FC85" s="19"/>
      <c r="FD85" s="19"/>
      <c r="FE85" s="19"/>
      <c r="FG85" s="8"/>
      <c r="FH85" s="7"/>
      <c r="FI85" s="19"/>
      <c r="FJ85" s="19"/>
      <c r="FK85" s="19"/>
      <c r="FL85" s="19"/>
      <c r="FN85" s="8"/>
      <c r="FO85" s="7"/>
      <c r="FP85" s="19"/>
      <c r="FQ85" s="19"/>
      <c r="FR85" s="19"/>
      <c r="FS85" s="19"/>
      <c r="FU85" s="8"/>
      <c r="FV85" s="7"/>
      <c r="FW85" s="19"/>
      <c r="FX85" s="19"/>
      <c r="FY85" s="19"/>
      <c r="FZ85" s="19"/>
      <c r="GB85" s="8"/>
      <c r="GC85" s="7"/>
      <c r="GD85" s="19"/>
      <c r="GE85" s="19"/>
      <c r="GF85" s="19"/>
      <c r="GG85" s="19"/>
      <c r="GI85" s="8"/>
      <c r="GJ85" s="7"/>
      <c r="GK85" s="19"/>
      <c r="GL85" s="19"/>
      <c r="GM85" s="19"/>
      <c r="GN85" s="19"/>
      <c r="GP85" s="8"/>
      <c r="GQ85" s="7"/>
      <c r="GR85" s="19"/>
      <c r="GS85" s="19"/>
      <c r="GT85" s="19"/>
      <c r="GU85" s="19"/>
      <c r="GW85" s="8"/>
      <c r="GX85" s="7"/>
      <c r="GY85" s="19"/>
      <c r="GZ85" s="19"/>
      <c r="HA85" s="19"/>
      <c r="HB85" s="19"/>
      <c r="HD85" s="8"/>
      <c r="HE85" s="7"/>
      <c r="HF85" s="19"/>
      <c r="HG85" s="19"/>
      <c r="HH85" s="19"/>
      <c r="HI85" s="19"/>
      <c r="HK85" s="8"/>
      <c r="HL85" s="7"/>
      <c r="HM85" s="19"/>
      <c r="HN85" s="19"/>
      <c r="HO85" s="19"/>
      <c r="HP85" s="19"/>
      <c r="HR85" s="8"/>
      <c r="HS85" s="7"/>
      <c r="HT85" s="19"/>
      <c r="HU85" s="19"/>
      <c r="HV85" s="19"/>
      <c r="HW85" s="19"/>
      <c r="HY85" s="8"/>
      <c r="HZ85" s="7"/>
      <c r="IA85" s="19"/>
      <c r="IB85" s="19"/>
      <c r="IC85" s="19"/>
      <c r="ID85" s="19"/>
      <c r="IF85" s="8"/>
      <c r="IG85" s="7"/>
      <c r="IH85" s="19"/>
      <c r="II85" s="19"/>
      <c r="IJ85" s="19"/>
      <c r="IK85" s="19"/>
      <c r="IM85" s="8"/>
      <c r="IN85" s="7"/>
      <c r="IO85" s="19"/>
      <c r="IP85" s="19"/>
      <c r="IQ85" s="19"/>
      <c r="IR85" s="19"/>
      <c r="IT85" s="8"/>
      <c r="IU85" s="7"/>
      <c r="IV85" s="19"/>
      <c r="IW85" s="19"/>
      <c r="IX85" s="19"/>
      <c r="IY85" s="19"/>
      <c r="JA85" s="8"/>
      <c r="JB85" s="7"/>
      <c r="JC85" s="19"/>
      <c r="JD85" s="19"/>
      <c r="JE85" s="19"/>
      <c r="JF85" s="19"/>
      <c r="JH85" s="8"/>
      <c r="JI85" s="7"/>
      <c r="JJ85" s="19"/>
      <c r="JK85" s="19"/>
      <c r="JL85" s="19"/>
      <c r="JM85" s="19"/>
      <c r="JO85" s="8"/>
      <c r="JP85" s="7"/>
      <c r="JQ85" s="19"/>
      <c r="JR85" s="19"/>
      <c r="JS85" s="19"/>
      <c r="JT85" s="19"/>
      <c r="JV85" s="8"/>
      <c r="JW85" s="7"/>
      <c r="JX85" s="19"/>
      <c r="JY85" s="19"/>
      <c r="JZ85" s="19"/>
      <c r="KA85" s="19"/>
      <c r="KC85" s="8"/>
      <c r="KD85" s="7"/>
      <c r="KE85" s="19"/>
      <c r="KF85" s="19"/>
      <c r="KG85" s="19"/>
      <c r="KH85" s="19"/>
      <c r="KJ85" s="8"/>
      <c r="KK85" s="7"/>
      <c r="KL85" s="19"/>
      <c r="KM85" s="19"/>
      <c r="KN85" s="19"/>
      <c r="KO85" s="19"/>
      <c r="KQ85" s="8"/>
      <c r="KR85" s="7"/>
      <c r="KS85" s="19"/>
      <c r="KT85" s="19"/>
      <c r="KU85" s="19"/>
      <c r="KV85" s="19"/>
      <c r="KX85" s="8"/>
      <c r="KY85" s="7"/>
      <c r="KZ85" s="19"/>
      <c r="LA85" s="19"/>
      <c r="LB85" s="19"/>
      <c r="LC85" s="19"/>
      <c r="LE85" s="8"/>
      <c r="LF85" s="7"/>
      <c r="LG85" s="19"/>
      <c r="LH85" s="19"/>
      <c r="LI85" s="19"/>
      <c r="LJ85" s="19"/>
      <c r="LL85" s="8"/>
      <c r="LM85" s="7"/>
      <c r="LN85" s="19"/>
      <c r="LO85" s="19"/>
      <c r="LP85" s="19"/>
      <c r="LQ85" s="19"/>
      <c r="LS85" s="8"/>
      <c r="LT85" s="7"/>
      <c r="LU85" s="19"/>
      <c r="LV85" s="19"/>
      <c r="LW85" s="19"/>
      <c r="LX85" s="19"/>
      <c r="LZ85" s="8"/>
      <c r="MA85" s="7"/>
      <c r="MB85" s="19"/>
      <c r="MC85" s="19"/>
      <c r="MD85" s="19"/>
      <c r="ME85" s="19"/>
      <c r="MG85" s="8"/>
      <c r="MH85" s="7"/>
      <c r="MI85" s="19"/>
      <c r="MJ85" s="19"/>
      <c r="MK85" s="19"/>
      <c r="ML85" s="19"/>
      <c r="MN85" s="8"/>
      <c r="MO85" s="7"/>
      <c r="MP85" s="19"/>
      <c r="MQ85" s="19"/>
      <c r="MR85" s="19"/>
      <c r="MS85" s="19"/>
      <c r="MU85" s="8"/>
      <c r="MV85" s="7"/>
      <c r="MW85" s="19"/>
      <c r="MX85" s="19"/>
      <c r="MY85" s="19"/>
      <c r="MZ85" s="19"/>
      <c r="NB85" s="8"/>
      <c r="NC85" s="7"/>
      <c r="ND85" s="19"/>
      <c r="NE85" s="19"/>
      <c r="NF85" s="19"/>
      <c r="NG85" s="19"/>
      <c r="NI85" s="8"/>
      <c r="NJ85" s="7"/>
      <c r="NK85" s="19"/>
      <c r="NL85" s="19"/>
      <c r="NM85" s="19"/>
      <c r="NN85" s="19"/>
      <c r="NP85" s="8"/>
      <c r="NQ85" s="7"/>
      <c r="NR85" s="19"/>
      <c r="NS85" s="19"/>
      <c r="NT85" s="19"/>
      <c r="NU85" s="19"/>
      <c r="NW85" s="8"/>
      <c r="NX85" s="7"/>
      <c r="NY85" s="19"/>
      <c r="NZ85" s="19"/>
      <c r="OA85" s="19"/>
      <c r="OB85" s="19"/>
      <c r="OD85" s="8"/>
      <c r="OE85" s="7"/>
      <c r="OF85" s="19"/>
      <c r="OG85" s="19"/>
      <c r="OH85" s="19"/>
      <c r="OI85" s="19"/>
      <c r="OK85" s="8"/>
      <c r="OL85" s="7"/>
      <c r="OM85" s="19"/>
      <c r="ON85" s="19"/>
      <c r="OO85" s="19"/>
      <c r="OP85" s="19"/>
      <c r="OR85" s="8"/>
      <c r="OS85" s="7"/>
      <c r="OT85" s="19"/>
      <c r="OU85" s="19"/>
      <c r="OV85" s="19"/>
      <c r="OW85" s="19"/>
      <c r="OY85" s="8"/>
      <c r="OZ85" s="7"/>
      <c r="PA85" s="19"/>
      <c r="PB85" s="19"/>
      <c r="PC85" s="19"/>
      <c r="PD85" s="19"/>
      <c r="PF85" s="8"/>
      <c r="PG85" s="7"/>
      <c r="PH85" s="19"/>
      <c r="PI85" s="19"/>
      <c r="PJ85" s="19"/>
      <c r="PK85" s="19"/>
      <c r="PM85" s="8"/>
    </row>
    <row r="86" spans="1:429" s="1" customFormat="1" ht="26" customHeight="1" outlineLevel="1">
      <c r="B86" s="471"/>
      <c r="C86" s="7"/>
      <c r="D86" s="19"/>
      <c r="E86" s="19"/>
      <c r="F86" s="19"/>
      <c r="G86" s="19"/>
      <c r="I86" s="8"/>
      <c r="J86" s="7"/>
      <c r="K86" s="19"/>
      <c r="L86" s="19"/>
      <c r="M86" s="19"/>
      <c r="N86" s="19"/>
      <c r="P86" s="8"/>
      <c r="Q86" s="7"/>
      <c r="R86" s="19"/>
      <c r="S86" s="19"/>
      <c r="T86" s="19"/>
      <c r="U86" s="19"/>
      <c r="W86" s="8"/>
      <c r="X86" s="7"/>
      <c r="Y86" s="19"/>
      <c r="Z86" s="19"/>
      <c r="AA86" s="19"/>
      <c r="AB86" s="19"/>
      <c r="AD86" s="8"/>
      <c r="AE86" s="7"/>
      <c r="AF86" s="19"/>
      <c r="AG86" s="19"/>
      <c r="AH86" s="19"/>
      <c r="AI86" s="19"/>
      <c r="AK86" s="8"/>
      <c r="AL86" s="7"/>
      <c r="AM86" s="19"/>
      <c r="AN86" s="19"/>
      <c r="AO86" s="19"/>
      <c r="AP86" s="19"/>
      <c r="AR86" s="8"/>
      <c r="AS86" s="7"/>
      <c r="AT86" s="19"/>
      <c r="AU86" s="19"/>
      <c r="AV86" s="19"/>
      <c r="AW86" s="19"/>
      <c r="AY86" s="8"/>
      <c r="AZ86" s="7"/>
      <c r="BA86" s="19"/>
      <c r="BB86" s="19"/>
      <c r="BC86" s="19"/>
      <c r="BD86" s="19"/>
      <c r="BF86" s="8"/>
      <c r="BG86" s="7"/>
      <c r="BH86" s="19"/>
      <c r="BI86" s="19"/>
      <c r="BJ86" s="19"/>
      <c r="BK86" s="19"/>
      <c r="BM86" s="8"/>
      <c r="BN86" s="7"/>
      <c r="BO86" s="19"/>
      <c r="BP86" s="19"/>
      <c r="BQ86" s="19"/>
      <c r="BR86" s="19"/>
      <c r="BT86" s="8"/>
      <c r="BU86" s="7"/>
      <c r="BV86" s="19"/>
      <c r="BW86" s="19"/>
      <c r="BX86" s="19"/>
      <c r="BY86" s="19"/>
      <c r="CA86" s="8"/>
      <c r="CB86" s="7"/>
      <c r="CC86" s="19"/>
      <c r="CD86" s="19"/>
      <c r="CE86" s="19"/>
      <c r="CF86" s="19"/>
      <c r="CH86" s="8"/>
      <c r="CI86" s="7"/>
      <c r="CJ86" s="19"/>
      <c r="CK86" s="19"/>
      <c r="CL86" s="19"/>
      <c r="CM86" s="19"/>
      <c r="CO86" s="8"/>
      <c r="CP86" s="7"/>
      <c r="CQ86" s="19"/>
      <c r="CR86" s="19"/>
      <c r="CS86" s="19"/>
      <c r="CT86" s="19"/>
      <c r="CV86" s="8"/>
      <c r="CW86" s="7"/>
      <c r="CX86" s="19"/>
      <c r="CY86" s="19"/>
      <c r="CZ86" s="19"/>
      <c r="DA86" s="19"/>
      <c r="DC86" s="8"/>
      <c r="DD86" s="7"/>
      <c r="DE86" s="19"/>
      <c r="DF86" s="19"/>
      <c r="DG86" s="19"/>
      <c r="DH86" s="19"/>
      <c r="DJ86" s="8"/>
      <c r="DK86" s="7"/>
      <c r="DL86" s="19"/>
      <c r="DM86" s="19"/>
      <c r="DN86" s="19"/>
      <c r="DO86" s="19"/>
      <c r="DQ86" s="8"/>
      <c r="DR86" s="7"/>
      <c r="DS86" s="19"/>
      <c r="DT86" s="19"/>
      <c r="DU86" s="19"/>
      <c r="DV86" s="19"/>
      <c r="DX86" s="8"/>
      <c r="DY86" s="7"/>
      <c r="DZ86" s="19"/>
      <c r="EA86" s="19"/>
      <c r="EB86" s="19"/>
      <c r="EC86" s="19"/>
      <c r="EE86" s="8"/>
      <c r="EF86" s="7"/>
      <c r="EG86" s="19"/>
      <c r="EH86" s="19"/>
      <c r="EI86" s="19"/>
      <c r="EJ86" s="19"/>
      <c r="EL86" s="8"/>
      <c r="EM86" s="7"/>
      <c r="EN86" s="19"/>
      <c r="EO86" s="19"/>
      <c r="EP86" s="19"/>
      <c r="EQ86" s="19"/>
      <c r="ES86" s="8"/>
      <c r="ET86" s="7"/>
      <c r="EU86" s="19"/>
      <c r="EV86" s="19"/>
      <c r="EW86" s="19"/>
      <c r="EX86" s="19"/>
      <c r="EZ86" s="8"/>
      <c r="FA86" s="7"/>
      <c r="FB86" s="19"/>
      <c r="FC86" s="19"/>
      <c r="FD86" s="19"/>
      <c r="FE86" s="19"/>
      <c r="FG86" s="8"/>
      <c r="FH86" s="7"/>
      <c r="FI86" s="19"/>
      <c r="FJ86" s="19"/>
      <c r="FK86" s="19"/>
      <c r="FL86" s="19"/>
      <c r="FN86" s="8"/>
      <c r="FO86" s="7"/>
      <c r="FP86" s="19"/>
      <c r="FQ86" s="19"/>
      <c r="FR86" s="19"/>
      <c r="FS86" s="19"/>
      <c r="FU86" s="8"/>
      <c r="FV86" s="7"/>
      <c r="FW86" s="19"/>
      <c r="FX86" s="19"/>
      <c r="FY86" s="19"/>
      <c r="FZ86" s="19"/>
      <c r="GB86" s="8"/>
      <c r="GC86" s="7"/>
      <c r="GD86" s="19"/>
      <c r="GE86" s="19"/>
      <c r="GF86" s="19"/>
      <c r="GG86" s="19"/>
      <c r="GI86" s="8"/>
      <c r="GJ86" s="7"/>
      <c r="GK86" s="19"/>
      <c r="GL86" s="19"/>
      <c r="GM86" s="19"/>
      <c r="GN86" s="19"/>
      <c r="GP86" s="8"/>
      <c r="GQ86" s="7"/>
      <c r="GR86" s="19"/>
      <c r="GS86" s="19"/>
      <c r="GT86" s="19"/>
      <c r="GU86" s="19"/>
      <c r="GW86" s="8"/>
      <c r="GX86" s="7"/>
      <c r="GY86" s="19"/>
      <c r="GZ86" s="19"/>
      <c r="HA86" s="19"/>
      <c r="HB86" s="19"/>
      <c r="HD86" s="8"/>
      <c r="HE86" s="7"/>
      <c r="HF86" s="19"/>
      <c r="HG86" s="19"/>
      <c r="HH86" s="19"/>
      <c r="HI86" s="19"/>
      <c r="HK86" s="8"/>
      <c r="HL86" s="7"/>
      <c r="HM86" s="19"/>
      <c r="HN86" s="19"/>
      <c r="HO86" s="19"/>
      <c r="HP86" s="19"/>
      <c r="HR86" s="8"/>
      <c r="HS86" s="7"/>
      <c r="HT86" s="19"/>
      <c r="HU86" s="19"/>
      <c r="HV86" s="19"/>
      <c r="HW86" s="19"/>
      <c r="HY86" s="8"/>
      <c r="HZ86" s="7"/>
      <c r="IA86" s="19"/>
      <c r="IB86" s="19"/>
      <c r="IC86" s="19"/>
      <c r="ID86" s="19"/>
      <c r="IF86" s="8"/>
      <c r="IG86" s="7"/>
      <c r="IH86" s="19"/>
      <c r="II86" s="19"/>
      <c r="IJ86" s="19"/>
      <c r="IK86" s="19"/>
      <c r="IM86" s="8"/>
      <c r="IN86" s="7"/>
      <c r="IO86" s="19"/>
      <c r="IP86" s="19"/>
      <c r="IQ86" s="19"/>
      <c r="IR86" s="19"/>
      <c r="IT86" s="8"/>
      <c r="IU86" s="7"/>
      <c r="IV86" s="19"/>
      <c r="IW86" s="19"/>
      <c r="IX86" s="19"/>
      <c r="IY86" s="19"/>
      <c r="JA86" s="8"/>
      <c r="JB86" s="7"/>
      <c r="JC86" s="19"/>
      <c r="JD86" s="19"/>
      <c r="JE86" s="19"/>
      <c r="JF86" s="19"/>
      <c r="JH86" s="8"/>
      <c r="JI86" s="7"/>
      <c r="JJ86" s="19"/>
      <c r="JK86" s="19"/>
      <c r="JL86" s="19"/>
      <c r="JM86" s="19"/>
      <c r="JO86" s="8"/>
      <c r="JP86" s="7"/>
      <c r="JQ86" s="19"/>
      <c r="JR86" s="19"/>
      <c r="JS86" s="19"/>
      <c r="JT86" s="19"/>
      <c r="JV86" s="8"/>
      <c r="JW86" s="7"/>
      <c r="JX86" s="19"/>
      <c r="JY86" s="19"/>
      <c r="JZ86" s="19"/>
      <c r="KA86" s="19"/>
      <c r="KC86" s="8"/>
      <c r="KD86" s="7"/>
      <c r="KE86" s="19"/>
      <c r="KF86" s="19"/>
      <c r="KG86" s="19"/>
      <c r="KH86" s="19"/>
      <c r="KJ86" s="8"/>
      <c r="KK86" s="7"/>
      <c r="KL86" s="19"/>
      <c r="KM86" s="19"/>
      <c r="KN86" s="19"/>
      <c r="KO86" s="19"/>
      <c r="KQ86" s="8"/>
      <c r="KR86" s="7"/>
      <c r="KS86" s="19"/>
      <c r="KT86" s="19"/>
      <c r="KU86" s="19"/>
      <c r="KV86" s="19"/>
      <c r="KX86" s="8"/>
      <c r="KY86" s="7"/>
      <c r="KZ86" s="19"/>
      <c r="LA86" s="19"/>
      <c r="LB86" s="19"/>
      <c r="LC86" s="19"/>
      <c r="LE86" s="8"/>
      <c r="LF86" s="7"/>
      <c r="LG86" s="19"/>
      <c r="LH86" s="19"/>
      <c r="LI86" s="19"/>
      <c r="LJ86" s="19"/>
      <c r="LL86" s="8"/>
      <c r="LM86" s="7"/>
      <c r="LN86" s="19"/>
      <c r="LO86" s="19"/>
      <c r="LP86" s="19"/>
      <c r="LQ86" s="19"/>
      <c r="LS86" s="8"/>
      <c r="LT86" s="7"/>
      <c r="LU86" s="19"/>
      <c r="LV86" s="19"/>
      <c r="LW86" s="19"/>
      <c r="LX86" s="19"/>
      <c r="LZ86" s="8"/>
      <c r="MA86" s="7"/>
      <c r="MB86" s="19"/>
      <c r="MC86" s="19"/>
      <c r="MD86" s="19"/>
      <c r="ME86" s="19"/>
      <c r="MG86" s="8"/>
      <c r="MH86" s="7"/>
      <c r="MI86" s="19"/>
      <c r="MJ86" s="19"/>
      <c r="MK86" s="19"/>
      <c r="ML86" s="19"/>
      <c r="MN86" s="8"/>
      <c r="MO86" s="7"/>
      <c r="MP86" s="19"/>
      <c r="MQ86" s="19"/>
      <c r="MR86" s="19"/>
      <c r="MS86" s="19"/>
      <c r="MU86" s="8"/>
      <c r="MV86" s="7"/>
      <c r="MW86" s="19"/>
      <c r="MX86" s="19"/>
      <c r="MY86" s="19"/>
      <c r="MZ86" s="19"/>
      <c r="NB86" s="8"/>
      <c r="NC86" s="7"/>
      <c r="ND86" s="19"/>
      <c r="NE86" s="19"/>
      <c r="NF86" s="19"/>
      <c r="NG86" s="19"/>
      <c r="NI86" s="8"/>
      <c r="NJ86" s="7"/>
      <c r="NK86" s="19"/>
      <c r="NL86" s="19"/>
      <c r="NM86" s="19"/>
      <c r="NN86" s="19"/>
      <c r="NP86" s="8"/>
      <c r="NQ86" s="7"/>
      <c r="NR86" s="19"/>
      <c r="NS86" s="19"/>
      <c r="NT86" s="19"/>
      <c r="NU86" s="19"/>
      <c r="NW86" s="8"/>
      <c r="NX86" s="7"/>
      <c r="NY86" s="19"/>
      <c r="NZ86" s="19"/>
      <c r="OA86" s="19"/>
      <c r="OB86" s="19"/>
      <c r="OD86" s="8"/>
      <c r="OE86" s="7"/>
      <c r="OF86" s="19"/>
      <c r="OG86" s="19"/>
      <c r="OH86" s="19"/>
      <c r="OI86" s="19"/>
      <c r="OK86" s="8"/>
      <c r="OL86" s="7"/>
      <c r="OM86" s="19"/>
      <c r="ON86" s="19"/>
      <c r="OO86" s="19"/>
      <c r="OP86" s="19"/>
      <c r="OR86" s="8"/>
      <c r="OS86" s="7"/>
      <c r="OT86" s="19"/>
      <c r="OU86" s="19"/>
      <c r="OV86" s="19"/>
      <c r="OW86" s="19"/>
      <c r="OY86" s="8"/>
      <c r="OZ86" s="7"/>
      <c r="PA86" s="19"/>
      <c r="PB86" s="19"/>
      <c r="PC86" s="19"/>
      <c r="PD86" s="19"/>
      <c r="PF86" s="8"/>
      <c r="PG86" s="7"/>
      <c r="PH86" s="19"/>
      <c r="PI86" s="19"/>
      <c r="PJ86" s="19"/>
      <c r="PK86" s="19"/>
      <c r="PM86" s="8"/>
    </row>
    <row r="87" spans="1:429" s="475" customFormat="1" ht="19" customHeight="1">
      <c r="A87" s="6" t="s">
        <v>74</v>
      </c>
      <c r="B87" s="472"/>
      <c r="C87" s="10"/>
      <c r="D87" s="20"/>
      <c r="E87" s="20"/>
      <c r="F87" s="20"/>
      <c r="G87" s="20"/>
      <c r="H87" s="10"/>
      <c r="I87" s="10"/>
      <c r="J87" s="10"/>
      <c r="K87" s="20"/>
      <c r="L87" s="20"/>
      <c r="M87" s="20"/>
      <c r="N87" s="20"/>
      <c r="O87" s="10"/>
      <c r="P87" s="10"/>
      <c r="Q87" s="10"/>
      <c r="R87" s="20"/>
      <c r="S87" s="20"/>
      <c r="T87" s="20"/>
      <c r="U87" s="20"/>
      <c r="V87" s="10"/>
      <c r="W87" s="10"/>
      <c r="X87" s="10"/>
      <c r="Y87" s="20"/>
      <c r="Z87" s="20"/>
      <c r="AA87" s="20"/>
      <c r="AB87" s="20"/>
      <c r="AC87" s="10"/>
      <c r="AD87" s="10"/>
      <c r="AE87" s="10"/>
      <c r="AF87" s="20"/>
      <c r="AG87" s="20"/>
      <c r="AH87" s="20"/>
      <c r="AI87" s="20"/>
      <c r="AJ87" s="10"/>
      <c r="AK87" s="10"/>
      <c r="AL87" s="10"/>
      <c r="AM87" s="20"/>
      <c r="AN87" s="20"/>
      <c r="AO87" s="20"/>
      <c r="AP87" s="20"/>
      <c r="AQ87" s="10"/>
      <c r="AR87" s="10"/>
      <c r="AS87" s="10"/>
      <c r="AT87" s="20"/>
      <c r="AU87" s="20"/>
      <c r="AV87" s="20"/>
      <c r="AW87" s="20"/>
      <c r="AX87" s="10"/>
      <c r="AY87" s="10"/>
      <c r="AZ87" s="10"/>
      <c r="BA87" s="20"/>
      <c r="BB87" s="20"/>
      <c r="BC87" s="20"/>
      <c r="BD87" s="20"/>
      <c r="BE87" s="10"/>
      <c r="BF87" s="10"/>
      <c r="BG87" s="10"/>
      <c r="BH87" s="20"/>
      <c r="BI87" s="20"/>
      <c r="BJ87" s="20"/>
      <c r="BK87" s="20"/>
      <c r="BL87" s="10"/>
      <c r="BM87" s="10"/>
      <c r="BN87" s="10"/>
      <c r="BO87" s="20"/>
      <c r="BP87" s="20"/>
      <c r="BQ87" s="20"/>
      <c r="BR87" s="20"/>
      <c r="BS87" s="10"/>
      <c r="BT87" s="10"/>
      <c r="BU87" s="10"/>
      <c r="BV87" s="20"/>
      <c r="BW87" s="20"/>
      <c r="BX87" s="20"/>
      <c r="BY87" s="20"/>
      <c r="BZ87" s="10"/>
      <c r="CA87" s="10"/>
      <c r="CB87" s="10"/>
      <c r="CC87" s="20"/>
      <c r="CD87" s="20"/>
      <c r="CE87" s="20"/>
      <c r="CF87" s="20"/>
      <c r="CG87" s="10"/>
      <c r="CH87" s="10"/>
      <c r="CI87" s="10"/>
      <c r="CJ87" s="20"/>
      <c r="CK87" s="20"/>
      <c r="CL87" s="20"/>
      <c r="CM87" s="20"/>
      <c r="CN87" s="10"/>
      <c r="CO87" s="10"/>
      <c r="CP87" s="10"/>
      <c r="CQ87" s="20"/>
      <c r="CR87" s="20"/>
      <c r="CS87" s="20"/>
      <c r="CT87" s="20"/>
      <c r="CU87" s="10"/>
      <c r="CV87" s="10"/>
      <c r="CW87" s="10"/>
      <c r="CX87" s="20"/>
      <c r="CY87" s="20"/>
      <c r="CZ87" s="20"/>
      <c r="DA87" s="20"/>
      <c r="DB87" s="10"/>
      <c r="DC87" s="10"/>
      <c r="DD87" s="10"/>
      <c r="DE87" s="20"/>
      <c r="DF87" s="20"/>
      <c r="DG87" s="20"/>
      <c r="DH87" s="20"/>
      <c r="DI87" s="10"/>
      <c r="DJ87" s="10"/>
      <c r="DK87" s="10"/>
      <c r="DL87" s="20"/>
      <c r="DM87" s="20"/>
      <c r="DN87" s="20"/>
      <c r="DO87" s="20"/>
      <c r="DP87" s="10"/>
      <c r="DQ87" s="10"/>
      <c r="DR87" s="10"/>
      <c r="DS87" s="20"/>
      <c r="DT87" s="20"/>
      <c r="DU87" s="20"/>
      <c r="DV87" s="20"/>
      <c r="DW87" s="10"/>
      <c r="DX87" s="10"/>
      <c r="DY87" s="10"/>
      <c r="DZ87" s="20"/>
      <c r="EA87" s="20"/>
      <c r="EB87" s="20"/>
      <c r="EC87" s="20"/>
      <c r="ED87" s="10"/>
      <c r="EE87" s="10"/>
      <c r="EF87" s="10"/>
      <c r="EG87" s="20"/>
      <c r="EH87" s="20"/>
      <c r="EI87" s="20"/>
      <c r="EJ87" s="20"/>
      <c r="EK87" s="10"/>
      <c r="EL87" s="10"/>
      <c r="EM87" s="10"/>
      <c r="EN87" s="20"/>
      <c r="EO87" s="20"/>
      <c r="EP87" s="20"/>
      <c r="EQ87" s="20"/>
      <c r="ER87" s="10"/>
      <c r="ES87" s="10"/>
      <c r="ET87" s="10"/>
      <c r="EU87" s="20"/>
      <c r="EV87" s="20"/>
      <c r="EW87" s="20"/>
      <c r="EX87" s="20"/>
      <c r="EY87" s="10"/>
      <c r="EZ87" s="10"/>
      <c r="FA87" s="10"/>
      <c r="FB87" s="20"/>
      <c r="FC87" s="20"/>
      <c r="FD87" s="20"/>
      <c r="FE87" s="20"/>
      <c r="FF87" s="10"/>
      <c r="FG87" s="10"/>
      <c r="FH87" s="10"/>
      <c r="FI87" s="20"/>
      <c r="FJ87" s="20"/>
      <c r="FK87" s="20"/>
      <c r="FL87" s="20"/>
      <c r="FM87" s="10"/>
      <c r="FN87" s="10"/>
      <c r="FO87" s="10"/>
      <c r="FP87" s="20"/>
      <c r="FQ87" s="20"/>
      <c r="FR87" s="20"/>
      <c r="FS87" s="20"/>
      <c r="FT87" s="10"/>
      <c r="FU87" s="10"/>
      <c r="FV87" s="10"/>
      <c r="FW87" s="20"/>
      <c r="FX87" s="20"/>
      <c r="FY87" s="20"/>
      <c r="FZ87" s="20"/>
      <c r="GA87" s="10"/>
      <c r="GB87" s="10"/>
      <c r="GC87" s="10"/>
      <c r="GD87" s="20"/>
      <c r="GE87" s="20"/>
      <c r="GF87" s="20"/>
      <c r="GG87" s="20"/>
      <c r="GH87" s="10"/>
      <c r="GI87" s="10"/>
      <c r="GJ87" s="10"/>
      <c r="GK87" s="20"/>
      <c r="GL87" s="20"/>
      <c r="GM87" s="20"/>
      <c r="GN87" s="20"/>
      <c r="GO87" s="10"/>
      <c r="GP87" s="10"/>
      <c r="GQ87" s="10"/>
      <c r="GR87" s="20"/>
      <c r="GS87" s="20"/>
      <c r="GT87" s="20"/>
      <c r="GU87" s="20"/>
      <c r="GV87" s="10"/>
      <c r="GW87" s="10"/>
      <c r="GX87" s="10"/>
      <c r="GY87" s="20"/>
      <c r="GZ87" s="20"/>
      <c r="HA87" s="20"/>
      <c r="HB87" s="20"/>
      <c r="HC87" s="10"/>
      <c r="HD87" s="10"/>
      <c r="HE87" s="10"/>
      <c r="HF87" s="20"/>
      <c r="HG87" s="20"/>
      <c r="HH87" s="20"/>
      <c r="HI87" s="20"/>
      <c r="HJ87" s="10"/>
      <c r="HK87" s="10"/>
      <c r="HL87" s="10"/>
      <c r="HM87" s="20"/>
      <c r="HN87" s="20"/>
      <c r="HO87" s="20"/>
      <c r="HP87" s="20"/>
      <c r="HQ87" s="10"/>
      <c r="HR87" s="10"/>
      <c r="HS87" s="10"/>
      <c r="HT87" s="20"/>
      <c r="HU87" s="20"/>
      <c r="HV87" s="20"/>
      <c r="HW87" s="20"/>
      <c r="HX87" s="10"/>
      <c r="HY87" s="10"/>
      <c r="HZ87" s="10"/>
      <c r="IA87" s="20"/>
      <c r="IB87" s="20"/>
      <c r="IC87" s="20"/>
      <c r="ID87" s="20"/>
      <c r="IE87" s="10"/>
      <c r="IF87" s="10"/>
      <c r="IG87" s="10"/>
      <c r="IH87" s="20"/>
      <c r="II87" s="20"/>
      <c r="IJ87" s="20"/>
      <c r="IK87" s="20"/>
      <c r="IL87" s="10"/>
      <c r="IM87" s="10"/>
      <c r="IN87" s="10"/>
      <c r="IO87" s="20"/>
      <c r="IP87" s="20"/>
      <c r="IQ87" s="20"/>
      <c r="IR87" s="20"/>
      <c r="IS87" s="10"/>
      <c r="IT87" s="10"/>
      <c r="IU87" s="10"/>
      <c r="IV87" s="20"/>
      <c r="IW87" s="20"/>
      <c r="IX87" s="20"/>
      <c r="IY87" s="20"/>
      <c r="IZ87" s="10"/>
      <c r="JA87" s="10"/>
      <c r="JB87" s="10"/>
      <c r="JC87" s="20"/>
      <c r="JD87" s="20"/>
      <c r="JE87" s="20"/>
      <c r="JF87" s="20"/>
      <c r="JG87" s="10"/>
      <c r="JH87" s="10"/>
      <c r="JI87" s="10"/>
      <c r="JJ87" s="20"/>
      <c r="JK87" s="20"/>
      <c r="JL87" s="20"/>
      <c r="JM87" s="20"/>
      <c r="JN87" s="10"/>
      <c r="JO87" s="10"/>
      <c r="JP87" s="10"/>
      <c r="JQ87" s="20"/>
      <c r="JR87" s="20"/>
      <c r="JS87" s="20"/>
      <c r="JT87" s="20"/>
      <c r="JU87" s="10"/>
      <c r="JV87" s="10"/>
      <c r="JW87" s="10"/>
      <c r="JX87" s="20"/>
      <c r="JY87" s="20"/>
      <c r="JZ87" s="20"/>
      <c r="KA87" s="20"/>
      <c r="KB87" s="10"/>
      <c r="KC87" s="10"/>
      <c r="KD87" s="10"/>
      <c r="KE87" s="20"/>
      <c r="KF87" s="20"/>
      <c r="KG87" s="20"/>
      <c r="KH87" s="20"/>
      <c r="KI87" s="10"/>
      <c r="KJ87" s="10"/>
      <c r="KK87" s="10"/>
      <c r="KL87" s="20"/>
      <c r="KM87" s="20"/>
      <c r="KN87" s="20"/>
      <c r="KO87" s="20"/>
      <c r="KP87" s="10"/>
      <c r="KQ87" s="10"/>
      <c r="KR87" s="10"/>
      <c r="KS87" s="20"/>
      <c r="KT87" s="20"/>
      <c r="KU87" s="20"/>
      <c r="KV87" s="20"/>
      <c r="KW87" s="10"/>
      <c r="KX87" s="10"/>
      <c r="KY87" s="10"/>
      <c r="KZ87" s="20"/>
      <c r="LA87" s="20"/>
      <c r="LB87" s="20"/>
      <c r="LC87" s="20"/>
      <c r="LD87" s="10"/>
      <c r="LE87" s="10"/>
      <c r="LF87" s="10"/>
      <c r="LG87" s="20"/>
      <c r="LH87" s="20"/>
      <c r="LI87" s="20"/>
      <c r="LJ87" s="20"/>
      <c r="LK87" s="10"/>
      <c r="LL87" s="10"/>
      <c r="LM87" s="10"/>
      <c r="LN87" s="20"/>
      <c r="LO87" s="20"/>
      <c r="LP87" s="20"/>
      <c r="LQ87" s="20"/>
      <c r="LR87" s="10"/>
      <c r="LS87" s="10"/>
      <c r="LT87" s="10"/>
      <c r="LU87" s="20"/>
      <c r="LV87" s="20"/>
      <c r="LW87" s="20"/>
      <c r="LX87" s="20"/>
      <c r="LY87" s="10"/>
      <c r="LZ87" s="10"/>
      <c r="MA87" s="10"/>
      <c r="MB87" s="20"/>
      <c r="MC87" s="20"/>
      <c r="MD87" s="20"/>
      <c r="ME87" s="20"/>
      <c r="MF87" s="10"/>
      <c r="MG87" s="10"/>
      <c r="MH87" s="10"/>
      <c r="MI87" s="20"/>
      <c r="MJ87" s="20"/>
      <c r="MK87" s="20"/>
      <c r="ML87" s="20"/>
      <c r="MM87" s="10"/>
      <c r="MN87" s="10"/>
      <c r="MO87" s="10"/>
      <c r="MP87" s="20"/>
      <c r="MQ87" s="20"/>
      <c r="MR87" s="20"/>
      <c r="MS87" s="20"/>
      <c r="MT87" s="10"/>
      <c r="MU87" s="10"/>
      <c r="MV87" s="10"/>
      <c r="MW87" s="20"/>
      <c r="MX87" s="20"/>
      <c r="MY87" s="20"/>
      <c r="MZ87" s="20"/>
      <c r="NA87" s="10"/>
      <c r="NB87" s="10"/>
      <c r="NC87" s="10"/>
      <c r="ND87" s="20"/>
      <c r="NE87" s="20"/>
      <c r="NF87" s="20"/>
      <c r="NG87" s="20"/>
      <c r="NH87" s="10"/>
      <c r="NI87" s="10"/>
      <c r="NJ87" s="10"/>
      <c r="NK87" s="20"/>
      <c r="NL87" s="20"/>
      <c r="NM87" s="20"/>
      <c r="NN87" s="20"/>
      <c r="NO87" s="10"/>
      <c r="NP87" s="10"/>
      <c r="NQ87" s="10"/>
      <c r="NR87" s="20"/>
      <c r="NS87" s="20"/>
      <c r="NT87" s="20"/>
      <c r="NU87" s="20"/>
      <c r="NV87" s="10"/>
      <c r="NW87" s="10"/>
      <c r="NX87" s="10"/>
      <c r="NY87" s="20"/>
      <c r="NZ87" s="20"/>
      <c r="OA87" s="20"/>
      <c r="OB87" s="20"/>
      <c r="OC87" s="10"/>
      <c r="OD87" s="10"/>
      <c r="OE87" s="10"/>
      <c r="OF87" s="20"/>
      <c r="OG87" s="20"/>
      <c r="OH87" s="20"/>
      <c r="OI87" s="20"/>
      <c r="OJ87" s="10"/>
      <c r="OK87" s="10"/>
      <c r="OL87" s="10"/>
      <c r="OM87" s="20"/>
      <c r="ON87" s="20"/>
      <c r="OO87" s="20"/>
      <c r="OP87" s="20"/>
      <c r="OQ87" s="10"/>
      <c r="OR87" s="10"/>
      <c r="OS87" s="10"/>
      <c r="OT87" s="20"/>
      <c r="OU87" s="20"/>
      <c r="OV87" s="20"/>
      <c r="OW87" s="20"/>
      <c r="OX87" s="10"/>
      <c r="OY87" s="10"/>
      <c r="OZ87" s="10"/>
      <c r="PA87" s="20"/>
      <c r="PB87" s="20"/>
      <c r="PC87" s="20"/>
      <c r="PD87" s="20"/>
      <c r="PE87" s="10"/>
      <c r="PF87" s="10"/>
      <c r="PG87" s="10"/>
      <c r="PH87" s="20"/>
      <c r="PI87" s="20"/>
      <c r="PJ87" s="20"/>
      <c r="PK87" s="20"/>
      <c r="PL87" s="10"/>
      <c r="PM87" s="10"/>
    </row>
    <row r="88" spans="1:429" s="1" customFormat="1" ht="26" customHeight="1" outlineLevel="1">
      <c r="B88" s="471"/>
      <c r="C88" s="7"/>
      <c r="D88" s="19"/>
      <c r="E88" s="19"/>
      <c r="F88" s="19"/>
      <c r="G88" s="19"/>
      <c r="I88" s="8"/>
      <c r="J88" s="7"/>
      <c r="K88" s="19"/>
      <c r="L88" s="19"/>
      <c r="M88" s="19"/>
      <c r="N88" s="19"/>
      <c r="P88" s="8"/>
      <c r="Q88" s="7"/>
      <c r="R88" s="19"/>
      <c r="S88" s="19"/>
      <c r="T88" s="19"/>
      <c r="U88" s="19"/>
      <c r="W88" s="8"/>
      <c r="X88" s="7"/>
      <c r="Y88" s="19"/>
      <c r="Z88" s="19"/>
      <c r="AA88" s="19"/>
      <c r="AB88" s="19"/>
      <c r="AD88" s="8"/>
      <c r="AE88" s="7"/>
      <c r="AF88" s="19"/>
      <c r="AG88" s="19"/>
      <c r="AH88" s="19"/>
      <c r="AI88" s="19"/>
      <c r="AK88" s="8"/>
      <c r="AL88" s="7"/>
      <c r="AM88" s="19"/>
      <c r="AN88" s="19"/>
      <c r="AO88" s="19"/>
      <c r="AP88" s="19"/>
      <c r="AR88" s="8"/>
      <c r="AS88" s="7"/>
      <c r="AT88" s="19"/>
      <c r="AU88" s="19"/>
      <c r="AV88" s="19"/>
      <c r="AW88" s="19"/>
      <c r="AY88" s="8"/>
      <c r="AZ88" s="7"/>
      <c r="BA88" s="19"/>
      <c r="BB88" s="19"/>
      <c r="BC88" s="19"/>
      <c r="BD88" s="19"/>
      <c r="BF88" s="8"/>
      <c r="BG88" s="7"/>
      <c r="BH88" s="19"/>
      <c r="BI88" s="19"/>
      <c r="BJ88" s="19"/>
      <c r="BK88" s="19"/>
      <c r="BM88" s="8"/>
      <c r="BN88" s="7"/>
      <c r="BO88" s="19"/>
      <c r="BP88" s="19"/>
      <c r="BQ88" s="19"/>
      <c r="BR88" s="19"/>
      <c r="BT88" s="8"/>
      <c r="BU88" s="7"/>
      <c r="BV88" s="19"/>
      <c r="BW88" s="19"/>
      <c r="BX88" s="19"/>
      <c r="BY88" s="19"/>
      <c r="CA88" s="8"/>
      <c r="CB88" s="7"/>
      <c r="CC88" s="19"/>
      <c r="CD88" s="19"/>
      <c r="CE88" s="19"/>
      <c r="CF88" s="19"/>
      <c r="CH88" s="8"/>
      <c r="CI88" s="7"/>
      <c r="CJ88" s="19"/>
      <c r="CK88" s="19"/>
      <c r="CL88" s="19"/>
      <c r="CM88" s="19"/>
      <c r="CO88" s="8"/>
      <c r="CP88" s="7"/>
      <c r="CQ88" s="19"/>
      <c r="CR88" s="19"/>
      <c r="CS88" s="19"/>
      <c r="CT88" s="19"/>
      <c r="CV88" s="8"/>
      <c r="CW88" s="7"/>
      <c r="CX88" s="19"/>
      <c r="CY88" s="19"/>
      <c r="CZ88" s="19"/>
      <c r="DA88" s="19"/>
      <c r="DC88" s="8"/>
      <c r="DD88" s="7"/>
      <c r="DE88" s="19"/>
      <c r="DF88" s="19"/>
      <c r="DG88" s="19"/>
      <c r="DH88" s="19"/>
      <c r="DJ88" s="8"/>
      <c r="DK88" s="7"/>
      <c r="DL88" s="19"/>
      <c r="DM88" s="19"/>
      <c r="DN88" s="19"/>
      <c r="DO88" s="19"/>
      <c r="DQ88" s="8"/>
      <c r="DR88" s="7"/>
      <c r="DS88" s="19"/>
      <c r="DT88" s="19"/>
      <c r="DU88" s="19"/>
      <c r="DV88" s="19"/>
      <c r="DX88" s="8"/>
      <c r="DY88" s="7"/>
      <c r="DZ88" s="19"/>
      <c r="EA88" s="19"/>
      <c r="EB88" s="19"/>
      <c r="EC88" s="19"/>
      <c r="EE88" s="8"/>
      <c r="EF88" s="7"/>
      <c r="EG88" s="19"/>
      <c r="EH88" s="19"/>
      <c r="EI88" s="19"/>
      <c r="EJ88" s="19"/>
      <c r="EL88" s="8"/>
      <c r="EM88" s="7"/>
      <c r="EN88" s="19"/>
      <c r="EO88" s="19"/>
      <c r="EP88" s="19"/>
      <c r="EQ88" s="19"/>
      <c r="ES88" s="8"/>
      <c r="ET88" s="7"/>
      <c r="EU88" s="19"/>
      <c r="EV88" s="19"/>
      <c r="EW88" s="19"/>
      <c r="EX88" s="19"/>
      <c r="EZ88" s="8"/>
      <c r="FA88" s="7"/>
      <c r="FB88" s="19"/>
      <c r="FC88" s="19"/>
      <c r="FD88" s="19"/>
      <c r="FE88" s="19"/>
      <c r="FG88" s="8"/>
      <c r="FH88" s="7"/>
      <c r="FI88" s="19"/>
      <c r="FJ88" s="19"/>
      <c r="FK88" s="19"/>
      <c r="FL88" s="19"/>
      <c r="FN88" s="8"/>
      <c r="FO88" s="7"/>
      <c r="FP88" s="19"/>
      <c r="FQ88" s="19"/>
      <c r="FR88" s="19"/>
      <c r="FS88" s="19"/>
      <c r="FU88" s="8"/>
      <c r="FV88" s="7"/>
      <c r="FW88" s="19"/>
      <c r="FX88" s="19"/>
      <c r="FY88" s="19"/>
      <c r="FZ88" s="19"/>
      <c r="GB88" s="8"/>
      <c r="GC88" s="7"/>
      <c r="GD88" s="19"/>
      <c r="GE88" s="19"/>
      <c r="GF88" s="19"/>
      <c r="GG88" s="19"/>
      <c r="GI88" s="8"/>
      <c r="GJ88" s="7"/>
      <c r="GK88" s="19"/>
      <c r="GL88" s="19"/>
      <c r="GM88" s="19"/>
      <c r="GN88" s="19"/>
      <c r="GP88" s="8"/>
      <c r="GQ88" s="7"/>
      <c r="GR88" s="19"/>
      <c r="GS88" s="19"/>
      <c r="GT88" s="19"/>
      <c r="GU88" s="19"/>
      <c r="GW88" s="8"/>
      <c r="GX88" s="7"/>
      <c r="GY88" s="19"/>
      <c r="GZ88" s="19"/>
      <c r="HA88" s="19"/>
      <c r="HB88" s="19"/>
      <c r="HD88" s="8"/>
      <c r="HE88" s="7"/>
      <c r="HF88" s="19"/>
      <c r="HG88" s="19"/>
      <c r="HH88" s="19"/>
      <c r="HI88" s="19"/>
      <c r="HK88" s="8"/>
      <c r="HL88" s="7"/>
      <c r="HM88" s="19"/>
      <c r="HN88" s="19"/>
      <c r="HO88" s="19"/>
      <c r="HP88" s="19"/>
      <c r="HR88" s="8"/>
      <c r="HS88" s="7"/>
      <c r="HT88" s="19"/>
      <c r="HU88" s="19"/>
      <c r="HV88" s="19"/>
      <c r="HW88" s="19"/>
      <c r="HY88" s="8"/>
      <c r="HZ88" s="7"/>
      <c r="IA88" s="19"/>
      <c r="IB88" s="19"/>
      <c r="IC88" s="19"/>
      <c r="ID88" s="19"/>
      <c r="IF88" s="8"/>
      <c r="IG88" s="7"/>
      <c r="IH88" s="19"/>
      <c r="II88" s="19"/>
      <c r="IJ88" s="19"/>
      <c r="IK88" s="19"/>
      <c r="IM88" s="8"/>
      <c r="IN88" s="7"/>
      <c r="IO88" s="19"/>
      <c r="IP88" s="19"/>
      <c r="IQ88" s="19"/>
      <c r="IR88" s="19"/>
      <c r="IT88" s="8"/>
      <c r="IU88" s="7"/>
      <c r="IV88" s="19"/>
      <c r="IW88" s="19"/>
      <c r="IX88" s="19"/>
      <c r="IY88" s="19"/>
      <c r="JA88" s="8"/>
      <c r="JB88" s="7"/>
      <c r="JC88" s="19"/>
      <c r="JD88" s="19"/>
      <c r="JE88" s="19"/>
      <c r="JF88" s="19"/>
      <c r="JH88" s="8"/>
      <c r="JI88" s="7"/>
      <c r="JJ88" s="19"/>
      <c r="JK88" s="19"/>
      <c r="JL88" s="19"/>
      <c r="JM88" s="19"/>
      <c r="JO88" s="8"/>
      <c r="JP88" s="7"/>
      <c r="JQ88" s="19"/>
      <c r="JR88" s="19"/>
      <c r="JS88" s="19"/>
      <c r="JT88" s="19"/>
      <c r="JV88" s="8"/>
      <c r="JW88" s="7"/>
      <c r="JX88" s="19"/>
      <c r="JY88" s="19"/>
      <c r="JZ88" s="19"/>
      <c r="KA88" s="19"/>
      <c r="KC88" s="8"/>
      <c r="KD88" s="7"/>
      <c r="KE88" s="19"/>
      <c r="KF88" s="19"/>
      <c r="KG88" s="19"/>
      <c r="KH88" s="19"/>
      <c r="KJ88" s="8"/>
      <c r="KK88" s="7"/>
      <c r="KL88" s="19"/>
      <c r="KM88" s="19"/>
      <c r="KN88" s="19"/>
      <c r="KO88" s="19"/>
      <c r="KQ88" s="8"/>
      <c r="KR88" s="7"/>
      <c r="KS88" s="19"/>
      <c r="KT88" s="19"/>
      <c r="KU88" s="19"/>
      <c r="KV88" s="19"/>
      <c r="KX88" s="8"/>
      <c r="KY88" s="7"/>
      <c r="KZ88" s="19"/>
      <c r="LA88" s="19"/>
      <c r="LB88" s="19"/>
      <c r="LC88" s="19"/>
      <c r="LE88" s="8"/>
      <c r="LF88" s="7"/>
      <c r="LG88" s="19"/>
      <c r="LH88" s="19"/>
      <c r="LI88" s="19"/>
      <c r="LJ88" s="19"/>
      <c r="LL88" s="8"/>
      <c r="LM88" s="7"/>
      <c r="LN88" s="19"/>
      <c r="LO88" s="19"/>
      <c r="LP88" s="19"/>
      <c r="LQ88" s="19"/>
      <c r="LS88" s="8"/>
      <c r="LT88" s="7"/>
      <c r="LU88" s="19"/>
      <c r="LV88" s="19"/>
      <c r="LW88" s="19"/>
      <c r="LX88" s="19"/>
      <c r="LZ88" s="8"/>
      <c r="MA88" s="7"/>
      <c r="MB88" s="19"/>
      <c r="MC88" s="19"/>
      <c r="MD88" s="19"/>
      <c r="ME88" s="19"/>
      <c r="MG88" s="8"/>
      <c r="MH88" s="7"/>
      <c r="MI88" s="19"/>
      <c r="MJ88" s="19"/>
      <c r="MK88" s="19"/>
      <c r="ML88" s="19"/>
      <c r="MN88" s="8"/>
      <c r="MO88" s="7"/>
      <c r="MP88" s="19"/>
      <c r="MQ88" s="19"/>
      <c r="MR88" s="19"/>
      <c r="MS88" s="19"/>
      <c r="MU88" s="8"/>
      <c r="MV88" s="7"/>
      <c r="MW88" s="19"/>
      <c r="MX88" s="19"/>
      <c r="MY88" s="19"/>
      <c r="MZ88" s="19"/>
      <c r="NB88" s="8"/>
      <c r="NC88" s="7"/>
      <c r="ND88" s="19"/>
      <c r="NE88" s="19"/>
      <c r="NF88" s="19"/>
      <c r="NG88" s="19"/>
      <c r="NI88" s="8"/>
      <c r="NJ88" s="7"/>
      <c r="NK88" s="19"/>
      <c r="NL88" s="19"/>
      <c r="NM88" s="19"/>
      <c r="NN88" s="19"/>
      <c r="NP88" s="8"/>
      <c r="NQ88" s="7"/>
      <c r="NR88" s="19"/>
      <c r="NS88" s="19"/>
      <c r="NT88" s="19"/>
      <c r="NU88" s="19"/>
      <c r="NW88" s="8"/>
      <c r="NX88" s="7"/>
      <c r="NY88" s="19"/>
      <c r="NZ88" s="19"/>
      <c r="OA88" s="19"/>
      <c r="OB88" s="19"/>
      <c r="OD88" s="8"/>
      <c r="OE88" s="7"/>
      <c r="OF88" s="19"/>
      <c r="OG88" s="19"/>
      <c r="OH88" s="19"/>
      <c r="OI88" s="19"/>
      <c r="OK88" s="8"/>
      <c r="OL88" s="7"/>
      <c r="OM88" s="19"/>
      <c r="ON88" s="19"/>
      <c r="OO88" s="19"/>
      <c r="OP88" s="19"/>
      <c r="OR88" s="8"/>
      <c r="OS88" s="7"/>
      <c r="OT88" s="19"/>
      <c r="OU88" s="19"/>
      <c r="OV88" s="19"/>
      <c r="OW88" s="19"/>
      <c r="OY88" s="8"/>
      <c r="OZ88" s="7"/>
      <c r="PA88" s="19"/>
      <c r="PB88" s="19"/>
      <c r="PC88" s="19"/>
      <c r="PD88" s="19"/>
      <c r="PF88" s="8"/>
      <c r="PG88" s="7"/>
      <c r="PH88" s="19"/>
      <c r="PI88" s="19"/>
      <c r="PJ88" s="19"/>
      <c r="PK88" s="19"/>
      <c r="PM88" s="8"/>
    </row>
    <row r="89" spans="1:429" s="1" customFormat="1" ht="26" customHeight="1" outlineLevel="1">
      <c r="B89" s="471"/>
      <c r="C89" s="7"/>
      <c r="D89" s="19"/>
      <c r="E89" s="19"/>
      <c r="F89" s="19"/>
      <c r="G89" s="19"/>
      <c r="I89" s="8"/>
      <c r="J89" s="7"/>
      <c r="K89" s="19"/>
      <c r="L89" s="19"/>
      <c r="M89" s="19"/>
      <c r="N89" s="19"/>
      <c r="P89" s="8"/>
      <c r="Q89" s="7"/>
      <c r="R89" s="19"/>
      <c r="S89" s="19"/>
      <c r="T89" s="19"/>
      <c r="U89" s="19"/>
      <c r="W89" s="8"/>
      <c r="X89" s="7"/>
      <c r="Y89" s="19"/>
      <c r="Z89" s="19"/>
      <c r="AA89" s="19"/>
      <c r="AB89" s="19"/>
      <c r="AD89" s="8"/>
      <c r="AE89" s="7"/>
      <c r="AF89" s="19"/>
      <c r="AG89" s="19"/>
      <c r="AH89" s="19"/>
      <c r="AI89" s="19"/>
      <c r="AK89" s="8"/>
      <c r="AL89" s="7"/>
      <c r="AM89" s="19"/>
      <c r="AN89" s="19"/>
      <c r="AO89" s="19"/>
      <c r="AP89" s="19"/>
      <c r="AR89" s="8"/>
      <c r="AS89" s="7"/>
      <c r="AT89" s="19"/>
      <c r="AU89" s="19"/>
      <c r="AV89" s="19"/>
      <c r="AW89" s="19"/>
      <c r="AY89" s="8"/>
      <c r="AZ89" s="7"/>
      <c r="BA89" s="19"/>
      <c r="BB89" s="19"/>
      <c r="BC89" s="19"/>
      <c r="BD89" s="19"/>
      <c r="BF89" s="8"/>
      <c r="BG89" s="7"/>
      <c r="BH89" s="19"/>
      <c r="BI89" s="19"/>
      <c r="BJ89" s="19"/>
      <c r="BK89" s="19"/>
      <c r="BM89" s="8"/>
      <c r="BN89" s="7"/>
      <c r="BO89" s="19"/>
      <c r="BP89" s="19"/>
      <c r="BQ89" s="19"/>
      <c r="BR89" s="19"/>
      <c r="BT89" s="8"/>
      <c r="BU89" s="7"/>
      <c r="BV89" s="19"/>
      <c r="BW89" s="19"/>
      <c r="BX89" s="19"/>
      <c r="BY89" s="19"/>
      <c r="CA89" s="8"/>
      <c r="CB89" s="7"/>
      <c r="CC89" s="19"/>
      <c r="CD89" s="19"/>
      <c r="CE89" s="19"/>
      <c r="CF89" s="19"/>
      <c r="CH89" s="8"/>
      <c r="CI89" s="7"/>
      <c r="CJ89" s="19"/>
      <c r="CK89" s="19"/>
      <c r="CL89" s="19"/>
      <c r="CM89" s="19"/>
      <c r="CO89" s="8"/>
      <c r="CP89" s="7"/>
      <c r="CQ89" s="19"/>
      <c r="CR89" s="19"/>
      <c r="CS89" s="19"/>
      <c r="CT89" s="19"/>
      <c r="CV89" s="8"/>
      <c r="CW89" s="7"/>
      <c r="CX89" s="19"/>
      <c r="CY89" s="19"/>
      <c r="CZ89" s="19"/>
      <c r="DA89" s="19"/>
      <c r="DC89" s="8"/>
      <c r="DD89" s="7"/>
      <c r="DE89" s="19"/>
      <c r="DF89" s="19"/>
      <c r="DG89" s="19"/>
      <c r="DH89" s="19"/>
      <c r="DJ89" s="8"/>
      <c r="DK89" s="7"/>
      <c r="DL89" s="19"/>
      <c r="DM89" s="19"/>
      <c r="DN89" s="19"/>
      <c r="DO89" s="19"/>
      <c r="DQ89" s="8"/>
      <c r="DR89" s="7"/>
      <c r="DS89" s="19"/>
      <c r="DT89" s="19"/>
      <c r="DU89" s="19"/>
      <c r="DV89" s="19"/>
      <c r="DX89" s="8"/>
      <c r="DY89" s="7"/>
      <c r="DZ89" s="19"/>
      <c r="EA89" s="19"/>
      <c r="EB89" s="19"/>
      <c r="EC89" s="19"/>
      <c r="EE89" s="8"/>
      <c r="EF89" s="7"/>
      <c r="EG89" s="19"/>
      <c r="EH89" s="19"/>
      <c r="EI89" s="19"/>
      <c r="EJ89" s="19"/>
      <c r="EL89" s="8"/>
      <c r="EM89" s="7"/>
      <c r="EN89" s="19"/>
      <c r="EO89" s="19"/>
      <c r="EP89" s="19"/>
      <c r="EQ89" s="19"/>
      <c r="ES89" s="8"/>
      <c r="ET89" s="7"/>
      <c r="EU89" s="19"/>
      <c r="EV89" s="19"/>
      <c r="EW89" s="19"/>
      <c r="EX89" s="19"/>
      <c r="EZ89" s="8"/>
      <c r="FA89" s="7"/>
      <c r="FB89" s="19"/>
      <c r="FC89" s="19"/>
      <c r="FD89" s="19"/>
      <c r="FE89" s="19"/>
      <c r="FG89" s="8"/>
      <c r="FH89" s="7"/>
      <c r="FI89" s="19"/>
      <c r="FJ89" s="19"/>
      <c r="FK89" s="19"/>
      <c r="FL89" s="19"/>
      <c r="FN89" s="8"/>
      <c r="FO89" s="7"/>
      <c r="FP89" s="19"/>
      <c r="FQ89" s="19"/>
      <c r="FR89" s="19"/>
      <c r="FS89" s="19"/>
      <c r="FU89" s="8"/>
      <c r="FV89" s="7"/>
      <c r="FW89" s="19"/>
      <c r="FX89" s="19"/>
      <c r="FY89" s="19"/>
      <c r="FZ89" s="19"/>
      <c r="GB89" s="8"/>
      <c r="GC89" s="7"/>
      <c r="GD89" s="19"/>
      <c r="GE89" s="19"/>
      <c r="GF89" s="19"/>
      <c r="GG89" s="19"/>
      <c r="GI89" s="8"/>
      <c r="GJ89" s="7"/>
      <c r="GK89" s="19"/>
      <c r="GL89" s="19"/>
      <c r="GM89" s="19"/>
      <c r="GN89" s="19"/>
      <c r="GP89" s="8"/>
      <c r="GQ89" s="7"/>
      <c r="GR89" s="19"/>
      <c r="GS89" s="19"/>
      <c r="GT89" s="19"/>
      <c r="GU89" s="19"/>
      <c r="GW89" s="8"/>
      <c r="GX89" s="7"/>
      <c r="GY89" s="19"/>
      <c r="GZ89" s="19"/>
      <c r="HA89" s="19"/>
      <c r="HB89" s="19"/>
      <c r="HD89" s="8"/>
      <c r="HE89" s="7"/>
      <c r="HF89" s="19"/>
      <c r="HG89" s="19"/>
      <c r="HH89" s="19"/>
      <c r="HI89" s="19"/>
      <c r="HK89" s="8"/>
      <c r="HL89" s="7"/>
      <c r="HM89" s="19"/>
      <c r="HN89" s="19"/>
      <c r="HO89" s="19"/>
      <c r="HP89" s="19"/>
      <c r="HR89" s="8"/>
      <c r="HS89" s="7"/>
      <c r="HT89" s="19"/>
      <c r="HU89" s="19"/>
      <c r="HV89" s="19"/>
      <c r="HW89" s="19"/>
      <c r="HY89" s="8"/>
      <c r="HZ89" s="7"/>
      <c r="IA89" s="19"/>
      <c r="IB89" s="19"/>
      <c r="IC89" s="19"/>
      <c r="ID89" s="19"/>
      <c r="IF89" s="8"/>
      <c r="IG89" s="7"/>
      <c r="IH89" s="19"/>
      <c r="II89" s="19"/>
      <c r="IJ89" s="19"/>
      <c r="IK89" s="19"/>
      <c r="IM89" s="8"/>
      <c r="IN89" s="7"/>
      <c r="IO89" s="19"/>
      <c r="IP89" s="19"/>
      <c r="IQ89" s="19"/>
      <c r="IR89" s="19"/>
      <c r="IT89" s="8"/>
      <c r="IU89" s="7"/>
      <c r="IV89" s="19"/>
      <c r="IW89" s="19"/>
      <c r="IX89" s="19"/>
      <c r="IY89" s="19"/>
      <c r="JA89" s="8"/>
      <c r="JB89" s="7"/>
      <c r="JC89" s="19"/>
      <c r="JD89" s="19"/>
      <c r="JE89" s="19"/>
      <c r="JF89" s="19"/>
      <c r="JH89" s="8"/>
      <c r="JI89" s="7"/>
      <c r="JJ89" s="19"/>
      <c r="JK89" s="19"/>
      <c r="JL89" s="19"/>
      <c r="JM89" s="19"/>
      <c r="JO89" s="8"/>
      <c r="JP89" s="7"/>
      <c r="JQ89" s="19"/>
      <c r="JR89" s="19"/>
      <c r="JS89" s="19"/>
      <c r="JT89" s="19"/>
      <c r="JV89" s="8"/>
      <c r="JW89" s="7"/>
      <c r="JX89" s="19"/>
      <c r="JY89" s="19"/>
      <c r="JZ89" s="19"/>
      <c r="KA89" s="19"/>
      <c r="KC89" s="8"/>
      <c r="KD89" s="7"/>
      <c r="KE89" s="19"/>
      <c r="KF89" s="19"/>
      <c r="KG89" s="19"/>
      <c r="KH89" s="19"/>
      <c r="KJ89" s="8"/>
      <c r="KK89" s="7"/>
      <c r="KL89" s="19"/>
      <c r="KM89" s="19"/>
      <c r="KN89" s="19"/>
      <c r="KO89" s="19"/>
      <c r="KQ89" s="8"/>
      <c r="KR89" s="7"/>
      <c r="KS89" s="19"/>
      <c r="KT89" s="19"/>
      <c r="KU89" s="19"/>
      <c r="KV89" s="19"/>
      <c r="KX89" s="8"/>
      <c r="KY89" s="7"/>
      <c r="KZ89" s="19"/>
      <c r="LA89" s="19"/>
      <c r="LB89" s="19"/>
      <c r="LC89" s="19"/>
      <c r="LE89" s="8"/>
      <c r="LF89" s="7"/>
      <c r="LG89" s="19"/>
      <c r="LH89" s="19"/>
      <c r="LI89" s="19"/>
      <c r="LJ89" s="19"/>
      <c r="LL89" s="8"/>
      <c r="LM89" s="7"/>
      <c r="LN89" s="19"/>
      <c r="LO89" s="19"/>
      <c r="LP89" s="19"/>
      <c r="LQ89" s="19"/>
      <c r="LS89" s="8"/>
      <c r="LT89" s="7"/>
      <c r="LU89" s="19"/>
      <c r="LV89" s="19"/>
      <c r="LW89" s="19"/>
      <c r="LX89" s="19"/>
      <c r="LZ89" s="8"/>
      <c r="MA89" s="7"/>
      <c r="MB89" s="19"/>
      <c r="MC89" s="19"/>
      <c r="MD89" s="19"/>
      <c r="ME89" s="19"/>
      <c r="MG89" s="8"/>
      <c r="MH89" s="7"/>
      <c r="MI89" s="19"/>
      <c r="MJ89" s="19"/>
      <c r="MK89" s="19"/>
      <c r="ML89" s="19"/>
      <c r="MN89" s="8"/>
      <c r="MO89" s="7"/>
      <c r="MP89" s="19"/>
      <c r="MQ89" s="19"/>
      <c r="MR89" s="19"/>
      <c r="MS89" s="19"/>
      <c r="MU89" s="8"/>
      <c r="MV89" s="7"/>
      <c r="MW89" s="19"/>
      <c r="MX89" s="19"/>
      <c r="MY89" s="19"/>
      <c r="MZ89" s="19"/>
      <c r="NB89" s="8"/>
      <c r="NC89" s="7"/>
      <c r="ND89" s="19"/>
      <c r="NE89" s="19"/>
      <c r="NF89" s="19"/>
      <c r="NG89" s="19"/>
      <c r="NI89" s="8"/>
      <c r="NJ89" s="7"/>
      <c r="NK89" s="19"/>
      <c r="NL89" s="19"/>
      <c r="NM89" s="19"/>
      <c r="NN89" s="19"/>
      <c r="NP89" s="8"/>
      <c r="NQ89" s="7"/>
      <c r="NR89" s="19"/>
      <c r="NS89" s="19"/>
      <c r="NT89" s="19"/>
      <c r="NU89" s="19"/>
      <c r="NW89" s="8"/>
      <c r="NX89" s="7"/>
      <c r="NY89" s="19"/>
      <c r="NZ89" s="19"/>
      <c r="OA89" s="19"/>
      <c r="OB89" s="19"/>
      <c r="OD89" s="8"/>
      <c r="OE89" s="7"/>
      <c r="OF89" s="19"/>
      <c r="OG89" s="19"/>
      <c r="OH89" s="19"/>
      <c r="OI89" s="19"/>
      <c r="OK89" s="8"/>
      <c r="OL89" s="7"/>
      <c r="OM89" s="19"/>
      <c r="ON89" s="19"/>
      <c r="OO89" s="19"/>
      <c r="OP89" s="19"/>
      <c r="OR89" s="8"/>
      <c r="OS89" s="7"/>
      <c r="OT89" s="19"/>
      <c r="OU89" s="19"/>
      <c r="OV89" s="19"/>
      <c r="OW89" s="19"/>
      <c r="OY89" s="8"/>
      <c r="OZ89" s="7"/>
      <c r="PA89" s="19"/>
      <c r="PB89" s="19"/>
      <c r="PC89" s="19"/>
      <c r="PD89" s="19"/>
      <c r="PF89" s="8"/>
      <c r="PG89" s="7"/>
      <c r="PH89" s="19"/>
      <c r="PI89" s="19"/>
      <c r="PJ89" s="19"/>
      <c r="PK89" s="19"/>
      <c r="PM89" s="8"/>
    </row>
    <row r="90" spans="1:429" s="1" customFormat="1" ht="26" customHeight="1" outlineLevel="1">
      <c r="B90" s="471"/>
      <c r="C90" s="7"/>
      <c r="D90" s="19"/>
      <c r="E90" s="19"/>
      <c r="F90" s="19"/>
      <c r="G90" s="19"/>
      <c r="I90" s="8"/>
      <c r="J90" s="7"/>
      <c r="K90" s="19"/>
      <c r="L90" s="19"/>
      <c r="M90" s="19"/>
      <c r="N90" s="19"/>
      <c r="P90" s="8"/>
      <c r="Q90" s="7"/>
      <c r="R90" s="19"/>
      <c r="S90" s="19"/>
      <c r="T90" s="19"/>
      <c r="U90" s="19"/>
      <c r="W90" s="8"/>
      <c r="X90" s="7"/>
      <c r="Y90" s="19"/>
      <c r="Z90" s="19"/>
      <c r="AA90" s="19"/>
      <c r="AB90" s="19"/>
      <c r="AD90" s="8"/>
      <c r="AE90" s="7"/>
      <c r="AF90" s="19"/>
      <c r="AG90" s="19"/>
      <c r="AH90" s="19"/>
      <c r="AI90" s="19"/>
      <c r="AK90" s="8"/>
      <c r="AL90" s="7"/>
      <c r="AM90" s="19"/>
      <c r="AN90" s="19"/>
      <c r="AO90" s="19"/>
      <c r="AP90" s="19"/>
      <c r="AR90" s="8"/>
      <c r="AS90" s="7"/>
      <c r="AT90" s="19"/>
      <c r="AU90" s="19"/>
      <c r="AV90" s="19"/>
      <c r="AW90" s="19"/>
      <c r="AY90" s="8"/>
      <c r="AZ90" s="7"/>
      <c r="BA90" s="19"/>
      <c r="BB90" s="19"/>
      <c r="BC90" s="19"/>
      <c r="BD90" s="19"/>
      <c r="BF90" s="8"/>
      <c r="BG90" s="7"/>
      <c r="BH90" s="19"/>
      <c r="BI90" s="19"/>
      <c r="BJ90" s="19"/>
      <c r="BK90" s="19"/>
      <c r="BM90" s="8"/>
      <c r="BN90" s="7"/>
      <c r="BO90" s="19"/>
      <c r="BP90" s="19"/>
      <c r="BQ90" s="19"/>
      <c r="BR90" s="19"/>
      <c r="BT90" s="8"/>
      <c r="BU90" s="7"/>
      <c r="BV90" s="19"/>
      <c r="BW90" s="19"/>
      <c r="BX90" s="19"/>
      <c r="BY90" s="19"/>
      <c r="CA90" s="8"/>
      <c r="CB90" s="7"/>
      <c r="CC90" s="19"/>
      <c r="CD90" s="19"/>
      <c r="CE90" s="19"/>
      <c r="CF90" s="19"/>
      <c r="CH90" s="8"/>
      <c r="CI90" s="7"/>
      <c r="CJ90" s="19"/>
      <c r="CK90" s="19"/>
      <c r="CL90" s="19"/>
      <c r="CM90" s="19"/>
      <c r="CO90" s="8"/>
      <c r="CP90" s="7"/>
      <c r="CQ90" s="19"/>
      <c r="CR90" s="19"/>
      <c r="CS90" s="19"/>
      <c r="CT90" s="19"/>
      <c r="CV90" s="8"/>
      <c r="CW90" s="7"/>
      <c r="CX90" s="19"/>
      <c r="CY90" s="19"/>
      <c r="CZ90" s="19"/>
      <c r="DA90" s="19"/>
      <c r="DC90" s="8"/>
      <c r="DD90" s="7"/>
      <c r="DE90" s="19"/>
      <c r="DF90" s="19"/>
      <c r="DG90" s="19"/>
      <c r="DH90" s="19"/>
      <c r="DJ90" s="8"/>
      <c r="DK90" s="7"/>
      <c r="DL90" s="19"/>
      <c r="DM90" s="19"/>
      <c r="DN90" s="19"/>
      <c r="DO90" s="19"/>
      <c r="DQ90" s="8"/>
      <c r="DR90" s="7"/>
      <c r="DS90" s="19"/>
      <c r="DT90" s="19"/>
      <c r="DU90" s="19"/>
      <c r="DV90" s="19"/>
      <c r="DX90" s="8"/>
      <c r="DY90" s="7"/>
      <c r="DZ90" s="19"/>
      <c r="EA90" s="19"/>
      <c r="EB90" s="19"/>
      <c r="EC90" s="19"/>
      <c r="EE90" s="8"/>
      <c r="EF90" s="7"/>
      <c r="EG90" s="19"/>
      <c r="EH90" s="19"/>
      <c r="EI90" s="19"/>
      <c r="EJ90" s="19"/>
      <c r="EL90" s="8"/>
      <c r="EM90" s="7"/>
      <c r="EN90" s="19"/>
      <c r="EO90" s="19"/>
      <c r="EP90" s="19"/>
      <c r="EQ90" s="19"/>
      <c r="ES90" s="8"/>
      <c r="ET90" s="7"/>
      <c r="EU90" s="19"/>
      <c r="EV90" s="19"/>
      <c r="EW90" s="19"/>
      <c r="EX90" s="19"/>
      <c r="EZ90" s="8"/>
      <c r="FA90" s="7"/>
      <c r="FB90" s="19"/>
      <c r="FC90" s="19"/>
      <c r="FD90" s="19"/>
      <c r="FE90" s="19"/>
      <c r="FG90" s="8"/>
      <c r="FH90" s="7"/>
      <c r="FI90" s="19"/>
      <c r="FJ90" s="19"/>
      <c r="FK90" s="19"/>
      <c r="FL90" s="19"/>
      <c r="FN90" s="8"/>
      <c r="FO90" s="7"/>
      <c r="FP90" s="19"/>
      <c r="FQ90" s="19"/>
      <c r="FR90" s="19"/>
      <c r="FS90" s="19"/>
      <c r="FU90" s="8"/>
      <c r="FV90" s="7"/>
      <c r="FW90" s="19"/>
      <c r="FX90" s="19"/>
      <c r="FY90" s="19"/>
      <c r="FZ90" s="19"/>
      <c r="GB90" s="8"/>
      <c r="GC90" s="7"/>
      <c r="GD90" s="19"/>
      <c r="GE90" s="19"/>
      <c r="GF90" s="19"/>
      <c r="GG90" s="19"/>
      <c r="GI90" s="8"/>
      <c r="GJ90" s="7"/>
      <c r="GK90" s="19"/>
      <c r="GL90" s="19"/>
      <c r="GM90" s="19"/>
      <c r="GN90" s="19"/>
      <c r="GP90" s="8"/>
      <c r="GQ90" s="7"/>
      <c r="GR90" s="19"/>
      <c r="GS90" s="19"/>
      <c r="GT90" s="19"/>
      <c r="GU90" s="19"/>
      <c r="GW90" s="8"/>
      <c r="GX90" s="7"/>
      <c r="GY90" s="19"/>
      <c r="GZ90" s="19"/>
      <c r="HA90" s="19"/>
      <c r="HB90" s="19"/>
      <c r="HD90" s="8"/>
      <c r="HE90" s="7"/>
      <c r="HF90" s="19"/>
      <c r="HG90" s="19"/>
      <c r="HH90" s="19"/>
      <c r="HI90" s="19"/>
      <c r="HK90" s="8"/>
      <c r="HL90" s="7"/>
      <c r="HM90" s="19"/>
      <c r="HN90" s="19"/>
      <c r="HO90" s="19"/>
      <c r="HP90" s="19"/>
      <c r="HR90" s="8"/>
      <c r="HS90" s="7"/>
      <c r="HT90" s="19"/>
      <c r="HU90" s="19"/>
      <c r="HV90" s="19"/>
      <c r="HW90" s="19"/>
      <c r="HY90" s="8"/>
      <c r="HZ90" s="7"/>
      <c r="IA90" s="19"/>
      <c r="IB90" s="19"/>
      <c r="IC90" s="19"/>
      <c r="ID90" s="19"/>
      <c r="IF90" s="8"/>
      <c r="IG90" s="7"/>
      <c r="IH90" s="19"/>
      <c r="II90" s="19"/>
      <c r="IJ90" s="19"/>
      <c r="IK90" s="19"/>
      <c r="IM90" s="8"/>
      <c r="IN90" s="7"/>
      <c r="IO90" s="19"/>
      <c r="IP90" s="19"/>
      <c r="IQ90" s="19"/>
      <c r="IR90" s="19"/>
      <c r="IT90" s="8"/>
      <c r="IU90" s="7"/>
      <c r="IV90" s="19"/>
      <c r="IW90" s="19"/>
      <c r="IX90" s="19"/>
      <c r="IY90" s="19"/>
      <c r="JA90" s="8"/>
      <c r="JB90" s="7"/>
      <c r="JC90" s="19"/>
      <c r="JD90" s="19"/>
      <c r="JE90" s="19"/>
      <c r="JF90" s="19"/>
      <c r="JH90" s="8"/>
      <c r="JI90" s="7"/>
      <c r="JJ90" s="19"/>
      <c r="JK90" s="19"/>
      <c r="JL90" s="19"/>
      <c r="JM90" s="19"/>
      <c r="JO90" s="8"/>
      <c r="JP90" s="7"/>
      <c r="JQ90" s="19"/>
      <c r="JR90" s="19"/>
      <c r="JS90" s="19"/>
      <c r="JT90" s="19"/>
      <c r="JV90" s="8"/>
      <c r="JW90" s="7"/>
      <c r="JX90" s="19"/>
      <c r="JY90" s="19"/>
      <c r="JZ90" s="19"/>
      <c r="KA90" s="19"/>
      <c r="KC90" s="8"/>
      <c r="KD90" s="7"/>
      <c r="KE90" s="19"/>
      <c r="KF90" s="19"/>
      <c r="KG90" s="19"/>
      <c r="KH90" s="19"/>
      <c r="KJ90" s="8"/>
      <c r="KK90" s="7"/>
      <c r="KL90" s="19"/>
      <c r="KM90" s="19"/>
      <c r="KN90" s="19"/>
      <c r="KO90" s="19"/>
      <c r="KQ90" s="8"/>
      <c r="KR90" s="7"/>
      <c r="KS90" s="19"/>
      <c r="KT90" s="19"/>
      <c r="KU90" s="19"/>
      <c r="KV90" s="19"/>
      <c r="KX90" s="8"/>
      <c r="KY90" s="7"/>
      <c r="KZ90" s="19"/>
      <c r="LA90" s="19"/>
      <c r="LB90" s="19"/>
      <c r="LC90" s="19"/>
      <c r="LE90" s="8"/>
      <c r="LF90" s="7"/>
      <c r="LG90" s="19"/>
      <c r="LH90" s="19"/>
      <c r="LI90" s="19"/>
      <c r="LJ90" s="19"/>
      <c r="LL90" s="8"/>
      <c r="LM90" s="7"/>
      <c r="LN90" s="19"/>
      <c r="LO90" s="19"/>
      <c r="LP90" s="19"/>
      <c r="LQ90" s="19"/>
      <c r="LS90" s="8"/>
      <c r="LT90" s="7"/>
      <c r="LU90" s="19"/>
      <c r="LV90" s="19"/>
      <c r="LW90" s="19"/>
      <c r="LX90" s="19"/>
      <c r="LZ90" s="8"/>
      <c r="MA90" s="7"/>
      <c r="MB90" s="19"/>
      <c r="MC90" s="19"/>
      <c r="MD90" s="19"/>
      <c r="ME90" s="19"/>
      <c r="MG90" s="8"/>
      <c r="MH90" s="7"/>
      <c r="MI90" s="19"/>
      <c r="MJ90" s="19"/>
      <c r="MK90" s="19"/>
      <c r="ML90" s="19"/>
      <c r="MN90" s="8"/>
      <c r="MO90" s="7"/>
      <c r="MP90" s="19"/>
      <c r="MQ90" s="19"/>
      <c r="MR90" s="19"/>
      <c r="MS90" s="19"/>
      <c r="MU90" s="8"/>
      <c r="MV90" s="7"/>
      <c r="MW90" s="19"/>
      <c r="MX90" s="19"/>
      <c r="MY90" s="19"/>
      <c r="MZ90" s="19"/>
      <c r="NB90" s="8"/>
      <c r="NC90" s="7"/>
      <c r="ND90" s="19"/>
      <c r="NE90" s="19"/>
      <c r="NF90" s="19"/>
      <c r="NG90" s="19"/>
      <c r="NI90" s="8"/>
      <c r="NJ90" s="7"/>
      <c r="NK90" s="19"/>
      <c r="NL90" s="19"/>
      <c r="NM90" s="19"/>
      <c r="NN90" s="19"/>
      <c r="NP90" s="8"/>
      <c r="NQ90" s="7"/>
      <c r="NR90" s="19"/>
      <c r="NS90" s="19"/>
      <c r="NT90" s="19"/>
      <c r="NU90" s="19"/>
      <c r="NW90" s="8"/>
      <c r="NX90" s="7"/>
      <c r="NY90" s="19"/>
      <c r="NZ90" s="19"/>
      <c r="OA90" s="19"/>
      <c r="OB90" s="19"/>
      <c r="OD90" s="8"/>
      <c r="OE90" s="7"/>
      <c r="OF90" s="19"/>
      <c r="OG90" s="19"/>
      <c r="OH90" s="19"/>
      <c r="OI90" s="19"/>
      <c r="OK90" s="8"/>
      <c r="OL90" s="7"/>
      <c r="OM90" s="19"/>
      <c r="ON90" s="19"/>
      <c r="OO90" s="19"/>
      <c r="OP90" s="19"/>
      <c r="OR90" s="8"/>
      <c r="OS90" s="7"/>
      <c r="OT90" s="19"/>
      <c r="OU90" s="19"/>
      <c r="OV90" s="19"/>
      <c r="OW90" s="19"/>
      <c r="OY90" s="8"/>
      <c r="OZ90" s="7"/>
      <c r="PA90" s="19"/>
      <c r="PB90" s="19"/>
      <c r="PC90" s="19"/>
      <c r="PD90" s="19"/>
      <c r="PF90" s="8"/>
      <c r="PG90" s="7"/>
      <c r="PH90" s="19"/>
      <c r="PI90" s="19"/>
      <c r="PJ90" s="19"/>
      <c r="PK90" s="19"/>
      <c r="PM90" s="8"/>
    </row>
    <row r="91" spans="1:429" s="1" customFormat="1" ht="26" customHeight="1" outlineLevel="1">
      <c r="B91" s="471"/>
      <c r="C91" s="7"/>
      <c r="D91" s="19"/>
      <c r="E91" s="19"/>
      <c r="F91" s="19"/>
      <c r="G91" s="19"/>
      <c r="I91" s="8"/>
      <c r="J91" s="7"/>
      <c r="K91" s="19"/>
      <c r="L91" s="19"/>
      <c r="M91" s="19"/>
      <c r="N91" s="19"/>
      <c r="P91" s="8"/>
      <c r="Q91" s="7"/>
      <c r="R91" s="19"/>
      <c r="S91" s="19"/>
      <c r="T91" s="19"/>
      <c r="U91" s="19"/>
      <c r="W91" s="8"/>
      <c r="X91" s="7"/>
      <c r="Y91" s="19"/>
      <c r="Z91" s="19"/>
      <c r="AA91" s="19"/>
      <c r="AB91" s="19"/>
      <c r="AD91" s="8"/>
      <c r="AE91" s="7"/>
      <c r="AF91" s="19"/>
      <c r="AG91" s="19"/>
      <c r="AH91" s="19"/>
      <c r="AI91" s="19"/>
      <c r="AK91" s="8"/>
      <c r="AL91" s="7"/>
      <c r="AM91" s="19"/>
      <c r="AN91" s="19"/>
      <c r="AO91" s="19"/>
      <c r="AP91" s="19"/>
      <c r="AR91" s="8"/>
      <c r="AS91" s="7"/>
      <c r="AT91" s="19"/>
      <c r="AU91" s="19"/>
      <c r="AV91" s="19"/>
      <c r="AW91" s="19"/>
      <c r="AY91" s="8"/>
      <c r="AZ91" s="7"/>
      <c r="BA91" s="19"/>
      <c r="BB91" s="19"/>
      <c r="BC91" s="19"/>
      <c r="BD91" s="19"/>
      <c r="BF91" s="8"/>
      <c r="BG91" s="7"/>
      <c r="BH91" s="19"/>
      <c r="BI91" s="19"/>
      <c r="BJ91" s="19"/>
      <c r="BK91" s="19"/>
      <c r="BM91" s="8"/>
      <c r="BN91" s="7"/>
      <c r="BO91" s="19"/>
      <c r="BP91" s="19"/>
      <c r="BQ91" s="19"/>
      <c r="BR91" s="19"/>
      <c r="BT91" s="8"/>
      <c r="BU91" s="7"/>
      <c r="BV91" s="19"/>
      <c r="BW91" s="19"/>
      <c r="BX91" s="19"/>
      <c r="BY91" s="19"/>
      <c r="CA91" s="8"/>
      <c r="CB91" s="7"/>
      <c r="CC91" s="19"/>
      <c r="CD91" s="19"/>
      <c r="CE91" s="19"/>
      <c r="CF91" s="19"/>
      <c r="CH91" s="8"/>
      <c r="CI91" s="7"/>
      <c r="CJ91" s="19"/>
      <c r="CK91" s="19"/>
      <c r="CL91" s="19"/>
      <c r="CM91" s="19"/>
      <c r="CO91" s="8"/>
      <c r="CP91" s="7"/>
      <c r="CQ91" s="19"/>
      <c r="CR91" s="19"/>
      <c r="CS91" s="19"/>
      <c r="CT91" s="19"/>
      <c r="CV91" s="8"/>
      <c r="CW91" s="7"/>
      <c r="CX91" s="19"/>
      <c r="CY91" s="19"/>
      <c r="CZ91" s="19"/>
      <c r="DA91" s="19"/>
      <c r="DC91" s="8"/>
      <c r="DD91" s="7"/>
      <c r="DE91" s="19"/>
      <c r="DF91" s="19"/>
      <c r="DG91" s="19"/>
      <c r="DH91" s="19"/>
      <c r="DJ91" s="8"/>
      <c r="DK91" s="7"/>
      <c r="DL91" s="19"/>
      <c r="DM91" s="19"/>
      <c r="DN91" s="19"/>
      <c r="DO91" s="19"/>
      <c r="DQ91" s="8"/>
      <c r="DR91" s="7"/>
      <c r="DS91" s="19"/>
      <c r="DT91" s="19"/>
      <c r="DU91" s="19"/>
      <c r="DV91" s="19"/>
      <c r="DX91" s="8"/>
      <c r="DY91" s="7"/>
      <c r="DZ91" s="19"/>
      <c r="EA91" s="19"/>
      <c r="EB91" s="19"/>
      <c r="EC91" s="19"/>
      <c r="EE91" s="8"/>
      <c r="EF91" s="7"/>
      <c r="EG91" s="19"/>
      <c r="EH91" s="19"/>
      <c r="EI91" s="19"/>
      <c r="EJ91" s="19"/>
      <c r="EL91" s="8"/>
      <c r="EM91" s="7"/>
      <c r="EN91" s="19"/>
      <c r="EO91" s="19"/>
      <c r="EP91" s="19"/>
      <c r="EQ91" s="19"/>
      <c r="ES91" s="8"/>
      <c r="ET91" s="7"/>
      <c r="EU91" s="19"/>
      <c r="EV91" s="19"/>
      <c r="EW91" s="19"/>
      <c r="EX91" s="19"/>
      <c r="EZ91" s="8"/>
      <c r="FA91" s="7"/>
      <c r="FB91" s="19"/>
      <c r="FC91" s="19"/>
      <c r="FD91" s="19"/>
      <c r="FE91" s="19"/>
      <c r="FG91" s="8"/>
      <c r="FH91" s="7"/>
      <c r="FI91" s="19"/>
      <c r="FJ91" s="19"/>
      <c r="FK91" s="19"/>
      <c r="FL91" s="19"/>
      <c r="FN91" s="8"/>
      <c r="FO91" s="7"/>
      <c r="FP91" s="19"/>
      <c r="FQ91" s="19"/>
      <c r="FR91" s="19"/>
      <c r="FS91" s="19"/>
      <c r="FU91" s="8"/>
      <c r="FV91" s="7"/>
      <c r="FW91" s="19"/>
      <c r="FX91" s="19"/>
      <c r="FY91" s="19"/>
      <c r="FZ91" s="19"/>
      <c r="GB91" s="8"/>
      <c r="GC91" s="7"/>
      <c r="GD91" s="19"/>
      <c r="GE91" s="19"/>
      <c r="GF91" s="19"/>
      <c r="GG91" s="19"/>
      <c r="GI91" s="8"/>
      <c r="GJ91" s="7"/>
      <c r="GK91" s="19"/>
      <c r="GL91" s="19"/>
      <c r="GM91" s="19"/>
      <c r="GN91" s="19"/>
      <c r="GP91" s="8"/>
      <c r="GQ91" s="7"/>
      <c r="GR91" s="19"/>
      <c r="GS91" s="19"/>
      <c r="GT91" s="19"/>
      <c r="GU91" s="19"/>
      <c r="GW91" s="8"/>
      <c r="GX91" s="7"/>
      <c r="GY91" s="19"/>
      <c r="GZ91" s="19"/>
      <c r="HA91" s="19"/>
      <c r="HB91" s="19"/>
      <c r="HD91" s="8"/>
      <c r="HE91" s="7"/>
      <c r="HF91" s="19"/>
      <c r="HG91" s="19"/>
      <c r="HH91" s="19"/>
      <c r="HI91" s="19"/>
      <c r="HK91" s="8"/>
      <c r="HL91" s="7"/>
      <c r="HM91" s="19"/>
      <c r="HN91" s="19"/>
      <c r="HO91" s="19"/>
      <c r="HP91" s="19"/>
      <c r="HR91" s="8"/>
      <c r="HS91" s="7"/>
      <c r="HT91" s="19"/>
      <c r="HU91" s="19"/>
      <c r="HV91" s="19"/>
      <c r="HW91" s="19"/>
      <c r="HY91" s="8"/>
      <c r="HZ91" s="7"/>
      <c r="IA91" s="19"/>
      <c r="IB91" s="19"/>
      <c r="IC91" s="19"/>
      <c r="ID91" s="19"/>
      <c r="IF91" s="8"/>
      <c r="IG91" s="7"/>
      <c r="IH91" s="19"/>
      <c r="II91" s="19"/>
      <c r="IJ91" s="19"/>
      <c r="IK91" s="19"/>
      <c r="IM91" s="8"/>
      <c r="IN91" s="7"/>
      <c r="IO91" s="19"/>
      <c r="IP91" s="19"/>
      <c r="IQ91" s="19"/>
      <c r="IR91" s="19"/>
      <c r="IT91" s="8"/>
      <c r="IU91" s="7"/>
      <c r="IV91" s="19"/>
      <c r="IW91" s="19"/>
      <c r="IX91" s="19"/>
      <c r="IY91" s="19"/>
      <c r="JA91" s="8"/>
      <c r="JB91" s="7"/>
      <c r="JC91" s="19"/>
      <c r="JD91" s="19"/>
      <c r="JE91" s="19"/>
      <c r="JF91" s="19"/>
      <c r="JH91" s="8"/>
      <c r="JI91" s="7"/>
      <c r="JJ91" s="19"/>
      <c r="JK91" s="19"/>
      <c r="JL91" s="19"/>
      <c r="JM91" s="19"/>
      <c r="JO91" s="8"/>
      <c r="JP91" s="7"/>
      <c r="JQ91" s="19"/>
      <c r="JR91" s="19"/>
      <c r="JS91" s="19"/>
      <c r="JT91" s="19"/>
      <c r="JV91" s="8"/>
      <c r="JW91" s="7"/>
      <c r="JX91" s="19"/>
      <c r="JY91" s="19"/>
      <c r="JZ91" s="19"/>
      <c r="KA91" s="19"/>
      <c r="KC91" s="8"/>
      <c r="KD91" s="7"/>
      <c r="KE91" s="19"/>
      <c r="KF91" s="19"/>
      <c r="KG91" s="19"/>
      <c r="KH91" s="19"/>
      <c r="KJ91" s="8"/>
      <c r="KK91" s="7"/>
      <c r="KL91" s="19"/>
      <c r="KM91" s="19"/>
      <c r="KN91" s="19"/>
      <c r="KO91" s="19"/>
      <c r="KQ91" s="8"/>
      <c r="KR91" s="7"/>
      <c r="KS91" s="19"/>
      <c r="KT91" s="19"/>
      <c r="KU91" s="19"/>
      <c r="KV91" s="19"/>
      <c r="KX91" s="8"/>
      <c r="KY91" s="7"/>
      <c r="KZ91" s="19"/>
      <c r="LA91" s="19"/>
      <c r="LB91" s="19"/>
      <c r="LC91" s="19"/>
      <c r="LE91" s="8"/>
      <c r="LF91" s="7"/>
      <c r="LG91" s="19"/>
      <c r="LH91" s="19"/>
      <c r="LI91" s="19"/>
      <c r="LJ91" s="19"/>
      <c r="LL91" s="8"/>
      <c r="LM91" s="7"/>
      <c r="LN91" s="19"/>
      <c r="LO91" s="19"/>
      <c r="LP91" s="19"/>
      <c r="LQ91" s="19"/>
      <c r="LS91" s="8"/>
      <c r="LT91" s="7"/>
      <c r="LU91" s="19"/>
      <c r="LV91" s="19"/>
      <c r="LW91" s="19"/>
      <c r="LX91" s="19"/>
      <c r="LZ91" s="8"/>
      <c r="MA91" s="7"/>
      <c r="MB91" s="19"/>
      <c r="MC91" s="19"/>
      <c r="MD91" s="19"/>
      <c r="ME91" s="19"/>
      <c r="MG91" s="8"/>
      <c r="MH91" s="7"/>
      <c r="MI91" s="19"/>
      <c r="MJ91" s="19"/>
      <c r="MK91" s="19"/>
      <c r="ML91" s="19"/>
      <c r="MN91" s="8"/>
      <c r="MO91" s="7"/>
      <c r="MP91" s="19"/>
      <c r="MQ91" s="19"/>
      <c r="MR91" s="19"/>
      <c r="MS91" s="19"/>
      <c r="MU91" s="8"/>
      <c r="MV91" s="7"/>
      <c r="MW91" s="19"/>
      <c r="MX91" s="19"/>
      <c r="MY91" s="19"/>
      <c r="MZ91" s="19"/>
      <c r="NB91" s="8"/>
      <c r="NC91" s="7"/>
      <c r="ND91" s="19"/>
      <c r="NE91" s="19"/>
      <c r="NF91" s="19"/>
      <c r="NG91" s="19"/>
      <c r="NI91" s="8"/>
      <c r="NJ91" s="7"/>
      <c r="NK91" s="19"/>
      <c r="NL91" s="19"/>
      <c r="NM91" s="19"/>
      <c r="NN91" s="19"/>
      <c r="NP91" s="8"/>
      <c r="NQ91" s="7"/>
      <c r="NR91" s="19"/>
      <c r="NS91" s="19"/>
      <c r="NT91" s="19"/>
      <c r="NU91" s="19"/>
      <c r="NW91" s="8"/>
      <c r="NX91" s="7"/>
      <c r="NY91" s="19"/>
      <c r="NZ91" s="19"/>
      <c r="OA91" s="19"/>
      <c r="OB91" s="19"/>
      <c r="OD91" s="8"/>
      <c r="OE91" s="7"/>
      <c r="OF91" s="19"/>
      <c r="OG91" s="19"/>
      <c r="OH91" s="19"/>
      <c r="OI91" s="19"/>
      <c r="OK91" s="8"/>
      <c r="OL91" s="7"/>
      <c r="OM91" s="19"/>
      <c r="ON91" s="19"/>
      <c r="OO91" s="19"/>
      <c r="OP91" s="19"/>
      <c r="OR91" s="8"/>
      <c r="OS91" s="7"/>
      <c r="OT91" s="19"/>
      <c r="OU91" s="19"/>
      <c r="OV91" s="19"/>
      <c r="OW91" s="19"/>
      <c r="OY91" s="8"/>
      <c r="OZ91" s="7"/>
      <c r="PA91" s="19"/>
      <c r="PB91" s="19"/>
      <c r="PC91" s="19"/>
      <c r="PD91" s="19"/>
      <c r="PF91" s="8"/>
      <c r="PG91" s="7"/>
      <c r="PH91" s="19"/>
      <c r="PI91" s="19"/>
      <c r="PJ91" s="19"/>
      <c r="PK91" s="19"/>
      <c r="PM91" s="8"/>
    </row>
    <row r="92" spans="1:429" s="1" customFormat="1" ht="26" customHeight="1" outlineLevel="1">
      <c r="B92" s="471"/>
      <c r="C92" s="7"/>
      <c r="D92" s="19"/>
      <c r="E92" s="19"/>
      <c r="F92" s="19"/>
      <c r="G92" s="19"/>
      <c r="I92" s="8"/>
      <c r="J92" s="7"/>
      <c r="K92" s="19"/>
      <c r="L92" s="19"/>
      <c r="M92" s="19"/>
      <c r="N92" s="19"/>
      <c r="P92" s="8"/>
      <c r="Q92" s="7"/>
      <c r="R92" s="19"/>
      <c r="S92" s="19"/>
      <c r="T92" s="19"/>
      <c r="U92" s="19"/>
      <c r="W92" s="8"/>
      <c r="X92" s="7"/>
      <c r="Y92" s="19"/>
      <c r="Z92" s="19"/>
      <c r="AA92" s="19"/>
      <c r="AB92" s="19"/>
      <c r="AD92" s="8"/>
      <c r="AE92" s="7"/>
      <c r="AF92" s="19"/>
      <c r="AG92" s="19"/>
      <c r="AH92" s="19"/>
      <c r="AI92" s="19"/>
      <c r="AK92" s="8"/>
      <c r="AL92" s="7"/>
      <c r="AM92" s="19"/>
      <c r="AN92" s="19"/>
      <c r="AO92" s="19"/>
      <c r="AP92" s="19"/>
      <c r="AR92" s="8"/>
      <c r="AS92" s="7"/>
      <c r="AT92" s="19"/>
      <c r="AU92" s="19"/>
      <c r="AV92" s="19"/>
      <c r="AW92" s="19"/>
      <c r="AY92" s="8"/>
      <c r="AZ92" s="7"/>
      <c r="BA92" s="19"/>
      <c r="BB92" s="19"/>
      <c r="BC92" s="19"/>
      <c r="BD92" s="19"/>
      <c r="BF92" s="8"/>
      <c r="BG92" s="7"/>
      <c r="BH92" s="19"/>
      <c r="BI92" s="19"/>
      <c r="BJ92" s="19"/>
      <c r="BK92" s="19"/>
      <c r="BM92" s="8"/>
      <c r="BN92" s="7"/>
      <c r="BO92" s="19"/>
      <c r="BP92" s="19"/>
      <c r="BQ92" s="19"/>
      <c r="BR92" s="19"/>
      <c r="BT92" s="8"/>
      <c r="BU92" s="7"/>
      <c r="BV92" s="19"/>
      <c r="BW92" s="19"/>
      <c r="BX92" s="19"/>
      <c r="BY92" s="19"/>
      <c r="CA92" s="8"/>
      <c r="CB92" s="7"/>
      <c r="CC92" s="19"/>
      <c r="CD92" s="19"/>
      <c r="CE92" s="19"/>
      <c r="CF92" s="19"/>
      <c r="CH92" s="8"/>
      <c r="CI92" s="7"/>
      <c r="CJ92" s="19"/>
      <c r="CK92" s="19"/>
      <c r="CL92" s="19"/>
      <c r="CM92" s="19"/>
      <c r="CO92" s="8"/>
      <c r="CP92" s="7"/>
      <c r="CQ92" s="19"/>
      <c r="CR92" s="19"/>
      <c r="CS92" s="19"/>
      <c r="CT92" s="19"/>
      <c r="CV92" s="8"/>
      <c r="CW92" s="7"/>
      <c r="CX92" s="19"/>
      <c r="CY92" s="19"/>
      <c r="CZ92" s="19"/>
      <c r="DA92" s="19"/>
      <c r="DC92" s="8"/>
      <c r="DD92" s="7"/>
      <c r="DE92" s="19"/>
      <c r="DF92" s="19"/>
      <c r="DG92" s="19"/>
      <c r="DH92" s="19"/>
      <c r="DJ92" s="8"/>
      <c r="DK92" s="7"/>
      <c r="DL92" s="19"/>
      <c r="DM92" s="19"/>
      <c r="DN92" s="19"/>
      <c r="DO92" s="19"/>
      <c r="DQ92" s="8"/>
      <c r="DR92" s="7"/>
      <c r="DS92" s="19"/>
      <c r="DT92" s="19"/>
      <c r="DU92" s="19"/>
      <c r="DV92" s="19"/>
      <c r="DX92" s="8"/>
      <c r="DY92" s="7"/>
      <c r="DZ92" s="19"/>
      <c r="EA92" s="19"/>
      <c r="EB92" s="19"/>
      <c r="EC92" s="19"/>
      <c r="EE92" s="8"/>
      <c r="EF92" s="7"/>
      <c r="EG92" s="19"/>
      <c r="EH92" s="19"/>
      <c r="EI92" s="19"/>
      <c r="EJ92" s="19"/>
      <c r="EL92" s="8"/>
      <c r="EM92" s="7"/>
      <c r="EN92" s="19"/>
      <c r="EO92" s="19"/>
      <c r="EP92" s="19"/>
      <c r="EQ92" s="19"/>
      <c r="ES92" s="8"/>
      <c r="ET92" s="7"/>
      <c r="EU92" s="19"/>
      <c r="EV92" s="19"/>
      <c r="EW92" s="19"/>
      <c r="EX92" s="19"/>
      <c r="EZ92" s="8"/>
      <c r="FA92" s="7"/>
      <c r="FB92" s="19"/>
      <c r="FC92" s="19"/>
      <c r="FD92" s="19"/>
      <c r="FE92" s="19"/>
      <c r="FG92" s="8"/>
      <c r="FH92" s="7"/>
      <c r="FI92" s="19"/>
      <c r="FJ92" s="19"/>
      <c r="FK92" s="19"/>
      <c r="FL92" s="19"/>
      <c r="FN92" s="8"/>
      <c r="FO92" s="7"/>
      <c r="FP92" s="19"/>
      <c r="FQ92" s="19"/>
      <c r="FR92" s="19"/>
      <c r="FS92" s="19"/>
      <c r="FU92" s="8"/>
      <c r="FV92" s="7"/>
      <c r="FW92" s="19"/>
      <c r="FX92" s="19"/>
      <c r="FY92" s="19"/>
      <c r="FZ92" s="19"/>
      <c r="GB92" s="8"/>
      <c r="GC92" s="7"/>
      <c r="GD92" s="19"/>
      <c r="GE92" s="19"/>
      <c r="GF92" s="19"/>
      <c r="GG92" s="19"/>
      <c r="GI92" s="8"/>
      <c r="GJ92" s="7"/>
      <c r="GK92" s="19"/>
      <c r="GL92" s="19"/>
      <c r="GM92" s="19"/>
      <c r="GN92" s="19"/>
      <c r="GP92" s="8"/>
      <c r="GQ92" s="7"/>
      <c r="GR92" s="19"/>
      <c r="GS92" s="19"/>
      <c r="GT92" s="19"/>
      <c r="GU92" s="19"/>
      <c r="GW92" s="8"/>
      <c r="GX92" s="7"/>
      <c r="GY92" s="19"/>
      <c r="GZ92" s="19"/>
      <c r="HA92" s="19"/>
      <c r="HB92" s="19"/>
      <c r="HD92" s="8"/>
      <c r="HE92" s="7"/>
      <c r="HF92" s="19"/>
      <c r="HG92" s="19"/>
      <c r="HH92" s="19"/>
      <c r="HI92" s="19"/>
      <c r="HK92" s="8"/>
      <c r="HL92" s="7"/>
      <c r="HM92" s="19"/>
      <c r="HN92" s="19"/>
      <c r="HO92" s="19"/>
      <c r="HP92" s="19"/>
      <c r="HR92" s="8"/>
      <c r="HS92" s="7"/>
      <c r="HT92" s="19"/>
      <c r="HU92" s="19"/>
      <c r="HV92" s="19"/>
      <c r="HW92" s="19"/>
      <c r="HY92" s="8"/>
      <c r="HZ92" s="7"/>
      <c r="IA92" s="19"/>
      <c r="IB92" s="19"/>
      <c r="IC92" s="19"/>
      <c r="ID92" s="19"/>
      <c r="IF92" s="8"/>
      <c r="IG92" s="7"/>
      <c r="IH92" s="19"/>
      <c r="II92" s="19"/>
      <c r="IJ92" s="19"/>
      <c r="IK92" s="19"/>
      <c r="IM92" s="8"/>
      <c r="IN92" s="7"/>
      <c r="IO92" s="19"/>
      <c r="IP92" s="19"/>
      <c r="IQ92" s="19"/>
      <c r="IR92" s="19"/>
      <c r="IT92" s="8"/>
      <c r="IU92" s="7"/>
      <c r="IV92" s="19"/>
      <c r="IW92" s="19"/>
      <c r="IX92" s="19"/>
      <c r="IY92" s="19"/>
      <c r="JA92" s="8"/>
      <c r="JB92" s="7"/>
      <c r="JC92" s="19"/>
      <c r="JD92" s="19"/>
      <c r="JE92" s="19"/>
      <c r="JF92" s="19"/>
      <c r="JH92" s="8"/>
      <c r="JI92" s="7"/>
      <c r="JJ92" s="19"/>
      <c r="JK92" s="19"/>
      <c r="JL92" s="19"/>
      <c r="JM92" s="19"/>
      <c r="JO92" s="8"/>
      <c r="JP92" s="7"/>
      <c r="JQ92" s="19"/>
      <c r="JR92" s="19"/>
      <c r="JS92" s="19"/>
      <c r="JT92" s="19"/>
      <c r="JV92" s="8"/>
      <c r="JW92" s="7"/>
      <c r="JX92" s="19"/>
      <c r="JY92" s="19"/>
      <c r="JZ92" s="19"/>
      <c r="KA92" s="19"/>
      <c r="KC92" s="8"/>
      <c r="KD92" s="7"/>
      <c r="KE92" s="19"/>
      <c r="KF92" s="19"/>
      <c r="KG92" s="19"/>
      <c r="KH92" s="19"/>
      <c r="KJ92" s="8"/>
      <c r="KK92" s="7"/>
      <c r="KL92" s="19"/>
      <c r="KM92" s="19"/>
      <c r="KN92" s="19"/>
      <c r="KO92" s="19"/>
      <c r="KQ92" s="8"/>
      <c r="KR92" s="7"/>
      <c r="KS92" s="19"/>
      <c r="KT92" s="19"/>
      <c r="KU92" s="19"/>
      <c r="KV92" s="19"/>
      <c r="KX92" s="8"/>
      <c r="KY92" s="7"/>
      <c r="KZ92" s="19"/>
      <c r="LA92" s="19"/>
      <c r="LB92" s="19"/>
      <c r="LC92" s="19"/>
      <c r="LE92" s="8"/>
      <c r="LF92" s="7"/>
      <c r="LG92" s="19"/>
      <c r="LH92" s="19"/>
      <c r="LI92" s="19"/>
      <c r="LJ92" s="19"/>
      <c r="LL92" s="8"/>
      <c r="LM92" s="7"/>
      <c r="LN92" s="19"/>
      <c r="LO92" s="19"/>
      <c r="LP92" s="19"/>
      <c r="LQ92" s="19"/>
      <c r="LS92" s="8"/>
      <c r="LT92" s="7"/>
      <c r="LU92" s="19"/>
      <c r="LV92" s="19"/>
      <c r="LW92" s="19"/>
      <c r="LX92" s="19"/>
      <c r="LZ92" s="8"/>
      <c r="MA92" s="7"/>
      <c r="MB92" s="19"/>
      <c r="MC92" s="19"/>
      <c r="MD92" s="19"/>
      <c r="ME92" s="19"/>
      <c r="MG92" s="8"/>
      <c r="MH92" s="7"/>
      <c r="MI92" s="19"/>
      <c r="MJ92" s="19"/>
      <c r="MK92" s="19"/>
      <c r="ML92" s="19"/>
      <c r="MN92" s="8"/>
      <c r="MO92" s="7"/>
      <c r="MP92" s="19"/>
      <c r="MQ92" s="19"/>
      <c r="MR92" s="19"/>
      <c r="MS92" s="19"/>
      <c r="MU92" s="8"/>
      <c r="MV92" s="7"/>
      <c r="MW92" s="19"/>
      <c r="MX92" s="19"/>
      <c r="MY92" s="19"/>
      <c r="MZ92" s="19"/>
      <c r="NB92" s="8"/>
      <c r="NC92" s="7"/>
      <c r="ND92" s="19"/>
      <c r="NE92" s="19"/>
      <c r="NF92" s="19"/>
      <c r="NG92" s="19"/>
      <c r="NI92" s="8"/>
      <c r="NJ92" s="7"/>
      <c r="NK92" s="19"/>
      <c r="NL92" s="19"/>
      <c r="NM92" s="19"/>
      <c r="NN92" s="19"/>
      <c r="NP92" s="8"/>
      <c r="NQ92" s="7"/>
      <c r="NR92" s="19"/>
      <c r="NS92" s="19"/>
      <c r="NT92" s="19"/>
      <c r="NU92" s="19"/>
      <c r="NW92" s="8"/>
      <c r="NX92" s="7"/>
      <c r="NY92" s="19"/>
      <c r="NZ92" s="19"/>
      <c r="OA92" s="19"/>
      <c r="OB92" s="19"/>
      <c r="OD92" s="8"/>
      <c r="OE92" s="7"/>
      <c r="OF92" s="19"/>
      <c r="OG92" s="19"/>
      <c r="OH92" s="19"/>
      <c r="OI92" s="19"/>
      <c r="OK92" s="8"/>
      <c r="OL92" s="7"/>
      <c r="OM92" s="19"/>
      <c r="ON92" s="19"/>
      <c r="OO92" s="19"/>
      <c r="OP92" s="19"/>
      <c r="OR92" s="8"/>
      <c r="OS92" s="7"/>
      <c r="OT92" s="19"/>
      <c r="OU92" s="19"/>
      <c r="OV92" s="19"/>
      <c r="OW92" s="19"/>
      <c r="OY92" s="8"/>
      <c r="OZ92" s="7"/>
      <c r="PA92" s="19"/>
      <c r="PB92" s="19"/>
      <c r="PC92" s="19"/>
      <c r="PD92" s="19"/>
      <c r="PF92" s="8"/>
      <c r="PG92" s="7"/>
      <c r="PH92" s="19"/>
      <c r="PI92" s="19"/>
      <c r="PJ92" s="19"/>
      <c r="PK92" s="19"/>
      <c r="PM92" s="8"/>
    </row>
    <row r="93" spans="1:429" s="1" customFormat="1" ht="26" customHeight="1" outlineLevel="1">
      <c r="B93" s="471"/>
      <c r="C93" s="7"/>
      <c r="D93" s="19"/>
      <c r="E93" s="19"/>
      <c r="F93" s="19"/>
      <c r="G93" s="19"/>
      <c r="I93" s="8"/>
      <c r="J93" s="7"/>
      <c r="K93" s="19"/>
      <c r="L93" s="19"/>
      <c r="M93" s="19"/>
      <c r="N93" s="19"/>
      <c r="P93" s="8"/>
      <c r="Q93" s="7"/>
      <c r="R93" s="19"/>
      <c r="S93" s="19"/>
      <c r="T93" s="19"/>
      <c r="U93" s="19"/>
      <c r="W93" s="8"/>
      <c r="X93" s="7"/>
      <c r="Y93" s="19"/>
      <c r="Z93" s="19"/>
      <c r="AA93" s="19"/>
      <c r="AB93" s="19"/>
      <c r="AD93" s="8"/>
      <c r="AE93" s="7"/>
      <c r="AF93" s="19"/>
      <c r="AG93" s="19"/>
      <c r="AH93" s="19"/>
      <c r="AI93" s="19"/>
      <c r="AK93" s="8"/>
      <c r="AL93" s="7"/>
      <c r="AM93" s="19"/>
      <c r="AN93" s="19"/>
      <c r="AO93" s="19"/>
      <c r="AP93" s="19"/>
      <c r="AR93" s="8"/>
      <c r="AS93" s="7"/>
      <c r="AT93" s="19"/>
      <c r="AU93" s="19"/>
      <c r="AV93" s="19"/>
      <c r="AW93" s="19"/>
      <c r="AY93" s="8"/>
      <c r="AZ93" s="7"/>
      <c r="BA93" s="19"/>
      <c r="BB93" s="19"/>
      <c r="BC93" s="19"/>
      <c r="BD93" s="19"/>
      <c r="BF93" s="8"/>
      <c r="BG93" s="7"/>
      <c r="BH93" s="19"/>
      <c r="BI93" s="19"/>
      <c r="BJ93" s="19"/>
      <c r="BK93" s="19"/>
      <c r="BM93" s="8"/>
      <c r="BN93" s="7"/>
      <c r="BO93" s="19"/>
      <c r="BP93" s="19"/>
      <c r="BQ93" s="19"/>
      <c r="BR93" s="19"/>
      <c r="BT93" s="8"/>
      <c r="BU93" s="7"/>
      <c r="BV93" s="19"/>
      <c r="BW93" s="19"/>
      <c r="BX93" s="19"/>
      <c r="BY93" s="19"/>
      <c r="CA93" s="8"/>
      <c r="CB93" s="7"/>
      <c r="CC93" s="19"/>
      <c r="CD93" s="19"/>
      <c r="CE93" s="19"/>
      <c r="CF93" s="19"/>
      <c r="CH93" s="8"/>
      <c r="CI93" s="7"/>
      <c r="CJ93" s="19"/>
      <c r="CK93" s="19"/>
      <c r="CL93" s="19"/>
      <c r="CM93" s="19"/>
      <c r="CO93" s="8"/>
      <c r="CP93" s="7"/>
      <c r="CQ93" s="19"/>
      <c r="CR93" s="19"/>
      <c r="CS93" s="19"/>
      <c r="CT93" s="19"/>
      <c r="CV93" s="8"/>
      <c r="CW93" s="7"/>
      <c r="CX93" s="19"/>
      <c r="CY93" s="19"/>
      <c r="CZ93" s="19"/>
      <c r="DA93" s="19"/>
      <c r="DC93" s="8"/>
      <c r="DD93" s="7"/>
      <c r="DE93" s="19"/>
      <c r="DF93" s="19"/>
      <c r="DG93" s="19"/>
      <c r="DH93" s="19"/>
      <c r="DJ93" s="8"/>
      <c r="DK93" s="7"/>
      <c r="DL93" s="19"/>
      <c r="DM93" s="19"/>
      <c r="DN93" s="19"/>
      <c r="DO93" s="19"/>
      <c r="DQ93" s="8"/>
      <c r="DR93" s="7"/>
      <c r="DS93" s="19"/>
      <c r="DT93" s="19"/>
      <c r="DU93" s="19"/>
      <c r="DV93" s="19"/>
      <c r="DX93" s="8"/>
      <c r="DY93" s="7"/>
      <c r="DZ93" s="19"/>
      <c r="EA93" s="19"/>
      <c r="EB93" s="19"/>
      <c r="EC93" s="19"/>
      <c r="EE93" s="8"/>
      <c r="EF93" s="7"/>
      <c r="EG93" s="19"/>
      <c r="EH93" s="19"/>
      <c r="EI93" s="19"/>
      <c r="EJ93" s="19"/>
      <c r="EL93" s="8"/>
      <c r="EM93" s="7"/>
      <c r="EN93" s="19"/>
      <c r="EO93" s="19"/>
      <c r="EP93" s="19"/>
      <c r="EQ93" s="19"/>
      <c r="ES93" s="8"/>
      <c r="ET93" s="7"/>
      <c r="EU93" s="19"/>
      <c r="EV93" s="19"/>
      <c r="EW93" s="19"/>
      <c r="EX93" s="19"/>
      <c r="EZ93" s="8"/>
      <c r="FA93" s="7"/>
      <c r="FB93" s="19"/>
      <c r="FC93" s="19"/>
      <c r="FD93" s="19"/>
      <c r="FE93" s="19"/>
      <c r="FG93" s="8"/>
      <c r="FH93" s="7"/>
      <c r="FI93" s="19"/>
      <c r="FJ93" s="19"/>
      <c r="FK93" s="19"/>
      <c r="FL93" s="19"/>
      <c r="FN93" s="8"/>
      <c r="FO93" s="7"/>
      <c r="FP93" s="19"/>
      <c r="FQ93" s="19"/>
      <c r="FR93" s="19"/>
      <c r="FS93" s="19"/>
      <c r="FU93" s="8"/>
      <c r="FV93" s="7"/>
      <c r="FW93" s="19"/>
      <c r="FX93" s="19"/>
      <c r="FY93" s="19"/>
      <c r="FZ93" s="19"/>
      <c r="GB93" s="8"/>
      <c r="GC93" s="7"/>
      <c r="GD93" s="19"/>
      <c r="GE93" s="19"/>
      <c r="GF93" s="19"/>
      <c r="GG93" s="19"/>
      <c r="GI93" s="8"/>
      <c r="GJ93" s="7"/>
      <c r="GK93" s="19"/>
      <c r="GL93" s="19"/>
      <c r="GM93" s="19"/>
      <c r="GN93" s="19"/>
      <c r="GP93" s="8"/>
      <c r="GQ93" s="7"/>
      <c r="GR93" s="19"/>
      <c r="GS93" s="19"/>
      <c r="GT93" s="19"/>
      <c r="GU93" s="19"/>
      <c r="GW93" s="8"/>
      <c r="GX93" s="7"/>
      <c r="GY93" s="19"/>
      <c r="GZ93" s="19"/>
      <c r="HA93" s="19"/>
      <c r="HB93" s="19"/>
      <c r="HD93" s="8"/>
      <c r="HE93" s="7"/>
      <c r="HF93" s="19"/>
      <c r="HG93" s="19"/>
      <c r="HH93" s="19"/>
      <c r="HI93" s="19"/>
      <c r="HK93" s="8"/>
      <c r="HL93" s="7"/>
      <c r="HM93" s="19"/>
      <c r="HN93" s="19"/>
      <c r="HO93" s="19"/>
      <c r="HP93" s="19"/>
      <c r="HR93" s="8"/>
      <c r="HS93" s="7"/>
      <c r="HT93" s="19"/>
      <c r="HU93" s="19"/>
      <c r="HV93" s="19"/>
      <c r="HW93" s="19"/>
      <c r="HY93" s="8"/>
      <c r="HZ93" s="7"/>
      <c r="IA93" s="19"/>
      <c r="IB93" s="19"/>
      <c r="IC93" s="19"/>
      <c r="ID93" s="19"/>
      <c r="IF93" s="8"/>
      <c r="IG93" s="7"/>
      <c r="IH93" s="19"/>
      <c r="II93" s="19"/>
      <c r="IJ93" s="19"/>
      <c r="IK93" s="19"/>
      <c r="IM93" s="8"/>
      <c r="IN93" s="7"/>
      <c r="IO93" s="19"/>
      <c r="IP93" s="19"/>
      <c r="IQ93" s="19"/>
      <c r="IR93" s="19"/>
      <c r="IT93" s="8"/>
      <c r="IU93" s="7"/>
      <c r="IV93" s="19"/>
      <c r="IW93" s="19"/>
      <c r="IX93" s="19"/>
      <c r="IY93" s="19"/>
      <c r="JA93" s="8"/>
      <c r="JB93" s="7"/>
      <c r="JC93" s="19"/>
      <c r="JD93" s="19"/>
      <c r="JE93" s="19"/>
      <c r="JF93" s="19"/>
      <c r="JH93" s="8"/>
      <c r="JI93" s="7"/>
      <c r="JJ93" s="19"/>
      <c r="JK93" s="19"/>
      <c r="JL93" s="19"/>
      <c r="JM93" s="19"/>
      <c r="JO93" s="8"/>
      <c r="JP93" s="7"/>
      <c r="JQ93" s="19"/>
      <c r="JR93" s="19"/>
      <c r="JS93" s="19"/>
      <c r="JT93" s="19"/>
      <c r="JV93" s="8"/>
      <c r="JW93" s="7"/>
      <c r="JX93" s="19"/>
      <c r="JY93" s="19"/>
      <c r="JZ93" s="19"/>
      <c r="KA93" s="19"/>
      <c r="KC93" s="8"/>
      <c r="KD93" s="7"/>
      <c r="KE93" s="19"/>
      <c r="KF93" s="19"/>
      <c r="KG93" s="19"/>
      <c r="KH93" s="19"/>
      <c r="KJ93" s="8"/>
      <c r="KK93" s="7"/>
      <c r="KL93" s="19"/>
      <c r="KM93" s="19"/>
      <c r="KN93" s="19"/>
      <c r="KO93" s="19"/>
      <c r="KQ93" s="8"/>
      <c r="KR93" s="7"/>
      <c r="KS93" s="19"/>
      <c r="KT93" s="19"/>
      <c r="KU93" s="19"/>
      <c r="KV93" s="19"/>
      <c r="KX93" s="8"/>
      <c r="KY93" s="7"/>
      <c r="KZ93" s="19"/>
      <c r="LA93" s="19"/>
      <c r="LB93" s="19"/>
      <c r="LC93" s="19"/>
      <c r="LE93" s="8"/>
      <c r="LF93" s="7"/>
      <c r="LG93" s="19"/>
      <c r="LH93" s="19"/>
      <c r="LI93" s="19"/>
      <c r="LJ93" s="19"/>
      <c r="LL93" s="8"/>
      <c r="LM93" s="7"/>
      <c r="LN93" s="19"/>
      <c r="LO93" s="19"/>
      <c r="LP93" s="19"/>
      <c r="LQ93" s="19"/>
      <c r="LS93" s="8"/>
      <c r="LT93" s="7"/>
      <c r="LU93" s="19"/>
      <c r="LV93" s="19"/>
      <c r="LW93" s="19"/>
      <c r="LX93" s="19"/>
      <c r="LZ93" s="8"/>
      <c r="MA93" s="7"/>
      <c r="MB93" s="19"/>
      <c r="MC93" s="19"/>
      <c r="MD93" s="19"/>
      <c r="ME93" s="19"/>
      <c r="MG93" s="8"/>
      <c r="MH93" s="7"/>
      <c r="MI93" s="19"/>
      <c r="MJ93" s="19"/>
      <c r="MK93" s="19"/>
      <c r="ML93" s="19"/>
      <c r="MN93" s="8"/>
      <c r="MO93" s="7"/>
      <c r="MP93" s="19"/>
      <c r="MQ93" s="19"/>
      <c r="MR93" s="19"/>
      <c r="MS93" s="19"/>
      <c r="MU93" s="8"/>
      <c r="MV93" s="7"/>
      <c r="MW93" s="19"/>
      <c r="MX93" s="19"/>
      <c r="MY93" s="19"/>
      <c r="MZ93" s="19"/>
      <c r="NB93" s="8"/>
      <c r="NC93" s="7"/>
      <c r="ND93" s="19"/>
      <c r="NE93" s="19"/>
      <c r="NF93" s="19"/>
      <c r="NG93" s="19"/>
      <c r="NI93" s="8"/>
      <c r="NJ93" s="7"/>
      <c r="NK93" s="19"/>
      <c r="NL93" s="19"/>
      <c r="NM93" s="19"/>
      <c r="NN93" s="19"/>
      <c r="NP93" s="8"/>
      <c r="NQ93" s="7"/>
      <c r="NR93" s="19"/>
      <c r="NS93" s="19"/>
      <c r="NT93" s="19"/>
      <c r="NU93" s="19"/>
      <c r="NW93" s="8"/>
      <c r="NX93" s="7"/>
      <c r="NY93" s="19"/>
      <c r="NZ93" s="19"/>
      <c r="OA93" s="19"/>
      <c r="OB93" s="19"/>
      <c r="OD93" s="8"/>
      <c r="OE93" s="7"/>
      <c r="OF93" s="19"/>
      <c r="OG93" s="19"/>
      <c r="OH93" s="19"/>
      <c r="OI93" s="19"/>
      <c r="OK93" s="8"/>
      <c r="OL93" s="7"/>
      <c r="OM93" s="19"/>
      <c r="ON93" s="19"/>
      <c r="OO93" s="19"/>
      <c r="OP93" s="19"/>
      <c r="OR93" s="8"/>
      <c r="OS93" s="7"/>
      <c r="OT93" s="19"/>
      <c r="OU93" s="19"/>
      <c r="OV93" s="19"/>
      <c r="OW93" s="19"/>
      <c r="OY93" s="8"/>
      <c r="OZ93" s="7"/>
      <c r="PA93" s="19"/>
      <c r="PB93" s="19"/>
      <c r="PC93" s="19"/>
      <c r="PD93" s="19"/>
      <c r="PF93" s="8"/>
      <c r="PG93" s="7"/>
      <c r="PH93" s="19"/>
      <c r="PI93" s="19"/>
      <c r="PJ93" s="19"/>
      <c r="PK93" s="19"/>
      <c r="PM93" s="8"/>
    </row>
    <row r="94" spans="1:429" s="1" customFormat="1" ht="26" customHeight="1" outlineLevel="1">
      <c r="B94" s="471"/>
      <c r="C94" s="7"/>
      <c r="D94" s="19"/>
      <c r="E94" s="19"/>
      <c r="F94" s="19"/>
      <c r="G94" s="19"/>
      <c r="I94" s="8"/>
      <c r="J94" s="7"/>
      <c r="K94" s="19"/>
      <c r="L94" s="19"/>
      <c r="M94" s="19"/>
      <c r="N94" s="19"/>
      <c r="P94" s="8"/>
      <c r="Q94" s="7"/>
      <c r="R94" s="19"/>
      <c r="S94" s="19"/>
      <c r="T94" s="19"/>
      <c r="U94" s="19"/>
      <c r="W94" s="8"/>
      <c r="X94" s="7"/>
      <c r="Y94" s="19"/>
      <c r="Z94" s="19"/>
      <c r="AA94" s="19"/>
      <c r="AB94" s="19"/>
      <c r="AD94" s="8"/>
      <c r="AE94" s="7"/>
      <c r="AF94" s="19"/>
      <c r="AG94" s="19"/>
      <c r="AH94" s="19"/>
      <c r="AI94" s="19"/>
      <c r="AK94" s="8"/>
      <c r="AL94" s="7"/>
      <c r="AM94" s="19"/>
      <c r="AN94" s="19"/>
      <c r="AO94" s="19"/>
      <c r="AP94" s="19"/>
      <c r="AR94" s="8"/>
      <c r="AS94" s="7"/>
      <c r="AT94" s="19"/>
      <c r="AU94" s="19"/>
      <c r="AV94" s="19"/>
      <c r="AW94" s="19"/>
      <c r="AY94" s="8"/>
      <c r="AZ94" s="7"/>
      <c r="BA94" s="19"/>
      <c r="BB94" s="19"/>
      <c r="BC94" s="19"/>
      <c r="BD94" s="19"/>
      <c r="BF94" s="8"/>
      <c r="BG94" s="7"/>
      <c r="BH94" s="19"/>
      <c r="BI94" s="19"/>
      <c r="BJ94" s="19"/>
      <c r="BK94" s="19"/>
      <c r="BM94" s="8"/>
      <c r="BN94" s="7"/>
      <c r="BO94" s="19"/>
      <c r="BP94" s="19"/>
      <c r="BQ94" s="19"/>
      <c r="BR94" s="19"/>
      <c r="BT94" s="8"/>
      <c r="BU94" s="7"/>
      <c r="BV94" s="19"/>
      <c r="BW94" s="19"/>
      <c r="BX94" s="19"/>
      <c r="BY94" s="19"/>
      <c r="CA94" s="8"/>
      <c r="CB94" s="7"/>
      <c r="CC94" s="19"/>
      <c r="CD94" s="19"/>
      <c r="CE94" s="19"/>
      <c r="CF94" s="19"/>
      <c r="CH94" s="8"/>
      <c r="CI94" s="7"/>
      <c r="CJ94" s="19"/>
      <c r="CK94" s="19"/>
      <c r="CL94" s="19"/>
      <c r="CM94" s="19"/>
      <c r="CO94" s="8"/>
      <c r="CP94" s="7"/>
      <c r="CQ94" s="19"/>
      <c r="CR94" s="19"/>
      <c r="CS94" s="19"/>
      <c r="CT94" s="19"/>
      <c r="CV94" s="8"/>
      <c r="CW94" s="7"/>
      <c r="CX94" s="19"/>
      <c r="CY94" s="19"/>
      <c r="CZ94" s="19"/>
      <c r="DA94" s="19"/>
      <c r="DC94" s="8"/>
      <c r="DD94" s="7"/>
      <c r="DE94" s="19"/>
      <c r="DF94" s="19"/>
      <c r="DG94" s="19"/>
      <c r="DH94" s="19"/>
      <c r="DJ94" s="8"/>
      <c r="DK94" s="7"/>
      <c r="DL94" s="19"/>
      <c r="DM94" s="19"/>
      <c r="DN94" s="19"/>
      <c r="DO94" s="19"/>
      <c r="DQ94" s="8"/>
      <c r="DR94" s="7"/>
      <c r="DS94" s="19"/>
      <c r="DT94" s="19"/>
      <c r="DU94" s="19"/>
      <c r="DV94" s="19"/>
      <c r="DX94" s="8"/>
      <c r="DY94" s="7"/>
      <c r="DZ94" s="19"/>
      <c r="EA94" s="19"/>
      <c r="EB94" s="19"/>
      <c r="EC94" s="19"/>
      <c r="EE94" s="8"/>
      <c r="EF94" s="7"/>
      <c r="EG94" s="19"/>
      <c r="EH94" s="19"/>
      <c r="EI94" s="19"/>
      <c r="EJ94" s="19"/>
      <c r="EL94" s="8"/>
      <c r="EM94" s="7"/>
      <c r="EN94" s="19"/>
      <c r="EO94" s="19"/>
      <c r="EP94" s="19"/>
      <c r="EQ94" s="19"/>
      <c r="ES94" s="8"/>
      <c r="ET94" s="7"/>
      <c r="EU94" s="19"/>
      <c r="EV94" s="19"/>
      <c r="EW94" s="19"/>
      <c r="EX94" s="19"/>
      <c r="EZ94" s="8"/>
      <c r="FA94" s="7"/>
      <c r="FB94" s="19"/>
      <c r="FC94" s="19"/>
      <c r="FD94" s="19"/>
      <c r="FE94" s="19"/>
      <c r="FG94" s="8"/>
      <c r="FH94" s="7"/>
      <c r="FI94" s="19"/>
      <c r="FJ94" s="19"/>
      <c r="FK94" s="19"/>
      <c r="FL94" s="19"/>
      <c r="FN94" s="8"/>
      <c r="FO94" s="7"/>
      <c r="FP94" s="19"/>
      <c r="FQ94" s="19"/>
      <c r="FR94" s="19"/>
      <c r="FS94" s="19"/>
      <c r="FU94" s="8"/>
      <c r="FV94" s="7"/>
      <c r="FW94" s="19"/>
      <c r="FX94" s="19"/>
      <c r="FY94" s="19"/>
      <c r="FZ94" s="19"/>
      <c r="GB94" s="8"/>
      <c r="GC94" s="7"/>
      <c r="GD94" s="19"/>
      <c r="GE94" s="19"/>
      <c r="GF94" s="19"/>
      <c r="GG94" s="19"/>
      <c r="GI94" s="8"/>
      <c r="GJ94" s="7"/>
      <c r="GK94" s="19"/>
      <c r="GL94" s="19"/>
      <c r="GM94" s="19"/>
      <c r="GN94" s="19"/>
      <c r="GP94" s="8"/>
      <c r="GQ94" s="7"/>
      <c r="GR94" s="19"/>
      <c r="GS94" s="19"/>
      <c r="GT94" s="19"/>
      <c r="GU94" s="19"/>
      <c r="GW94" s="8"/>
      <c r="GX94" s="7"/>
      <c r="GY94" s="19"/>
      <c r="GZ94" s="19"/>
      <c r="HA94" s="19"/>
      <c r="HB94" s="19"/>
      <c r="HD94" s="8"/>
      <c r="HE94" s="7"/>
      <c r="HF94" s="19"/>
      <c r="HG94" s="19"/>
      <c r="HH94" s="19"/>
      <c r="HI94" s="19"/>
      <c r="HK94" s="8"/>
      <c r="HL94" s="7"/>
      <c r="HM94" s="19"/>
      <c r="HN94" s="19"/>
      <c r="HO94" s="19"/>
      <c r="HP94" s="19"/>
      <c r="HR94" s="8"/>
      <c r="HS94" s="7"/>
      <c r="HT94" s="19"/>
      <c r="HU94" s="19"/>
      <c r="HV94" s="19"/>
      <c r="HW94" s="19"/>
      <c r="HY94" s="8"/>
      <c r="HZ94" s="7"/>
      <c r="IA94" s="19"/>
      <c r="IB94" s="19"/>
      <c r="IC94" s="19"/>
      <c r="ID94" s="19"/>
      <c r="IF94" s="8"/>
      <c r="IG94" s="7"/>
      <c r="IH94" s="19"/>
      <c r="II94" s="19"/>
      <c r="IJ94" s="19"/>
      <c r="IK94" s="19"/>
      <c r="IM94" s="8"/>
      <c r="IN94" s="7"/>
      <c r="IO94" s="19"/>
      <c r="IP94" s="19"/>
      <c r="IQ94" s="19"/>
      <c r="IR94" s="19"/>
      <c r="IT94" s="8"/>
      <c r="IU94" s="7"/>
      <c r="IV94" s="19"/>
      <c r="IW94" s="19"/>
      <c r="IX94" s="19"/>
      <c r="IY94" s="19"/>
      <c r="JA94" s="8"/>
      <c r="JB94" s="7"/>
      <c r="JC94" s="19"/>
      <c r="JD94" s="19"/>
      <c r="JE94" s="19"/>
      <c r="JF94" s="19"/>
      <c r="JH94" s="8"/>
      <c r="JI94" s="7"/>
      <c r="JJ94" s="19"/>
      <c r="JK94" s="19"/>
      <c r="JL94" s="19"/>
      <c r="JM94" s="19"/>
      <c r="JO94" s="8"/>
      <c r="JP94" s="7"/>
      <c r="JQ94" s="19"/>
      <c r="JR94" s="19"/>
      <c r="JS94" s="19"/>
      <c r="JT94" s="19"/>
      <c r="JV94" s="8"/>
      <c r="JW94" s="7"/>
      <c r="JX94" s="19"/>
      <c r="JY94" s="19"/>
      <c r="JZ94" s="19"/>
      <c r="KA94" s="19"/>
      <c r="KC94" s="8"/>
      <c r="KD94" s="7"/>
      <c r="KE94" s="19"/>
      <c r="KF94" s="19"/>
      <c r="KG94" s="19"/>
      <c r="KH94" s="19"/>
      <c r="KJ94" s="8"/>
      <c r="KK94" s="7"/>
      <c r="KL94" s="19"/>
      <c r="KM94" s="19"/>
      <c r="KN94" s="19"/>
      <c r="KO94" s="19"/>
      <c r="KQ94" s="8"/>
      <c r="KR94" s="7"/>
      <c r="KS94" s="19"/>
      <c r="KT94" s="19"/>
      <c r="KU94" s="19"/>
      <c r="KV94" s="19"/>
      <c r="KX94" s="8"/>
      <c r="KY94" s="7"/>
      <c r="KZ94" s="19"/>
      <c r="LA94" s="19"/>
      <c r="LB94" s="19"/>
      <c r="LC94" s="19"/>
      <c r="LE94" s="8"/>
      <c r="LF94" s="7"/>
      <c r="LG94" s="19"/>
      <c r="LH94" s="19"/>
      <c r="LI94" s="19"/>
      <c r="LJ94" s="19"/>
      <c r="LL94" s="8"/>
      <c r="LM94" s="7"/>
      <c r="LN94" s="19"/>
      <c r="LO94" s="19"/>
      <c r="LP94" s="19"/>
      <c r="LQ94" s="19"/>
      <c r="LS94" s="8"/>
      <c r="LT94" s="7"/>
      <c r="LU94" s="19"/>
      <c r="LV94" s="19"/>
      <c r="LW94" s="19"/>
      <c r="LX94" s="19"/>
      <c r="LZ94" s="8"/>
      <c r="MA94" s="7"/>
      <c r="MB94" s="19"/>
      <c r="MC94" s="19"/>
      <c r="MD94" s="19"/>
      <c r="ME94" s="19"/>
      <c r="MG94" s="8"/>
      <c r="MH94" s="7"/>
      <c r="MI94" s="19"/>
      <c r="MJ94" s="19"/>
      <c r="MK94" s="19"/>
      <c r="ML94" s="19"/>
      <c r="MN94" s="8"/>
      <c r="MO94" s="7"/>
      <c r="MP94" s="19"/>
      <c r="MQ94" s="19"/>
      <c r="MR94" s="19"/>
      <c r="MS94" s="19"/>
      <c r="MU94" s="8"/>
      <c r="MV94" s="7"/>
      <c r="MW94" s="19"/>
      <c r="MX94" s="19"/>
      <c r="MY94" s="19"/>
      <c r="MZ94" s="19"/>
      <c r="NB94" s="8"/>
      <c r="NC94" s="7"/>
      <c r="ND94" s="19"/>
      <c r="NE94" s="19"/>
      <c r="NF94" s="19"/>
      <c r="NG94" s="19"/>
      <c r="NI94" s="8"/>
      <c r="NJ94" s="7"/>
      <c r="NK94" s="19"/>
      <c r="NL94" s="19"/>
      <c r="NM94" s="19"/>
      <c r="NN94" s="19"/>
      <c r="NP94" s="8"/>
      <c r="NQ94" s="7"/>
      <c r="NR94" s="19"/>
      <c r="NS94" s="19"/>
      <c r="NT94" s="19"/>
      <c r="NU94" s="19"/>
      <c r="NW94" s="8"/>
      <c r="NX94" s="7"/>
      <c r="NY94" s="19"/>
      <c r="NZ94" s="19"/>
      <c r="OA94" s="19"/>
      <c r="OB94" s="19"/>
      <c r="OD94" s="8"/>
      <c r="OE94" s="7"/>
      <c r="OF94" s="19"/>
      <c r="OG94" s="19"/>
      <c r="OH94" s="19"/>
      <c r="OI94" s="19"/>
      <c r="OK94" s="8"/>
      <c r="OL94" s="7"/>
      <c r="OM94" s="19"/>
      <c r="ON94" s="19"/>
      <c r="OO94" s="19"/>
      <c r="OP94" s="19"/>
      <c r="OR94" s="8"/>
      <c r="OS94" s="7"/>
      <c r="OT94" s="19"/>
      <c r="OU94" s="19"/>
      <c r="OV94" s="19"/>
      <c r="OW94" s="19"/>
      <c r="OY94" s="8"/>
      <c r="OZ94" s="7"/>
      <c r="PA94" s="19"/>
      <c r="PB94" s="19"/>
      <c r="PC94" s="19"/>
      <c r="PD94" s="19"/>
      <c r="PF94" s="8"/>
      <c r="PG94" s="7"/>
      <c r="PH94" s="19"/>
      <c r="PI94" s="19"/>
      <c r="PJ94" s="19"/>
      <c r="PK94" s="19"/>
      <c r="PM94" s="8"/>
    </row>
    <row r="95" spans="1:429" s="1" customFormat="1" ht="26" customHeight="1" outlineLevel="1">
      <c r="B95" s="471"/>
      <c r="C95" s="7"/>
      <c r="D95" s="19"/>
      <c r="E95" s="19"/>
      <c r="F95" s="19"/>
      <c r="G95" s="19"/>
      <c r="I95" s="8"/>
      <c r="J95" s="7"/>
      <c r="K95" s="19"/>
      <c r="L95" s="19"/>
      <c r="M95" s="19"/>
      <c r="N95" s="19"/>
      <c r="P95" s="8"/>
      <c r="Q95" s="7"/>
      <c r="R95" s="19"/>
      <c r="S95" s="19"/>
      <c r="T95" s="19"/>
      <c r="U95" s="19"/>
      <c r="W95" s="8"/>
      <c r="X95" s="7"/>
      <c r="Y95" s="19"/>
      <c r="Z95" s="19"/>
      <c r="AA95" s="19"/>
      <c r="AB95" s="19"/>
      <c r="AD95" s="8"/>
      <c r="AE95" s="7"/>
      <c r="AF95" s="19"/>
      <c r="AG95" s="19"/>
      <c r="AH95" s="19"/>
      <c r="AI95" s="19"/>
      <c r="AK95" s="8"/>
      <c r="AL95" s="7"/>
      <c r="AM95" s="19"/>
      <c r="AN95" s="19"/>
      <c r="AO95" s="19"/>
      <c r="AP95" s="19"/>
      <c r="AR95" s="8"/>
      <c r="AS95" s="7"/>
      <c r="AT95" s="19"/>
      <c r="AU95" s="19"/>
      <c r="AV95" s="19"/>
      <c r="AW95" s="19"/>
      <c r="AY95" s="8"/>
      <c r="AZ95" s="7"/>
      <c r="BA95" s="19"/>
      <c r="BB95" s="19"/>
      <c r="BC95" s="19"/>
      <c r="BD95" s="19"/>
      <c r="BF95" s="8"/>
      <c r="BG95" s="7"/>
      <c r="BH95" s="19"/>
      <c r="BI95" s="19"/>
      <c r="BJ95" s="19"/>
      <c r="BK95" s="19"/>
      <c r="BM95" s="8"/>
      <c r="BN95" s="7"/>
      <c r="BO95" s="19"/>
      <c r="BP95" s="19"/>
      <c r="BQ95" s="19"/>
      <c r="BR95" s="19"/>
      <c r="BT95" s="8"/>
      <c r="BU95" s="7"/>
      <c r="BV95" s="19"/>
      <c r="BW95" s="19"/>
      <c r="BX95" s="19"/>
      <c r="BY95" s="19"/>
      <c r="CA95" s="8"/>
      <c r="CB95" s="7"/>
      <c r="CC95" s="19"/>
      <c r="CD95" s="19"/>
      <c r="CE95" s="19"/>
      <c r="CF95" s="19"/>
      <c r="CH95" s="8"/>
      <c r="CI95" s="7"/>
      <c r="CJ95" s="19"/>
      <c r="CK95" s="19"/>
      <c r="CL95" s="19"/>
      <c r="CM95" s="19"/>
      <c r="CO95" s="8"/>
      <c r="CP95" s="7"/>
      <c r="CQ95" s="19"/>
      <c r="CR95" s="19"/>
      <c r="CS95" s="19"/>
      <c r="CT95" s="19"/>
      <c r="CV95" s="8"/>
      <c r="CW95" s="7"/>
      <c r="CX95" s="19"/>
      <c r="CY95" s="19"/>
      <c r="CZ95" s="19"/>
      <c r="DA95" s="19"/>
      <c r="DC95" s="8"/>
      <c r="DD95" s="7"/>
      <c r="DE95" s="19"/>
      <c r="DF95" s="19"/>
      <c r="DG95" s="19"/>
      <c r="DH95" s="19"/>
      <c r="DJ95" s="8"/>
      <c r="DK95" s="7"/>
      <c r="DL95" s="19"/>
      <c r="DM95" s="19"/>
      <c r="DN95" s="19"/>
      <c r="DO95" s="19"/>
      <c r="DQ95" s="8"/>
      <c r="DR95" s="7"/>
      <c r="DS95" s="19"/>
      <c r="DT95" s="19"/>
      <c r="DU95" s="19"/>
      <c r="DV95" s="19"/>
      <c r="DX95" s="8"/>
      <c r="DY95" s="7"/>
      <c r="DZ95" s="19"/>
      <c r="EA95" s="19"/>
      <c r="EB95" s="19"/>
      <c r="EC95" s="19"/>
      <c r="EE95" s="8"/>
      <c r="EF95" s="7"/>
      <c r="EG95" s="19"/>
      <c r="EH95" s="19"/>
      <c r="EI95" s="19"/>
      <c r="EJ95" s="19"/>
      <c r="EL95" s="8"/>
      <c r="EM95" s="7"/>
      <c r="EN95" s="19"/>
      <c r="EO95" s="19"/>
      <c r="EP95" s="19"/>
      <c r="EQ95" s="19"/>
      <c r="ES95" s="8"/>
      <c r="ET95" s="7"/>
      <c r="EU95" s="19"/>
      <c r="EV95" s="19"/>
      <c r="EW95" s="19"/>
      <c r="EX95" s="19"/>
      <c r="EZ95" s="8"/>
      <c r="FA95" s="7"/>
      <c r="FB95" s="19"/>
      <c r="FC95" s="19"/>
      <c r="FD95" s="19"/>
      <c r="FE95" s="19"/>
      <c r="FG95" s="8"/>
      <c r="FH95" s="7"/>
      <c r="FI95" s="19"/>
      <c r="FJ95" s="19"/>
      <c r="FK95" s="19"/>
      <c r="FL95" s="19"/>
      <c r="FN95" s="8"/>
      <c r="FO95" s="7"/>
      <c r="FP95" s="19"/>
      <c r="FQ95" s="19"/>
      <c r="FR95" s="19"/>
      <c r="FS95" s="19"/>
      <c r="FU95" s="8"/>
      <c r="FV95" s="7"/>
      <c r="FW95" s="19"/>
      <c r="FX95" s="19"/>
      <c r="FY95" s="19"/>
      <c r="FZ95" s="19"/>
      <c r="GB95" s="8"/>
      <c r="GC95" s="7"/>
      <c r="GD95" s="19"/>
      <c r="GE95" s="19"/>
      <c r="GF95" s="19"/>
      <c r="GG95" s="19"/>
      <c r="GI95" s="8"/>
      <c r="GJ95" s="7"/>
      <c r="GK95" s="19"/>
      <c r="GL95" s="19"/>
      <c r="GM95" s="19"/>
      <c r="GN95" s="19"/>
      <c r="GP95" s="8"/>
      <c r="GQ95" s="7"/>
      <c r="GR95" s="19"/>
      <c r="GS95" s="19"/>
      <c r="GT95" s="19"/>
      <c r="GU95" s="19"/>
      <c r="GW95" s="8"/>
      <c r="GX95" s="7"/>
      <c r="GY95" s="19"/>
      <c r="GZ95" s="19"/>
      <c r="HA95" s="19"/>
      <c r="HB95" s="19"/>
      <c r="HD95" s="8"/>
      <c r="HE95" s="7"/>
      <c r="HF95" s="19"/>
      <c r="HG95" s="19"/>
      <c r="HH95" s="19"/>
      <c r="HI95" s="19"/>
      <c r="HK95" s="8"/>
      <c r="HL95" s="7"/>
      <c r="HM95" s="19"/>
      <c r="HN95" s="19"/>
      <c r="HO95" s="19"/>
      <c r="HP95" s="19"/>
      <c r="HR95" s="8"/>
      <c r="HS95" s="7"/>
      <c r="HT95" s="19"/>
      <c r="HU95" s="19"/>
      <c r="HV95" s="19"/>
      <c r="HW95" s="19"/>
      <c r="HY95" s="8"/>
      <c r="HZ95" s="7"/>
      <c r="IA95" s="19"/>
      <c r="IB95" s="19"/>
      <c r="IC95" s="19"/>
      <c r="ID95" s="19"/>
      <c r="IF95" s="8"/>
      <c r="IG95" s="7"/>
      <c r="IH95" s="19"/>
      <c r="II95" s="19"/>
      <c r="IJ95" s="19"/>
      <c r="IK95" s="19"/>
      <c r="IM95" s="8"/>
      <c r="IN95" s="7"/>
      <c r="IO95" s="19"/>
      <c r="IP95" s="19"/>
      <c r="IQ95" s="19"/>
      <c r="IR95" s="19"/>
      <c r="IT95" s="8"/>
      <c r="IU95" s="7"/>
      <c r="IV95" s="19"/>
      <c r="IW95" s="19"/>
      <c r="IX95" s="19"/>
      <c r="IY95" s="19"/>
      <c r="JA95" s="8"/>
      <c r="JB95" s="7"/>
      <c r="JC95" s="19"/>
      <c r="JD95" s="19"/>
      <c r="JE95" s="19"/>
      <c r="JF95" s="19"/>
      <c r="JH95" s="8"/>
      <c r="JI95" s="7"/>
      <c r="JJ95" s="19"/>
      <c r="JK95" s="19"/>
      <c r="JL95" s="19"/>
      <c r="JM95" s="19"/>
      <c r="JO95" s="8"/>
      <c r="JP95" s="7"/>
      <c r="JQ95" s="19"/>
      <c r="JR95" s="19"/>
      <c r="JS95" s="19"/>
      <c r="JT95" s="19"/>
      <c r="JV95" s="8"/>
      <c r="JW95" s="7"/>
      <c r="JX95" s="19"/>
      <c r="JY95" s="19"/>
      <c r="JZ95" s="19"/>
      <c r="KA95" s="19"/>
      <c r="KC95" s="8"/>
      <c r="KD95" s="7"/>
      <c r="KE95" s="19"/>
      <c r="KF95" s="19"/>
      <c r="KG95" s="19"/>
      <c r="KH95" s="19"/>
      <c r="KJ95" s="8"/>
      <c r="KK95" s="7"/>
      <c r="KL95" s="19"/>
      <c r="KM95" s="19"/>
      <c r="KN95" s="19"/>
      <c r="KO95" s="19"/>
      <c r="KQ95" s="8"/>
      <c r="KR95" s="7"/>
      <c r="KS95" s="19"/>
      <c r="KT95" s="19"/>
      <c r="KU95" s="19"/>
      <c r="KV95" s="19"/>
      <c r="KX95" s="8"/>
      <c r="KY95" s="7"/>
      <c r="KZ95" s="19"/>
      <c r="LA95" s="19"/>
      <c r="LB95" s="19"/>
      <c r="LC95" s="19"/>
      <c r="LE95" s="8"/>
      <c r="LF95" s="7"/>
      <c r="LG95" s="19"/>
      <c r="LH95" s="19"/>
      <c r="LI95" s="19"/>
      <c r="LJ95" s="19"/>
      <c r="LL95" s="8"/>
      <c r="LM95" s="7"/>
      <c r="LN95" s="19"/>
      <c r="LO95" s="19"/>
      <c r="LP95" s="19"/>
      <c r="LQ95" s="19"/>
      <c r="LS95" s="8"/>
      <c r="LT95" s="7"/>
      <c r="LU95" s="19"/>
      <c r="LV95" s="19"/>
      <c r="LW95" s="19"/>
      <c r="LX95" s="19"/>
      <c r="LZ95" s="8"/>
      <c r="MA95" s="7"/>
      <c r="MB95" s="19"/>
      <c r="MC95" s="19"/>
      <c r="MD95" s="19"/>
      <c r="ME95" s="19"/>
      <c r="MG95" s="8"/>
      <c r="MH95" s="7"/>
      <c r="MI95" s="19"/>
      <c r="MJ95" s="19"/>
      <c r="MK95" s="19"/>
      <c r="ML95" s="19"/>
      <c r="MN95" s="8"/>
      <c r="MO95" s="7"/>
      <c r="MP95" s="19"/>
      <c r="MQ95" s="19"/>
      <c r="MR95" s="19"/>
      <c r="MS95" s="19"/>
      <c r="MU95" s="8"/>
      <c r="MV95" s="7"/>
      <c r="MW95" s="19"/>
      <c r="MX95" s="19"/>
      <c r="MY95" s="19"/>
      <c r="MZ95" s="19"/>
      <c r="NB95" s="8"/>
      <c r="NC95" s="7"/>
      <c r="ND95" s="19"/>
      <c r="NE95" s="19"/>
      <c r="NF95" s="19"/>
      <c r="NG95" s="19"/>
      <c r="NI95" s="8"/>
      <c r="NJ95" s="7"/>
      <c r="NK95" s="19"/>
      <c r="NL95" s="19"/>
      <c r="NM95" s="19"/>
      <c r="NN95" s="19"/>
      <c r="NP95" s="8"/>
      <c r="NQ95" s="7"/>
      <c r="NR95" s="19"/>
      <c r="NS95" s="19"/>
      <c r="NT95" s="19"/>
      <c r="NU95" s="19"/>
      <c r="NW95" s="8"/>
      <c r="NX95" s="7"/>
      <c r="NY95" s="19"/>
      <c r="NZ95" s="19"/>
      <c r="OA95" s="19"/>
      <c r="OB95" s="19"/>
      <c r="OD95" s="8"/>
      <c r="OE95" s="7"/>
      <c r="OF95" s="19"/>
      <c r="OG95" s="19"/>
      <c r="OH95" s="19"/>
      <c r="OI95" s="19"/>
      <c r="OK95" s="8"/>
      <c r="OL95" s="7"/>
      <c r="OM95" s="19"/>
      <c r="ON95" s="19"/>
      <c r="OO95" s="19"/>
      <c r="OP95" s="19"/>
      <c r="OR95" s="8"/>
      <c r="OS95" s="7"/>
      <c r="OT95" s="19"/>
      <c r="OU95" s="19"/>
      <c r="OV95" s="19"/>
      <c r="OW95" s="19"/>
      <c r="OY95" s="8"/>
      <c r="OZ95" s="7"/>
      <c r="PA95" s="19"/>
      <c r="PB95" s="19"/>
      <c r="PC95" s="19"/>
      <c r="PD95" s="19"/>
      <c r="PF95" s="8"/>
      <c r="PG95" s="7"/>
      <c r="PH95" s="19"/>
      <c r="PI95" s="19"/>
      <c r="PJ95" s="19"/>
      <c r="PK95" s="19"/>
      <c r="PM95" s="8"/>
    </row>
    <row r="96" spans="1:429" s="1" customFormat="1" ht="26" customHeight="1" outlineLevel="1">
      <c r="B96" s="471"/>
      <c r="C96" s="7"/>
      <c r="D96" s="19"/>
      <c r="E96" s="19"/>
      <c r="F96" s="19"/>
      <c r="G96" s="19"/>
      <c r="I96" s="8"/>
      <c r="J96" s="7"/>
      <c r="K96" s="19"/>
      <c r="L96" s="19"/>
      <c r="M96" s="19"/>
      <c r="N96" s="19"/>
      <c r="P96" s="8"/>
      <c r="Q96" s="7"/>
      <c r="R96" s="19"/>
      <c r="S96" s="19"/>
      <c r="T96" s="19"/>
      <c r="U96" s="19"/>
      <c r="W96" s="8"/>
      <c r="X96" s="7"/>
      <c r="Y96" s="19"/>
      <c r="Z96" s="19"/>
      <c r="AA96" s="19"/>
      <c r="AB96" s="19"/>
      <c r="AD96" s="8"/>
      <c r="AE96" s="7"/>
      <c r="AF96" s="19"/>
      <c r="AG96" s="19"/>
      <c r="AH96" s="19"/>
      <c r="AI96" s="19"/>
      <c r="AK96" s="8"/>
      <c r="AL96" s="7"/>
      <c r="AM96" s="19"/>
      <c r="AN96" s="19"/>
      <c r="AO96" s="19"/>
      <c r="AP96" s="19"/>
      <c r="AR96" s="8"/>
      <c r="AS96" s="7"/>
      <c r="AT96" s="19"/>
      <c r="AU96" s="19"/>
      <c r="AV96" s="19"/>
      <c r="AW96" s="19"/>
      <c r="AY96" s="8"/>
      <c r="AZ96" s="7"/>
      <c r="BA96" s="19"/>
      <c r="BB96" s="19"/>
      <c r="BC96" s="19"/>
      <c r="BD96" s="19"/>
      <c r="BF96" s="8"/>
      <c r="BG96" s="7"/>
      <c r="BH96" s="19"/>
      <c r="BI96" s="19"/>
      <c r="BJ96" s="19"/>
      <c r="BK96" s="19"/>
      <c r="BM96" s="8"/>
      <c r="BN96" s="7"/>
      <c r="BO96" s="19"/>
      <c r="BP96" s="19"/>
      <c r="BQ96" s="19"/>
      <c r="BR96" s="19"/>
      <c r="BT96" s="8"/>
      <c r="BU96" s="7"/>
      <c r="BV96" s="19"/>
      <c r="BW96" s="19"/>
      <c r="BX96" s="19"/>
      <c r="BY96" s="19"/>
      <c r="CA96" s="8"/>
      <c r="CB96" s="7"/>
      <c r="CC96" s="19"/>
      <c r="CD96" s="19"/>
      <c r="CE96" s="19"/>
      <c r="CF96" s="19"/>
      <c r="CH96" s="8"/>
      <c r="CI96" s="7"/>
      <c r="CJ96" s="19"/>
      <c r="CK96" s="19"/>
      <c r="CL96" s="19"/>
      <c r="CM96" s="19"/>
      <c r="CO96" s="8"/>
      <c r="CP96" s="7"/>
      <c r="CQ96" s="19"/>
      <c r="CR96" s="19"/>
      <c r="CS96" s="19"/>
      <c r="CT96" s="19"/>
      <c r="CV96" s="8"/>
      <c r="CW96" s="7"/>
      <c r="CX96" s="19"/>
      <c r="CY96" s="19"/>
      <c r="CZ96" s="19"/>
      <c r="DA96" s="19"/>
      <c r="DC96" s="8"/>
      <c r="DD96" s="7"/>
      <c r="DE96" s="19"/>
      <c r="DF96" s="19"/>
      <c r="DG96" s="19"/>
      <c r="DH96" s="19"/>
      <c r="DJ96" s="8"/>
      <c r="DK96" s="7"/>
      <c r="DL96" s="19"/>
      <c r="DM96" s="19"/>
      <c r="DN96" s="19"/>
      <c r="DO96" s="19"/>
      <c r="DQ96" s="8"/>
      <c r="DR96" s="7"/>
      <c r="DS96" s="19"/>
      <c r="DT96" s="19"/>
      <c r="DU96" s="19"/>
      <c r="DV96" s="19"/>
      <c r="DX96" s="8"/>
      <c r="DY96" s="7"/>
      <c r="DZ96" s="19"/>
      <c r="EA96" s="19"/>
      <c r="EB96" s="19"/>
      <c r="EC96" s="19"/>
      <c r="EE96" s="8"/>
      <c r="EF96" s="7"/>
      <c r="EG96" s="19"/>
      <c r="EH96" s="19"/>
      <c r="EI96" s="19"/>
      <c r="EJ96" s="19"/>
      <c r="EL96" s="8"/>
      <c r="EM96" s="7"/>
      <c r="EN96" s="19"/>
      <c r="EO96" s="19"/>
      <c r="EP96" s="19"/>
      <c r="EQ96" s="19"/>
      <c r="ES96" s="8"/>
      <c r="ET96" s="7"/>
      <c r="EU96" s="19"/>
      <c r="EV96" s="19"/>
      <c r="EW96" s="19"/>
      <c r="EX96" s="19"/>
      <c r="EZ96" s="8"/>
      <c r="FA96" s="7"/>
      <c r="FB96" s="19"/>
      <c r="FC96" s="19"/>
      <c r="FD96" s="19"/>
      <c r="FE96" s="19"/>
      <c r="FG96" s="8"/>
      <c r="FH96" s="7"/>
      <c r="FI96" s="19"/>
      <c r="FJ96" s="19"/>
      <c r="FK96" s="19"/>
      <c r="FL96" s="19"/>
      <c r="FN96" s="8"/>
      <c r="FO96" s="7"/>
      <c r="FP96" s="19"/>
      <c r="FQ96" s="19"/>
      <c r="FR96" s="19"/>
      <c r="FS96" s="19"/>
      <c r="FU96" s="8"/>
      <c r="FV96" s="7"/>
      <c r="FW96" s="19"/>
      <c r="FX96" s="19"/>
      <c r="FY96" s="19"/>
      <c r="FZ96" s="19"/>
      <c r="GB96" s="8"/>
      <c r="GC96" s="7"/>
      <c r="GD96" s="19"/>
      <c r="GE96" s="19"/>
      <c r="GF96" s="19"/>
      <c r="GG96" s="19"/>
      <c r="GI96" s="8"/>
      <c r="GJ96" s="7"/>
      <c r="GK96" s="19"/>
      <c r="GL96" s="19"/>
      <c r="GM96" s="19"/>
      <c r="GN96" s="19"/>
      <c r="GP96" s="8"/>
      <c r="GQ96" s="7"/>
      <c r="GR96" s="19"/>
      <c r="GS96" s="19"/>
      <c r="GT96" s="19"/>
      <c r="GU96" s="19"/>
      <c r="GW96" s="8"/>
      <c r="GX96" s="7"/>
      <c r="GY96" s="19"/>
      <c r="GZ96" s="19"/>
      <c r="HA96" s="19"/>
      <c r="HB96" s="19"/>
      <c r="HD96" s="8"/>
      <c r="HE96" s="7"/>
      <c r="HF96" s="19"/>
      <c r="HG96" s="19"/>
      <c r="HH96" s="19"/>
      <c r="HI96" s="19"/>
      <c r="HK96" s="8"/>
      <c r="HL96" s="7"/>
      <c r="HM96" s="19"/>
      <c r="HN96" s="19"/>
      <c r="HO96" s="19"/>
      <c r="HP96" s="19"/>
      <c r="HR96" s="8"/>
      <c r="HS96" s="7"/>
      <c r="HT96" s="19"/>
      <c r="HU96" s="19"/>
      <c r="HV96" s="19"/>
      <c r="HW96" s="19"/>
      <c r="HY96" s="8"/>
      <c r="HZ96" s="7"/>
      <c r="IA96" s="19"/>
      <c r="IB96" s="19"/>
      <c r="IC96" s="19"/>
      <c r="ID96" s="19"/>
      <c r="IF96" s="8"/>
      <c r="IG96" s="7"/>
      <c r="IH96" s="19"/>
      <c r="II96" s="19"/>
      <c r="IJ96" s="19"/>
      <c r="IK96" s="19"/>
      <c r="IM96" s="8"/>
      <c r="IN96" s="7"/>
      <c r="IO96" s="19"/>
      <c r="IP96" s="19"/>
      <c r="IQ96" s="19"/>
      <c r="IR96" s="19"/>
      <c r="IT96" s="8"/>
      <c r="IU96" s="7"/>
      <c r="IV96" s="19"/>
      <c r="IW96" s="19"/>
      <c r="IX96" s="19"/>
      <c r="IY96" s="19"/>
      <c r="JA96" s="8"/>
      <c r="JB96" s="7"/>
      <c r="JC96" s="19"/>
      <c r="JD96" s="19"/>
      <c r="JE96" s="19"/>
      <c r="JF96" s="19"/>
      <c r="JH96" s="8"/>
      <c r="JI96" s="7"/>
      <c r="JJ96" s="19"/>
      <c r="JK96" s="19"/>
      <c r="JL96" s="19"/>
      <c r="JM96" s="19"/>
      <c r="JO96" s="8"/>
      <c r="JP96" s="7"/>
      <c r="JQ96" s="19"/>
      <c r="JR96" s="19"/>
      <c r="JS96" s="19"/>
      <c r="JT96" s="19"/>
      <c r="JV96" s="8"/>
      <c r="JW96" s="7"/>
      <c r="JX96" s="19"/>
      <c r="JY96" s="19"/>
      <c r="JZ96" s="19"/>
      <c r="KA96" s="19"/>
      <c r="KC96" s="8"/>
      <c r="KD96" s="7"/>
      <c r="KE96" s="19"/>
      <c r="KF96" s="19"/>
      <c r="KG96" s="19"/>
      <c r="KH96" s="19"/>
      <c r="KJ96" s="8"/>
      <c r="KK96" s="7"/>
      <c r="KL96" s="19"/>
      <c r="KM96" s="19"/>
      <c r="KN96" s="19"/>
      <c r="KO96" s="19"/>
      <c r="KQ96" s="8"/>
      <c r="KR96" s="7"/>
      <c r="KS96" s="19"/>
      <c r="KT96" s="19"/>
      <c r="KU96" s="19"/>
      <c r="KV96" s="19"/>
      <c r="KX96" s="8"/>
      <c r="KY96" s="7"/>
      <c r="KZ96" s="19"/>
      <c r="LA96" s="19"/>
      <c r="LB96" s="19"/>
      <c r="LC96" s="19"/>
      <c r="LE96" s="8"/>
      <c r="LF96" s="7"/>
      <c r="LG96" s="19"/>
      <c r="LH96" s="19"/>
      <c r="LI96" s="19"/>
      <c r="LJ96" s="19"/>
      <c r="LL96" s="8"/>
      <c r="LM96" s="7"/>
      <c r="LN96" s="19"/>
      <c r="LO96" s="19"/>
      <c r="LP96" s="19"/>
      <c r="LQ96" s="19"/>
      <c r="LS96" s="8"/>
      <c r="LT96" s="7"/>
      <c r="LU96" s="19"/>
      <c r="LV96" s="19"/>
      <c r="LW96" s="19"/>
      <c r="LX96" s="19"/>
      <c r="LZ96" s="8"/>
      <c r="MA96" s="7"/>
      <c r="MB96" s="19"/>
      <c r="MC96" s="19"/>
      <c r="MD96" s="19"/>
      <c r="ME96" s="19"/>
      <c r="MG96" s="8"/>
      <c r="MH96" s="7"/>
      <c r="MI96" s="19"/>
      <c r="MJ96" s="19"/>
      <c r="MK96" s="19"/>
      <c r="ML96" s="19"/>
      <c r="MN96" s="8"/>
      <c r="MO96" s="7"/>
      <c r="MP96" s="19"/>
      <c r="MQ96" s="19"/>
      <c r="MR96" s="19"/>
      <c r="MS96" s="19"/>
      <c r="MU96" s="8"/>
      <c r="MV96" s="7"/>
      <c r="MW96" s="19"/>
      <c r="MX96" s="19"/>
      <c r="MY96" s="19"/>
      <c r="MZ96" s="19"/>
      <c r="NB96" s="8"/>
      <c r="NC96" s="7"/>
      <c r="ND96" s="19"/>
      <c r="NE96" s="19"/>
      <c r="NF96" s="19"/>
      <c r="NG96" s="19"/>
      <c r="NI96" s="8"/>
      <c r="NJ96" s="7"/>
      <c r="NK96" s="19"/>
      <c r="NL96" s="19"/>
      <c r="NM96" s="19"/>
      <c r="NN96" s="19"/>
      <c r="NP96" s="8"/>
      <c r="NQ96" s="7"/>
      <c r="NR96" s="19"/>
      <c r="NS96" s="19"/>
      <c r="NT96" s="19"/>
      <c r="NU96" s="19"/>
      <c r="NW96" s="8"/>
      <c r="NX96" s="7"/>
      <c r="NY96" s="19"/>
      <c r="NZ96" s="19"/>
      <c r="OA96" s="19"/>
      <c r="OB96" s="19"/>
      <c r="OD96" s="8"/>
      <c r="OE96" s="7"/>
      <c r="OF96" s="19"/>
      <c r="OG96" s="19"/>
      <c r="OH96" s="19"/>
      <c r="OI96" s="19"/>
      <c r="OK96" s="8"/>
      <c r="OL96" s="7"/>
      <c r="OM96" s="19"/>
      <c r="ON96" s="19"/>
      <c r="OO96" s="19"/>
      <c r="OP96" s="19"/>
      <c r="OR96" s="8"/>
      <c r="OS96" s="7"/>
      <c r="OT96" s="19"/>
      <c r="OU96" s="19"/>
      <c r="OV96" s="19"/>
      <c r="OW96" s="19"/>
      <c r="OY96" s="8"/>
      <c r="OZ96" s="7"/>
      <c r="PA96" s="19"/>
      <c r="PB96" s="19"/>
      <c r="PC96" s="19"/>
      <c r="PD96" s="19"/>
      <c r="PF96" s="8"/>
      <c r="PG96" s="7"/>
      <c r="PH96" s="19"/>
      <c r="PI96" s="19"/>
      <c r="PJ96" s="19"/>
      <c r="PK96" s="19"/>
      <c r="PM96" s="8"/>
    </row>
    <row r="97" spans="1:429" s="1" customFormat="1" ht="26" customHeight="1" outlineLevel="1">
      <c r="B97" s="471"/>
      <c r="C97" s="7"/>
      <c r="D97" s="19"/>
      <c r="E97" s="19"/>
      <c r="F97" s="19"/>
      <c r="G97" s="19"/>
      <c r="I97" s="8"/>
      <c r="J97" s="7"/>
      <c r="K97" s="19"/>
      <c r="L97" s="19"/>
      <c r="M97" s="19"/>
      <c r="N97" s="19"/>
      <c r="P97" s="8"/>
      <c r="Q97" s="7"/>
      <c r="R97" s="19"/>
      <c r="S97" s="19"/>
      <c r="T97" s="19"/>
      <c r="U97" s="19"/>
      <c r="W97" s="8"/>
      <c r="X97" s="7"/>
      <c r="Y97" s="19"/>
      <c r="Z97" s="19"/>
      <c r="AA97" s="19"/>
      <c r="AB97" s="19"/>
      <c r="AD97" s="8"/>
      <c r="AE97" s="7"/>
      <c r="AF97" s="19"/>
      <c r="AG97" s="19"/>
      <c r="AH97" s="19"/>
      <c r="AI97" s="19"/>
      <c r="AK97" s="8"/>
      <c r="AL97" s="7"/>
      <c r="AM97" s="19"/>
      <c r="AN97" s="19"/>
      <c r="AO97" s="19"/>
      <c r="AP97" s="19"/>
      <c r="AR97" s="8"/>
      <c r="AS97" s="7"/>
      <c r="AT97" s="19"/>
      <c r="AU97" s="19"/>
      <c r="AV97" s="19"/>
      <c r="AW97" s="19"/>
      <c r="AY97" s="8"/>
      <c r="AZ97" s="7"/>
      <c r="BA97" s="19"/>
      <c r="BB97" s="19"/>
      <c r="BC97" s="19"/>
      <c r="BD97" s="19"/>
      <c r="BF97" s="8"/>
      <c r="BG97" s="7"/>
      <c r="BH97" s="19"/>
      <c r="BI97" s="19"/>
      <c r="BJ97" s="19"/>
      <c r="BK97" s="19"/>
      <c r="BM97" s="8"/>
      <c r="BN97" s="7"/>
      <c r="BO97" s="19"/>
      <c r="BP97" s="19"/>
      <c r="BQ97" s="19"/>
      <c r="BR97" s="19"/>
      <c r="BT97" s="8"/>
      <c r="BU97" s="7"/>
      <c r="BV97" s="19"/>
      <c r="BW97" s="19"/>
      <c r="BX97" s="19"/>
      <c r="BY97" s="19"/>
      <c r="CA97" s="8"/>
      <c r="CB97" s="7"/>
      <c r="CC97" s="19"/>
      <c r="CD97" s="19"/>
      <c r="CE97" s="19"/>
      <c r="CF97" s="19"/>
      <c r="CH97" s="8"/>
      <c r="CI97" s="7"/>
      <c r="CJ97" s="19"/>
      <c r="CK97" s="19"/>
      <c r="CL97" s="19"/>
      <c r="CM97" s="19"/>
      <c r="CO97" s="8"/>
      <c r="CP97" s="7"/>
      <c r="CQ97" s="19"/>
      <c r="CR97" s="19"/>
      <c r="CS97" s="19"/>
      <c r="CT97" s="19"/>
      <c r="CV97" s="8"/>
      <c r="CW97" s="7"/>
      <c r="CX97" s="19"/>
      <c r="CY97" s="19"/>
      <c r="CZ97" s="19"/>
      <c r="DA97" s="19"/>
      <c r="DC97" s="8"/>
      <c r="DD97" s="7"/>
      <c r="DE97" s="19"/>
      <c r="DF97" s="19"/>
      <c r="DG97" s="19"/>
      <c r="DH97" s="19"/>
      <c r="DJ97" s="8"/>
      <c r="DK97" s="7"/>
      <c r="DL97" s="19"/>
      <c r="DM97" s="19"/>
      <c r="DN97" s="19"/>
      <c r="DO97" s="19"/>
      <c r="DQ97" s="8"/>
      <c r="DR97" s="7"/>
      <c r="DS97" s="19"/>
      <c r="DT97" s="19"/>
      <c r="DU97" s="19"/>
      <c r="DV97" s="19"/>
      <c r="DX97" s="8"/>
      <c r="DY97" s="7"/>
      <c r="DZ97" s="19"/>
      <c r="EA97" s="19"/>
      <c r="EB97" s="19"/>
      <c r="EC97" s="19"/>
      <c r="EE97" s="8"/>
      <c r="EF97" s="7"/>
      <c r="EG97" s="19"/>
      <c r="EH97" s="19"/>
      <c r="EI97" s="19"/>
      <c r="EJ97" s="19"/>
      <c r="EL97" s="8"/>
      <c r="EM97" s="7"/>
      <c r="EN97" s="19"/>
      <c r="EO97" s="19"/>
      <c r="EP97" s="19"/>
      <c r="EQ97" s="19"/>
      <c r="ES97" s="8"/>
      <c r="ET97" s="7"/>
      <c r="EU97" s="19"/>
      <c r="EV97" s="19"/>
      <c r="EW97" s="19"/>
      <c r="EX97" s="19"/>
      <c r="EZ97" s="8"/>
      <c r="FA97" s="7"/>
      <c r="FB97" s="19"/>
      <c r="FC97" s="19"/>
      <c r="FD97" s="19"/>
      <c r="FE97" s="19"/>
      <c r="FG97" s="8"/>
      <c r="FH97" s="7"/>
      <c r="FI97" s="19"/>
      <c r="FJ97" s="19"/>
      <c r="FK97" s="19"/>
      <c r="FL97" s="19"/>
      <c r="FN97" s="8"/>
      <c r="FO97" s="7"/>
      <c r="FP97" s="19"/>
      <c r="FQ97" s="19"/>
      <c r="FR97" s="19"/>
      <c r="FS97" s="19"/>
      <c r="FU97" s="8"/>
      <c r="FV97" s="7"/>
      <c r="FW97" s="19"/>
      <c r="FX97" s="19"/>
      <c r="FY97" s="19"/>
      <c r="FZ97" s="19"/>
      <c r="GB97" s="8"/>
      <c r="GC97" s="7"/>
      <c r="GD97" s="19"/>
      <c r="GE97" s="19"/>
      <c r="GF97" s="19"/>
      <c r="GG97" s="19"/>
      <c r="GI97" s="8"/>
      <c r="GJ97" s="7"/>
      <c r="GK97" s="19"/>
      <c r="GL97" s="19"/>
      <c r="GM97" s="19"/>
      <c r="GN97" s="19"/>
      <c r="GP97" s="8"/>
      <c r="GQ97" s="7"/>
      <c r="GR97" s="19"/>
      <c r="GS97" s="19"/>
      <c r="GT97" s="19"/>
      <c r="GU97" s="19"/>
      <c r="GW97" s="8"/>
      <c r="GX97" s="7"/>
      <c r="GY97" s="19"/>
      <c r="GZ97" s="19"/>
      <c r="HA97" s="19"/>
      <c r="HB97" s="19"/>
      <c r="HD97" s="8"/>
      <c r="HE97" s="7"/>
      <c r="HF97" s="19"/>
      <c r="HG97" s="19"/>
      <c r="HH97" s="19"/>
      <c r="HI97" s="19"/>
      <c r="HK97" s="8"/>
      <c r="HL97" s="7"/>
      <c r="HM97" s="19"/>
      <c r="HN97" s="19"/>
      <c r="HO97" s="19"/>
      <c r="HP97" s="19"/>
      <c r="HR97" s="8"/>
      <c r="HS97" s="7"/>
      <c r="HT97" s="19"/>
      <c r="HU97" s="19"/>
      <c r="HV97" s="19"/>
      <c r="HW97" s="19"/>
      <c r="HY97" s="8"/>
      <c r="HZ97" s="7"/>
      <c r="IA97" s="19"/>
      <c r="IB97" s="19"/>
      <c r="IC97" s="19"/>
      <c r="ID97" s="19"/>
      <c r="IF97" s="8"/>
      <c r="IG97" s="7"/>
      <c r="IH97" s="19"/>
      <c r="II97" s="19"/>
      <c r="IJ97" s="19"/>
      <c r="IK97" s="19"/>
      <c r="IM97" s="8"/>
      <c r="IN97" s="7"/>
      <c r="IO97" s="19"/>
      <c r="IP97" s="19"/>
      <c r="IQ97" s="19"/>
      <c r="IR97" s="19"/>
      <c r="IT97" s="8"/>
      <c r="IU97" s="7"/>
      <c r="IV97" s="19"/>
      <c r="IW97" s="19"/>
      <c r="IX97" s="19"/>
      <c r="IY97" s="19"/>
      <c r="JA97" s="8"/>
      <c r="JB97" s="7"/>
      <c r="JC97" s="19"/>
      <c r="JD97" s="19"/>
      <c r="JE97" s="19"/>
      <c r="JF97" s="19"/>
      <c r="JH97" s="8"/>
      <c r="JI97" s="7"/>
      <c r="JJ97" s="19"/>
      <c r="JK97" s="19"/>
      <c r="JL97" s="19"/>
      <c r="JM97" s="19"/>
      <c r="JO97" s="8"/>
      <c r="JP97" s="7"/>
      <c r="JQ97" s="19"/>
      <c r="JR97" s="19"/>
      <c r="JS97" s="19"/>
      <c r="JT97" s="19"/>
      <c r="JV97" s="8"/>
      <c r="JW97" s="7"/>
      <c r="JX97" s="19"/>
      <c r="JY97" s="19"/>
      <c r="JZ97" s="19"/>
      <c r="KA97" s="19"/>
      <c r="KC97" s="8"/>
      <c r="KD97" s="7"/>
      <c r="KE97" s="19"/>
      <c r="KF97" s="19"/>
      <c r="KG97" s="19"/>
      <c r="KH97" s="19"/>
      <c r="KJ97" s="8"/>
      <c r="KK97" s="7"/>
      <c r="KL97" s="19"/>
      <c r="KM97" s="19"/>
      <c r="KN97" s="19"/>
      <c r="KO97" s="19"/>
      <c r="KQ97" s="8"/>
      <c r="KR97" s="7"/>
      <c r="KS97" s="19"/>
      <c r="KT97" s="19"/>
      <c r="KU97" s="19"/>
      <c r="KV97" s="19"/>
      <c r="KX97" s="8"/>
      <c r="KY97" s="7"/>
      <c r="KZ97" s="19"/>
      <c r="LA97" s="19"/>
      <c r="LB97" s="19"/>
      <c r="LC97" s="19"/>
      <c r="LE97" s="8"/>
      <c r="LF97" s="7"/>
      <c r="LG97" s="19"/>
      <c r="LH97" s="19"/>
      <c r="LI97" s="19"/>
      <c r="LJ97" s="19"/>
      <c r="LL97" s="8"/>
      <c r="LM97" s="7"/>
      <c r="LN97" s="19"/>
      <c r="LO97" s="19"/>
      <c r="LP97" s="19"/>
      <c r="LQ97" s="19"/>
      <c r="LS97" s="8"/>
      <c r="LT97" s="7"/>
      <c r="LU97" s="19"/>
      <c r="LV97" s="19"/>
      <c r="LW97" s="19"/>
      <c r="LX97" s="19"/>
      <c r="LZ97" s="8"/>
      <c r="MA97" s="7"/>
      <c r="MB97" s="19"/>
      <c r="MC97" s="19"/>
      <c r="MD97" s="19"/>
      <c r="ME97" s="19"/>
      <c r="MG97" s="8"/>
      <c r="MH97" s="7"/>
      <c r="MI97" s="19"/>
      <c r="MJ97" s="19"/>
      <c r="MK97" s="19"/>
      <c r="ML97" s="19"/>
      <c r="MN97" s="8"/>
      <c r="MO97" s="7"/>
      <c r="MP97" s="19"/>
      <c r="MQ97" s="19"/>
      <c r="MR97" s="19"/>
      <c r="MS97" s="19"/>
      <c r="MU97" s="8"/>
      <c r="MV97" s="7"/>
      <c r="MW97" s="19"/>
      <c r="MX97" s="19"/>
      <c r="MY97" s="19"/>
      <c r="MZ97" s="19"/>
      <c r="NB97" s="8"/>
      <c r="NC97" s="7"/>
      <c r="ND97" s="19"/>
      <c r="NE97" s="19"/>
      <c r="NF97" s="19"/>
      <c r="NG97" s="19"/>
      <c r="NI97" s="8"/>
      <c r="NJ97" s="7"/>
      <c r="NK97" s="19"/>
      <c r="NL97" s="19"/>
      <c r="NM97" s="19"/>
      <c r="NN97" s="19"/>
      <c r="NP97" s="8"/>
      <c r="NQ97" s="7"/>
      <c r="NR97" s="19"/>
      <c r="NS97" s="19"/>
      <c r="NT97" s="19"/>
      <c r="NU97" s="19"/>
      <c r="NW97" s="8"/>
      <c r="NX97" s="7"/>
      <c r="NY97" s="19"/>
      <c r="NZ97" s="19"/>
      <c r="OA97" s="19"/>
      <c r="OB97" s="19"/>
      <c r="OD97" s="8"/>
      <c r="OE97" s="7"/>
      <c r="OF97" s="19"/>
      <c r="OG97" s="19"/>
      <c r="OH97" s="19"/>
      <c r="OI97" s="19"/>
      <c r="OK97" s="8"/>
      <c r="OL97" s="7"/>
      <c r="OM97" s="19"/>
      <c r="ON97" s="19"/>
      <c r="OO97" s="19"/>
      <c r="OP97" s="19"/>
      <c r="OR97" s="8"/>
      <c r="OS97" s="7"/>
      <c r="OT97" s="19"/>
      <c r="OU97" s="19"/>
      <c r="OV97" s="19"/>
      <c r="OW97" s="19"/>
      <c r="OY97" s="8"/>
      <c r="OZ97" s="7"/>
      <c r="PA97" s="19"/>
      <c r="PB97" s="19"/>
      <c r="PC97" s="19"/>
      <c r="PD97" s="19"/>
      <c r="PF97" s="8"/>
      <c r="PG97" s="7"/>
      <c r="PH97" s="19"/>
      <c r="PI97" s="19"/>
      <c r="PJ97" s="19"/>
      <c r="PK97" s="19"/>
      <c r="PM97" s="8"/>
    </row>
    <row r="98" spans="1:429" s="475" customFormat="1" ht="19" customHeight="1">
      <c r="A98" s="6" t="s">
        <v>86</v>
      </c>
      <c r="B98" s="472"/>
      <c r="C98" s="10"/>
      <c r="D98" s="20"/>
      <c r="E98" s="20"/>
      <c r="F98" s="20"/>
      <c r="G98" s="20"/>
      <c r="H98" s="10"/>
      <c r="I98" s="10"/>
      <c r="J98" s="10"/>
      <c r="K98" s="20"/>
      <c r="L98" s="20"/>
      <c r="M98" s="20"/>
      <c r="N98" s="20"/>
      <c r="O98" s="10"/>
      <c r="P98" s="10"/>
      <c r="Q98" s="10"/>
      <c r="R98" s="20"/>
      <c r="S98" s="20"/>
      <c r="T98" s="20"/>
      <c r="U98" s="20"/>
      <c r="V98" s="10"/>
      <c r="W98" s="10"/>
      <c r="X98" s="10"/>
      <c r="Y98" s="20"/>
      <c r="Z98" s="20"/>
      <c r="AA98" s="20"/>
      <c r="AB98" s="20"/>
      <c r="AC98" s="10"/>
      <c r="AD98" s="10"/>
      <c r="AE98" s="10"/>
      <c r="AF98" s="20"/>
      <c r="AG98" s="20"/>
      <c r="AH98" s="20"/>
      <c r="AI98" s="20"/>
      <c r="AJ98" s="10"/>
      <c r="AK98" s="10"/>
      <c r="AL98" s="10"/>
      <c r="AM98" s="20"/>
      <c r="AN98" s="20"/>
      <c r="AO98" s="20"/>
      <c r="AP98" s="20"/>
      <c r="AQ98" s="10"/>
      <c r="AR98" s="10"/>
      <c r="AS98" s="10"/>
      <c r="AT98" s="20"/>
      <c r="AU98" s="20"/>
      <c r="AV98" s="20"/>
      <c r="AW98" s="20"/>
      <c r="AX98" s="10"/>
      <c r="AY98" s="10"/>
      <c r="AZ98" s="10"/>
      <c r="BA98" s="20"/>
      <c r="BB98" s="20"/>
      <c r="BC98" s="20"/>
      <c r="BD98" s="20"/>
      <c r="BE98" s="10"/>
      <c r="BF98" s="10"/>
      <c r="BG98" s="10"/>
      <c r="BH98" s="20"/>
      <c r="BI98" s="20"/>
      <c r="BJ98" s="20"/>
      <c r="BK98" s="20"/>
      <c r="BL98" s="10"/>
      <c r="BM98" s="10"/>
      <c r="BN98" s="10"/>
      <c r="BO98" s="20"/>
      <c r="BP98" s="20"/>
      <c r="BQ98" s="20"/>
      <c r="BR98" s="20"/>
      <c r="BS98" s="10"/>
      <c r="BT98" s="10"/>
      <c r="BU98" s="26"/>
      <c r="BV98" s="26"/>
      <c r="BW98" s="26"/>
      <c r="BX98" s="26"/>
      <c r="BY98" s="26"/>
      <c r="BZ98" s="26"/>
      <c r="CA98" s="26"/>
      <c r="CB98" s="10"/>
      <c r="CC98" s="20"/>
      <c r="CD98" s="20"/>
      <c r="CE98" s="20"/>
      <c r="CF98" s="20"/>
      <c r="CG98" s="10"/>
      <c r="CH98" s="10"/>
      <c r="CI98" s="10"/>
      <c r="CJ98" s="20"/>
      <c r="CK98" s="20"/>
      <c r="CL98" s="20"/>
      <c r="CM98" s="20"/>
      <c r="CN98" s="10"/>
      <c r="CO98" s="10"/>
      <c r="CP98" s="10"/>
      <c r="CQ98" s="20"/>
      <c r="CR98" s="20"/>
      <c r="CS98" s="20"/>
      <c r="CT98" s="20"/>
      <c r="CU98" s="10"/>
      <c r="CV98" s="10"/>
      <c r="CW98" s="10"/>
      <c r="CX98" s="20"/>
      <c r="CY98" s="20"/>
      <c r="CZ98" s="20"/>
      <c r="DA98" s="20"/>
      <c r="DB98" s="10"/>
      <c r="DC98" s="10"/>
      <c r="DD98" s="10"/>
      <c r="DE98" s="20"/>
      <c r="DF98" s="20"/>
      <c r="DG98" s="20"/>
      <c r="DH98" s="20"/>
      <c r="DI98" s="10"/>
      <c r="DJ98" s="10"/>
      <c r="DK98" s="10"/>
      <c r="DL98" s="20"/>
      <c r="DM98" s="20"/>
      <c r="DN98" s="20"/>
      <c r="DO98" s="20"/>
      <c r="DP98" s="10"/>
      <c r="DQ98" s="10"/>
      <c r="DR98" s="10"/>
      <c r="DS98" s="20"/>
      <c r="DT98" s="20"/>
      <c r="DU98" s="20"/>
      <c r="DV98" s="20"/>
      <c r="DW98" s="10"/>
      <c r="DX98" s="10"/>
      <c r="DY98" s="10"/>
      <c r="DZ98" s="20"/>
      <c r="EA98" s="20"/>
      <c r="EB98" s="20"/>
      <c r="EC98" s="20"/>
      <c r="ED98" s="10"/>
      <c r="EE98" s="10"/>
      <c r="EF98" s="10"/>
      <c r="EG98" s="20"/>
      <c r="EH98" s="20"/>
      <c r="EI98" s="20"/>
      <c r="EJ98" s="20"/>
      <c r="EK98" s="10"/>
      <c r="EL98" s="10"/>
      <c r="EM98" s="10"/>
      <c r="EN98" s="20"/>
      <c r="EO98" s="20"/>
      <c r="EP98" s="20"/>
      <c r="EQ98" s="20"/>
      <c r="ER98" s="10"/>
      <c r="ES98" s="10"/>
      <c r="ET98" s="10"/>
      <c r="EU98" s="20"/>
      <c r="EV98" s="20"/>
      <c r="EW98" s="20"/>
      <c r="EX98" s="20"/>
      <c r="EY98" s="10"/>
      <c r="EZ98" s="10"/>
      <c r="FA98" s="10"/>
      <c r="FB98" s="20"/>
      <c r="FC98" s="20"/>
      <c r="FD98" s="20"/>
      <c r="FE98" s="20"/>
      <c r="FF98" s="10"/>
      <c r="FG98" s="10"/>
      <c r="FH98" s="10"/>
      <c r="FI98" s="20"/>
      <c r="FJ98" s="20"/>
      <c r="FK98" s="20"/>
      <c r="FL98" s="20"/>
      <c r="FM98" s="10"/>
      <c r="FN98" s="10"/>
      <c r="FO98" s="10"/>
      <c r="FP98" s="20"/>
      <c r="FQ98" s="20"/>
      <c r="FR98" s="20"/>
      <c r="FS98" s="20"/>
      <c r="FT98" s="10"/>
      <c r="FU98" s="10"/>
      <c r="FV98" s="10"/>
      <c r="FW98" s="20"/>
      <c r="FX98" s="20"/>
      <c r="FY98" s="20"/>
      <c r="FZ98" s="20"/>
      <c r="GA98" s="10"/>
      <c r="GB98" s="10"/>
      <c r="GC98" s="10"/>
      <c r="GD98" s="20"/>
      <c r="GE98" s="20"/>
      <c r="GF98" s="20"/>
      <c r="GG98" s="20"/>
      <c r="GH98" s="10"/>
      <c r="GI98" s="10"/>
      <c r="GJ98" s="10"/>
      <c r="GK98" s="20"/>
      <c r="GL98" s="20"/>
      <c r="GM98" s="20"/>
      <c r="GN98" s="20"/>
      <c r="GO98" s="10"/>
      <c r="GP98" s="10"/>
      <c r="GQ98" s="10"/>
      <c r="GR98" s="20"/>
      <c r="GS98" s="20"/>
      <c r="GT98" s="20"/>
      <c r="GU98" s="20"/>
      <c r="GV98" s="10"/>
      <c r="GW98" s="10"/>
      <c r="GX98" s="10"/>
      <c r="GY98" s="20"/>
      <c r="GZ98" s="20"/>
      <c r="HA98" s="20"/>
      <c r="HB98" s="20"/>
      <c r="HC98" s="10"/>
      <c r="HD98" s="10"/>
      <c r="HE98" s="10"/>
      <c r="HF98" s="20"/>
      <c r="HG98" s="20"/>
      <c r="HH98" s="20"/>
      <c r="HI98" s="20"/>
      <c r="HJ98" s="10"/>
      <c r="HK98" s="10"/>
      <c r="HL98" s="10"/>
      <c r="HM98" s="20"/>
      <c r="HN98" s="20"/>
      <c r="HO98" s="20"/>
      <c r="HP98" s="20"/>
      <c r="HQ98" s="10"/>
      <c r="HR98" s="10"/>
      <c r="HS98" s="10"/>
      <c r="HT98" s="20"/>
      <c r="HU98" s="20"/>
      <c r="HV98" s="20"/>
      <c r="HW98" s="20"/>
      <c r="HX98" s="10"/>
      <c r="HY98" s="10"/>
      <c r="HZ98" s="10"/>
      <c r="IA98" s="20"/>
      <c r="IB98" s="20"/>
      <c r="IC98" s="20"/>
      <c r="ID98" s="20"/>
      <c r="IE98" s="10"/>
      <c r="IF98" s="10"/>
      <c r="IG98" s="10"/>
      <c r="IH98" s="20"/>
      <c r="II98" s="20"/>
      <c r="IJ98" s="20"/>
      <c r="IK98" s="20"/>
      <c r="IL98" s="10"/>
      <c r="IM98" s="10"/>
      <c r="IN98" s="10"/>
      <c r="IO98" s="20"/>
      <c r="IP98" s="20"/>
      <c r="IQ98" s="20"/>
      <c r="IR98" s="20"/>
      <c r="IS98" s="10"/>
      <c r="IT98" s="10"/>
      <c r="IU98" s="10"/>
      <c r="IV98" s="20"/>
      <c r="IW98" s="20"/>
      <c r="IX98" s="20"/>
      <c r="IY98" s="20"/>
      <c r="IZ98" s="10"/>
      <c r="JA98" s="10"/>
      <c r="JB98" s="10"/>
      <c r="JC98" s="20"/>
      <c r="JD98" s="20"/>
      <c r="JE98" s="20"/>
      <c r="JF98" s="20"/>
      <c r="JG98" s="10"/>
      <c r="JH98" s="10"/>
      <c r="JI98" s="10"/>
      <c r="JJ98" s="20"/>
      <c r="JK98" s="20"/>
      <c r="JL98" s="20"/>
      <c r="JM98" s="20"/>
      <c r="JN98" s="10"/>
      <c r="JO98" s="10"/>
      <c r="JP98" s="10"/>
      <c r="JQ98" s="20"/>
      <c r="JR98" s="20"/>
      <c r="JS98" s="20"/>
      <c r="JT98" s="20"/>
      <c r="JU98" s="10"/>
      <c r="JV98" s="10"/>
      <c r="JW98" s="10"/>
      <c r="JX98" s="20"/>
      <c r="JY98" s="20"/>
      <c r="JZ98" s="20"/>
      <c r="KA98" s="20"/>
      <c r="KB98" s="10"/>
      <c r="KC98" s="10"/>
      <c r="KD98" s="10"/>
      <c r="KE98" s="20"/>
      <c r="KF98" s="20"/>
      <c r="KG98" s="20"/>
      <c r="KH98" s="20"/>
      <c r="KI98" s="10"/>
      <c r="KJ98" s="10"/>
      <c r="KK98" s="10"/>
      <c r="KL98" s="20"/>
      <c r="KM98" s="20"/>
      <c r="KN98" s="20"/>
      <c r="KO98" s="20"/>
      <c r="KP98" s="10"/>
      <c r="KQ98" s="10"/>
      <c r="KR98" s="10"/>
      <c r="KS98" s="20"/>
      <c r="KT98" s="20"/>
      <c r="KU98" s="20"/>
      <c r="KV98" s="20"/>
      <c r="KW98" s="10"/>
      <c r="KX98" s="10"/>
      <c r="KY98" s="10"/>
      <c r="KZ98" s="20"/>
      <c r="LA98" s="20"/>
      <c r="LB98" s="20"/>
      <c r="LC98" s="20"/>
      <c r="LD98" s="10"/>
      <c r="LE98" s="10"/>
      <c r="LF98" s="10"/>
      <c r="LG98" s="20"/>
      <c r="LH98" s="20"/>
      <c r="LI98" s="20"/>
      <c r="LJ98" s="20"/>
      <c r="LK98" s="10"/>
      <c r="LL98" s="10"/>
      <c r="LM98" s="10"/>
      <c r="LN98" s="20"/>
      <c r="LO98" s="20"/>
      <c r="LP98" s="20"/>
      <c r="LQ98" s="20"/>
      <c r="LR98" s="10"/>
      <c r="LS98" s="10"/>
      <c r="LT98" s="10"/>
      <c r="LU98" s="20"/>
      <c r="LV98" s="20"/>
      <c r="LW98" s="20"/>
      <c r="LX98" s="20"/>
      <c r="LY98" s="10"/>
      <c r="LZ98" s="10"/>
      <c r="MA98" s="10"/>
      <c r="MB98" s="20"/>
      <c r="MC98" s="20"/>
      <c r="MD98" s="20"/>
      <c r="ME98" s="20"/>
      <c r="MF98" s="10"/>
      <c r="MG98" s="10"/>
      <c r="MH98" s="10"/>
      <c r="MI98" s="20"/>
      <c r="MJ98" s="20"/>
      <c r="MK98" s="20"/>
      <c r="ML98" s="20"/>
      <c r="MM98" s="10"/>
      <c r="MN98" s="10"/>
      <c r="MO98" s="10"/>
      <c r="MP98" s="20"/>
      <c r="MQ98" s="20"/>
      <c r="MR98" s="20"/>
      <c r="MS98" s="20"/>
      <c r="MT98" s="10"/>
      <c r="MU98" s="10"/>
      <c r="MV98" s="10"/>
      <c r="MW98" s="20"/>
      <c r="MX98" s="20"/>
      <c r="MY98" s="20"/>
      <c r="MZ98" s="20"/>
      <c r="NA98" s="10"/>
      <c r="NB98" s="10"/>
      <c r="NC98" s="10"/>
      <c r="ND98" s="20"/>
      <c r="NE98" s="20"/>
      <c r="NF98" s="20"/>
      <c r="NG98" s="20"/>
      <c r="NH98" s="10"/>
      <c r="NI98" s="10"/>
      <c r="NJ98" s="10"/>
      <c r="NK98" s="20"/>
      <c r="NL98" s="20"/>
      <c r="NM98" s="20"/>
      <c r="NN98" s="20"/>
      <c r="NO98" s="10"/>
      <c r="NP98" s="10"/>
      <c r="NQ98" s="10"/>
      <c r="NR98" s="20"/>
      <c r="NS98" s="20"/>
      <c r="NT98" s="20"/>
      <c r="NU98" s="20"/>
      <c r="NV98" s="10"/>
      <c r="NW98" s="10"/>
      <c r="NX98" s="10"/>
      <c r="NY98" s="20"/>
      <c r="NZ98" s="20"/>
      <c r="OA98" s="20"/>
      <c r="OB98" s="20"/>
      <c r="OC98" s="10"/>
      <c r="OD98" s="10"/>
      <c r="OE98" s="10"/>
      <c r="OF98" s="20"/>
      <c r="OG98" s="20"/>
      <c r="OH98" s="20"/>
      <c r="OI98" s="20"/>
      <c r="OJ98" s="10"/>
      <c r="OK98" s="10"/>
      <c r="OL98" s="10"/>
      <c r="OM98" s="20"/>
      <c r="ON98" s="20"/>
      <c r="OO98" s="20"/>
      <c r="OP98" s="20"/>
      <c r="OQ98" s="10"/>
      <c r="OR98" s="10"/>
      <c r="OS98" s="10"/>
      <c r="OT98" s="20"/>
      <c r="OU98" s="20"/>
      <c r="OV98" s="20"/>
      <c r="OW98" s="20"/>
      <c r="OX98" s="10"/>
      <c r="OY98" s="10"/>
      <c r="OZ98" s="10"/>
      <c r="PA98" s="20"/>
      <c r="PB98" s="20"/>
      <c r="PC98" s="20"/>
      <c r="PD98" s="20"/>
      <c r="PE98" s="10"/>
      <c r="PF98" s="10"/>
      <c r="PG98" s="10"/>
      <c r="PH98" s="20"/>
      <c r="PI98" s="20"/>
      <c r="PJ98" s="20"/>
      <c r="PK98" s="20"/>
      <c r="PL98" s="10"/>
      <c r="PM98" s="10"/>
    </row>
    <row r="99" spans="1:429" s="1" customFormat="1" ht="26" customHeight="1" outlineLevel="1">
      <c r="B99" s="471"/>
      <c r="C99" s="7"/>
      <c r="D99" s="19"/>
      <c r="E99" s="19"/>
      <c r="F99" s="19"/>
      <c r="G99" s="19"/>
      <c r="I99" s="8"/>
      <c r="J99" s="7"/>
      <c r="K99" s="19"/>
      <c r="L99" s="19"/>
      <c r="M99" s="19"/>
      <c r="N99" s="19"/>
      <c r="P99" s="8"/>
      <c r="Q99" s="7"/>
      <c r="R99" s="19"/>
      <c r="S99" s="19"/>
      <c r="T99" s="19"/>
      <c r="U99" s="19"/>
      <c r="W99" s="8"/>
      <c r="X99" s="7"/>
      <c r="Y99" s="19"/>
      <c r="Z99" s="19"/>
      <c r="AA99" s="19"/>
      <c r="AB99" s="19"/>
      <c r="AD99" s="8"/>
      <c r="AE99" s="7"/>
      <c r="AF99" s="19"/>
      <c r="AG99" s="19"/>
      <c r="AH99" s="19"/>
      <c r="AI99" s="19"/>
      <c r="AK99" s="8"/>
      <c r="AL99" s="7"/>
      <c r="AM99" s="19"/>
      <c r="AN99" s="19"/>
      <c r="AO99" s="19"/>
      <c r="AP99" s="19"/>
      <c r="AR99" s="8"/>
      <c r="AS99" s="7"/>
      <c r="AT99" s="19"/>
      <c r="AU99" s="19"/>
      <c r="AV99" s="19"/>
      <c r="AW99" s="19"/>
      <c r="AY99" s="8"/>
      <c r="AZ99" s="7"/>
      <c r="BA99" s="19"/>
      <c r="BB99" s="19"/>
      <c r="BC99" s="19"/>
      <c r="BD99" s="19"/>
      <c r="BF99" s="8"/>
      <c r="BG99" s="7"/>
      <c r="BH99" s="19"/>
      <c r="BI99" s="19"/>
      <c r="BJ99" s="19"/>
      <c r="BK99" s="19"/>
      <c r="BM99" s="8"/>
      <c r="BN99" s="7"/>
      <c r="BO99" s="19"/>
      <c r="BP99" s="19"/>
      <c r="BQ99" s="19"/>
      <c r="BR99" s="19"/>
      <c r="BT99" s="8"/>
      <c r="BU99" s="7" t="s">
        <v>107</v>
      </c>
      <c r="BV99" s="19" t="s">
        <v>146</v>
      </c>
      <c r="BW99" s="19"/>
      <c r="BX99" s="19"/>
      <c r="BY99" s="19"/>
      <c r="CA99" s="8">
        <v>6</v>
      </c>
      <c r="CB99" s="7"/>
      <c r="CC99" s="19"/>
      <c r="CD99" s="19"/>
      <c r="CE99" s="19"/>
      <c r="CF99" s="19"/>
      <c r="CH99" s="8"/>
      <c r="CI99" s="7"/>
      <c r="CJ99" s="19"/>
      <c r="CK99" s="19"/>
      <c r="CL99" s="19"/>
      <c r="CM99" s="19"/>
      <c r="CO99" s="8"/>
      <c r="CP99" s="7"/>
      <c r="CQ99" s="19"/>
      <c r="CR99" s="19"/>
      <c r="CS99" s="19"/>
      <c r="CT99" s="19"/>
      <c r="CV99" s="8"/>
      <c r="CW99" s="7"/>
      <c r="CX99" s="19"/>
      <c r="CY99" s="19"/>
      <c r="CZ99" s="19"/>
      <c r="DA99" s="19"/>
      <c r="DC99" s="8"/>
      <c r="DD99" s="7"/>
      <c r="DE99" s="19"/>
      <c r="DF99" s="19"/>
      <c r="DG99" s="19"/>
      <c r="DH99" s="19"/>
      <c r="DJ99" s="8"/>
      <c r="DK99" s="7" t="s">
        <v>107</v>
      </c>
      <c r="DL99" s="19" t="s">
        <v>194</v>
      </c>
      <c r="DM99" s="19"/>
      <c r="DN99" s="19"/>
      <c r="DO99" s="19"/>
      <c r="DQ99" s="8">
        <v>8</v>
      </c>
      <c r="DR99" s="7"/>
      <c r="DS99" s="19" t="s">
        <v>180</v>
      </c>
      <c r="DT99" s="19"/>
      <c r="DU99" s="19"/>
      <c r="DV99" s="19"/>
      <c r="DX99" s="8">
        <v>8</v>
      </c>
      <c r="DY99" s="7"/>
      <c r="DZ99" s="19" t="s">
        <v>180</v>
      </c>
      <c r="EA99" s="19"/>
      <c r="EB99" s="19"/>
      <c r="EC99" s="19"/>
      <c r="EE99" s="8">
        <v>8</v>
      </c>
      <c r="EF99" s="7" t="s">
        <v>107</v>
      </c>
      <c r="EG99" s="19" t="s">
        <v>194</v>
      </c>
      <c r="EH99" s="19"/>
      <c r="EI99" s="19"/>
      <c r="EJ99" s="19"/>
      <c r="EL99" s="8">
        <v>6</v>
      </c>
      <c r="EM99" s="7"/>
      <c r="EN99" s="19" t="s">
        <v>180</v>
      </c>
      <c r="EO99" s="19"/>
      <c r="EP99" s="19"/>
      <c r="EQ99" s="19"/>
      <c r="ES99" s="8">
        <v>6</v>
      </c>
      <c r="ET99" s="7"/>
      <c r="EU99" s="19" t="s">
        <v>180</v>
      </c>
      <c r="EV99" s="19"/>
      <c r="EW99" s="19"/>
      <c r="EX99" s="19"/>
      <c r="EZ99" s="8">
        <v>6</v>
      </c>
      <c r="FA99" s="7"/>
      <c r="FB99" s="19"/>
      <c r="FC99" s="19"/>
      <c r="FD99" s="19"/>
      <c r="FE99" s="19"/>
      <c r="FG99" s="8"/>
      <c r="FH99" s="7"/>
      <c r="FI99" s="19"/>
      <c r="FJ99" s="19"/>
      <c r="FK99" s="19"/>
      <c r="FL99" s="19"/>
      <c r="FN99" s="8"/>
      <c r="FO99" s="7"/>
      <c r="FP99" s="19"/>
      <c r="FQ99" s="19"/>
      <c r="FR99" s="19"/>
      <c r="FS99" s="19"/>
      <c r="FU99" s="8"/>
      <c r="FV99" s="7"/>
      <c r="FW99" s="19"/>
      <c r="FX99" s="19"/>
      <c r="FY99" s="19"/>
      <c r="FZ99" s="19"/>
      <c r="GB99" s="8"/>
      <c r="GC99" s="7"/>
      <c r="GD99" s="19"/>
      <c r="GE99" s="19"/>
      <c r="GF99" s="19"/>
      <c r="GG99" s="19"/>
      <c r="GI99" s="8"/>
      <c r="GJ99" s="7"/>
      <c r="GK99" s="19"/>
      <c r="GL99" s="19"/>
      <c r="GM99" s="19"/>
      <c r="GN99" s="19"/>
      <c r="GP99" s="8"/>
      <c r="GQ99" s="7"/>
      <c r="GR99" s="19"/>
      <c r="GS99" s="19"/>
      <c r="GT99" s="19"/>
      <c r="GU99" s="19"/>
      <c r="GW99" s="8"/>
      <c r="GX99" s="7"/>
      <c r="GY99" s="19"/>
      <c r="GZ99" s="19"/>
      <c r="HA99" s="19"/>
      <c r="HB99" s="19"/>
      <c r="HD99" s="8"/>
      <c r="HE99" s="7"/>
      <c r="HF99" s="19"/>
      <c r="HG99" s="19"/>
      <c r="HH99" s="19"/>
      <c r="HI99" s="19"/>
      <c r="HK99" s="8"/>
      <c r="HL99" s="7"/>
      <c r="HM99" s="19"/>
      <c r="HN99" s="19"/>
      <c r="HO99" s="19"/>
      <c r="HP99" s="19"/>
      <c r="HR99" s="8"/>
      <c r="HS99" s="7"/>
      <c r="HT99" s="19"/>
      <c r="HU99" s="19"/>
      <c r="HV99" s="19"/>
      <c r="HW99" s="19"/>
      <c r="HY99" s="8"/>
      <c r="HZ99" s="7"/>
      <c r="IA99" s="19"/>
      <c r="IB99" s="19"/>
      <c r="IC99" s="19"/>
      <c r="ID99" s="19"/>
      <c r="IF99" s="8"/>
      <c r="IG99" s="7"/>
      <c r="IH99" s="19"/>
      <c r="II99" s="19"/>
      <c r="IJ99" s="19"/>
      <c r="IK99" s="19"/>
      <c r="IM99" s="8"/>
      <c r="IN99" s="7"/>
      <c r="IO99" s="19"/>
      <c r="IP99" s="19"/>
      <c r="IQ99" s="19"/>
      <c r="IR99" s="19"/>
      <c r="IT99" s="8"/>
      <c r="IU99" s="7"/>
      <c r="IV99" s="19"/>
      <c r="IW99" s="19"/>
      <c r="IX99" s="19"/>
      <c r="IY99" s="19"/>
      <c r="JA99" s="8"/>
      <c r="JB99" s="7"/>
      <c r="JC99" s="19"/>
      <c r="JD99" s="19"/>
      <c r="JE99" s="19"/>
      <c r="JF99" s="19"/>
      <c r="JH99" s="8"/>
      <c r="JI99" s="7"/>
      <c r="JJ99" s="19"/>
      <c r="JK99" s="19"/>
      <c r="JL99" s="19"/>
      <c r="JM99" s="19"/>
      <c r="JO99" s="8"/>
      <c r="JP99" s="7"/>
      <c r="JQ99" s="19"/>
      <c r="JR99" s="19"/>
      <c r="JS99" s="19"/>
      <c r="JT99" s="19"/>
      <c r="JV99" s="8"/>
      <c r="JW99" s="7"/>
      <c r="JX99" s="19"/>
      <c r="JY99" s="19"/>
      <c r="JZ99" s="19"/>
      <c r="KA99" s="19"/>
      <c r="KC99" s="8"/>
      <c r="KD99" s="7"/>
      <c r="KE99" s="19"/>
      <c r="KF99" s="19"/>
      <c r="KG99" s="19"/>
      <c r="KH99" s="19"/>
      <c r="KJ99" s="8"/>
      <c r="KK99" s="7"/>
      <c r="KL99" s="19"/>
      <c r="KM99" s="19"/>
      <c r="KN99" s="19"/>
      <c r="KO99" s="19"/>
      <c r="KQ99" s="8"/>
      <c r="KR99" s="7"/>
      <c r="KS99" s="19"/>
      <c r="KT99" s="19"/>
      <c r="KU99" s="19"/>
      <c r="KV99" s="19"/>
      <c r="KX99" s="8"/>
      <c r="KY99" s="7"/>
      <c r="KZ99" s="19"/>
      <c r="LA99" s="19"/>
      <c r="LB99" s="19"/>
      <c r="LC99" s="19"/>
      <c r="LE99" s="8"/>
      <c r="LF99" s="7"/>
      <c r="LG99" s="19"/>
      <c r="LH99" s="19"/>
      <c r="LI99" s="19"/>
      <c r="LJ99" s="19"/>
      <c r="LL99" s="8"/>
      <c r="LM99" s="7"/>
      <c r="LN99" s="19"/>
      <c r="LO99" s="19"/>
      <c r="LP99" s="19"/>
      <c r="LQ99" s="19"/>
      <c r="LS99" s="8"/>
      <c r="LT99" s="7"/>
      <c r="LU99" s="19"/>
      <c r="LV99" s="19"/>
      <c r="LW99" s="19"/>
      <c r="LX99" s="19"/>
      <c r="LZ99" s="8"/>
      <c r="MA99" s="7"/>
      <c r="MB99" s="19"/>
      <c r="MC99" s="19"/>
      <c r="MD99" s="19"/>
      <c r="ME99" s="19"/>
      <c r="MG99" s="8"/>
      <c r="MH99" s="7"/>
      <c r="MI99" s="19"/>
      <c r="MJ99" s="19"/>
      <c r="MK99" s="19"/>
      <c r="ML99" s="19"/>
      <c r="MN99" s="8"/>
      <c r="MO99" s="7"/>
      <c r="MP99" s="19"/>
      <c r="MQ99" s="19"/>
      <c r="MR99" s="19"/>
      <c r="MS99" s="19"/>
      <c r="MU99" s="8"/>
      <c r="MV99" s="7"/>
      <c r="MW99" s="19"/>
      <c r="MX99" s="19"/>
      <c r="MY99" s="19"/>
      <c r="MZ99" s="19"/>
      <c r="NB99" s="8"/>
      <c r="NC99" s="7"/>
      <c r="ND99" s="19"/>
      <c r="NE99" s="19"/>
      <c r="NF99" s="19"/>
      <c r="NG99" s="19"/>
      <c r="NI99" s="8"/>
      <c r="NJ99" s="7"/>
      <c r="NK99" s="19"/>
      <c r="NL99" s="19"/>
      <c r="NM99" s="19"/>
      <c r="NN99" s="19"/>
      <c r="NP99" s="8"/>
      <c r="NQ99" s="7"/>
      <c r="NR99" s="19"/>
      <c r="NS99" s="19"/>
      <c r="NT99" s="19"/>
      <c r="NU99" s="19"/>
      <c r="NW99" s="8"/>
      <c r="NX99" s="7"/>
      <c r="NY99" s="19"/>
      <c r="NZ99" s="19"/>
      <c r="OA99" s="19"/>
      <c r="OB99" s="19"/>
      <c r="OD99" s="8"/>
      <c r="OE99" s="7"/>
      <c r="OF99" s="19"/>
      <c r="OG99" s="19"/>
      <c r="OH99" s="19"/>
      <c r="OI99" s="19"/>
      <c r="OK99" s="8"/>
      <c r="OL99" s="7"/>
      <c r="OM99" s="19"/>
      <c r="ON99" s="19"/>
      <c r="OO99" s="19"/>
      <c r="OP99" s="19"/>
      <c r="OR99" s="8"/>
      <c r="OS99" s="7"/>
      <c r="OT99" s="19"/>
      <c r="OU99" s="19"/>
      <c r="OV99" s="19"/>
      <c r="OW99" s="19"/>
      <c r="OY99" s="8"/>
      <c r="OZ99" s="7"/>
      <c r="PA99" s="19"/>
      <c r="PB99" s="19"/>
      <c r="PC99" s="19"/>
      <c r="PD99" s="19"/>
      <c r="PF99" s="8"/>
      <c r="PG99" s="7"/>
      <c r="PH99" s="19"/>
      <c r="PI99" s="19"/>
      <c r="PJ99" s="19"/>
      <c r="PK99" s="19"/>
      <c r="PM99" s="8"/>
    </row>
    <row r="100" spans="1:429" s="1" customFormat="1" ht="26" customHeight="1" outlineLevel="1">
      <c r="B100" s="471"/>
      <c r="C100" s="7"/>
      <c r="D100" s="19"/>
      <c r="E100" s="19"/>
      <c r="F100" s="19"/>
      <c r="G100" s="19"/>
      <c r="I100" s="8"/>
      <c r="J100" s="7"/>
      <c r="K100" s="19"/>
      <c r="L100" s="19"/>
      <c r="M100" s="19"/>
      <c r="N100" s="19"/>
      <c r="P100" s="8"/>
      <c r="Q100" s="7"/>
      <c r="R100" s="19"/>
      <c r="S100" s="19"/>
      <c r="T100" s="19"/>
      <c r="U100" s="19"/>
      <c r="W100" s="8"/>
      <c r="X100" s="7"/>
      <c r="Y100" s="19"/>
      <c r="Z100" s="19"/>
      <c r="AA100" s="19"/>
      <c r="AB100" s="19"/>
      <c r="AD100" s="8"/>
      <c r="AE100" s="7"/>
      <c r="AF100" s="19"/>
      <c r="AG100" s="19"/>
      <c r="AH100" s="19"/>
      <c r="AI100" s="19"/>
      <c r="AK100" s="8"/>
      <c r="AL100" s="7"/>
      <c r="AM100" s="19"/>
      <c r="AN100" s="19"/>
      <c r="AO100" s="19"/>
      <c r="AP100" s="19"/>
      <c r="AR100" s="8"/>
      <c r="AS100" s="7"/>
      <c r="AT100" s="19"/>
      <c r="AU100" s="19"/>
      <c r="AV100" s="19"/>
      <c r="AW100" s="19"/>
      <c r="AY100" s="8"/>
      <c r="AZ100" s="7"/>
      <c r="BA100" s="19"/>
      <c r="BB100" s="19"/>
      <c r="BC100" s="19"/>
      <c r="BD100" s="19"/>
      <c r="BF100" s="8"/>
      <c r="BG100" s="7"/>
      <c r="BH100" s="19"/>
      <c r="BI100" s="19"/>
      <c r="BJ100" s="19"/>
      <c r="BK100" s="19"/>
      <c r="BM100" s="8"/>
      <c r="BN100" s="7"/>
      <c r="BO100" s="19"/>
      <c r="BP100" s="19"/>
      <c r="BQ100" s="19"/>
      <c r="BR100" s="19"/>
      <c r="BT100" s="8"/>
      <c r="BU100" s="7" t="s">
        <v>108</v>
      </c>
      <c r="BV100" s="19" t="s">
        <v>147</v>
      </c>
      <c r="BW100" s="19"/>
      <c r="BX100" s="19"/>
      <c r="BY100" s="19"/>
      <c r="CA100" s="8">
        <v>8</v>
      </c>
      <c r="CB100" s="7"/>
      <c r="CC100" s="19"/>
      <c r="CD100" s="19"/>
      <c r="CE100" s="19"/>
      <c r="CF100" s="19"/>
      <c r="CH100" s="8"/>
      <c r="CI100" s="7"/>
      <c r="CJ100" s="19"/>
      <c r="CK100" s="19"/>
      <c r="CL100" s="19"/>
      <c r="CM100" s="19"/>
      <c r="CO100" s="8"/>
      <c r="CP100" s="7"/>
      <c r="CQ100" s="19"/>
      <c r="CR100" s="19"/>
      <c r="CS100" s="19"/>
      <c r="CT100" s="19"/>
      <c r="CV100" s="8"/>
      <c r="CW100" s="7"/>
      <c r="CX100" s="19"/>
      <c r="CY100" s="19"/>
      <c r="CZ100" s="19"/>
      <c r="DA100" s="19"/>
      <c r="DC100" s="8"/>
      <c r="DD100" s="7"/>
      <c r="DE100" s="19"/>
      <c r="DF100" s="19"/>
      <c r="DG100" s="19"/>
      <c r="DH100" s="19"/>
      <c r="DJ100" s="8"/>
      <c r="DK100" s="7" t="s">
        <v>108</v>
      </c>
      <c r="DL100" s="19" t="s">
        <v>195</v>
      </c>
      <c r="DM100" s="19"/>
      <c r="DN100" s="19"/>
      <c r="DO100" s="19"/>
      <c r="DQ100" s="8">
        <v>8</v>
      </c>
      <c r="DR100" s="7"/>
      <c r="DS100" s="19" t="s">
        <v>180</v>
      </c>
      <c r="DT100" s="19"/>
      <c r="DU100" s="19"/>
      <c r="DV100" s="19"/>
      <c r="DX100" s="8">
        <v>8</v>
      </c>
      <c r="DY100" s="7"/>
      <c r="DZ100" s="19" t="s">
        <v>180</v>
      </c>
      <c r="EA100" s="19"/>
      <c r="EB100" s="19"/>
      <c r="EC100" s="19"/>
      <c r="EE100" s="8">
        <v>8</v>
      </c>
      <c r="EF100" s="7" t="s">
        <v>108</v>
      </c>
      <c r="EG100" s="19" t="s">
        <v>195</v>
      </c>
      <c r="EH100" s="19"/>
      <c r="EI100" s="19"/>
      <c r="EJ100" s="19"/>
      <c r="EK100" s="1" t="s">
        <v>118</v>
      </c>
      <c r="EL100" s="8">
        <v>8</v>
      </c>
      <c r="EM100" s="7"/>
      <c r="EN100" s="19" t="s">
        <v>180</v>
      </c>
      <c r="EO100" s="19"/>
      <c r="EP100" s="19"/>
      <c r="EQ100" s="19"/>
      <c r="ES100" s="8">
        <v>8</v>
      </c>
      <c r="ET100" s="7"/>
      <c r="EU100" s="19" t="s">
        <v>180</v>
      </c>
      <c r="EV100" s="19"/>
      <c r="EW100" s="19"/>
      <c r="EX100" s="19"/>
      <c r="EZ100" s="8">
        <v>8</v>
      </c>
      <c r="FA100" s="7"/>
      <c r="FB100" s="19"/>
      <c r="FC100" s="19"/>
      <c r="FD100" s="19"/>
      <c r="FE100" s="19"/>
      <c r="FG100" s="8"/>
      <c r="FH100" s="7"/>
      <c r="FI100" s="19"/>
      <c r="FJ100" s="19"/>
      <c r="FK100" s="19"/>
      <c r="FL100" s="19"/>
      <c r="FN100" s="8"/>
      <c r="FO100" s="7"/>
      <c r="FP100" s="19"/>
      <c r="FQ100" s="19"/>
      <c r="FR100" s="19"/>
      <c r="FS100" s="19"/>
      <c r="FU100" s="8"/>
      <c r="FV100" s="7"/>
      <c r="FW100" s="19"/>
      <c r="FX100" s="19"/>
      <c r="FY100" s="19"/>
      <c r="FZ100" s="19"/>
      <c r="GB100" s="8"/>
      <c r="GC100" s="7"/>
      <c r="GD100" s="19"/>
      <c r="GE100" s="19"/>
      <c r="GF100" s="19"/>
      <c r="GG100" s="19"/>
      <c r="GI100" s="8"/>
      <c r="GJ100" s="7"/>
      <c r="GK100" s="19"/>
      <c r="GL100" s="19"/>
      <c r="GM100" s="19"/>
      <c r="GN100" s="19"/>
      <c r="GP100" s="8"/>
      <c r="GQ100" s="7"/>
      <c r="GR100" s="19"/>
      <c r="GS100" s="19"/>
      <c r="GT100" s="19"/>
      <c r="GU100" s="19"/>
      <c r="GW100" s="8"/>
      <c r="GX100" s="7"/>
      <c r="GY100" s="19"/>
      <c r="GZ100" s="19"/>
      <c r="HA100" s="19"/>
      <c r="HB100" s="19"/>
      <c r="HD100" s="8"/>
      <c r="HE100" s="7"/>
      <c r="HF100" s="19"/>
      <c r="HG100" s="19"/>
      <c r="HH100" s="19"/>
      <c r="HI100" s="19"/>
      <c r="HK100" s="8"/>
      <c r="HL100" s="7"/>
      <c r="HM100" s="19"/>
      <c r="HN100" s="19"/>
      <c r="HO100" s="19"/>
      <c r="HP100" s="19"/>
      <c r="HR100" s="8"/>
      <c r="HS100" s="7"/>
      <c r="HT100" s="19"/>
      <c r="HU100" s="19"/>
      <c r="HV100" s="19"/>
      <c r="HW100" s="19"/>
      <c r="HY100" s="8"/>
      <c r="HZ100" s="7"/>
      <c r="IA100" s="19"/>
      <c r="IB100" s="19"/>
      <c r="IC100" s="19"/>
      <c r="ID100" s="19"/>
      <c r="IF100" s="8"/>
      <c r="IG100" s="7"/>
      <c r="IH100" s="19"/>
      <c r="II100" s="19"/>
      <c r="IJ100" s="19"/>
      <c r="IK100" s="19"/>
      <c r="IM100" s="8"/>
      <c r="IN100" s="7"/>
      <c r="IO100" s="19"/>
      <c r="IP100" s="19"/>
      <c r="IQ100" s="19"/>
      <c r="IR100" s="19"/>
      <c r="IT100" s="8"/>
      <c r="IU100" s="7"/>
      <c r="IV100" s="19"/>
      <c r="IW100" s="19"/>
      <c r="IX100" s="19"/>
      <c r="IY100" s="19"/>
      <c r="JA100" s="8"/>
      <c r="JB100" s="7"/>
      <c r="JC100" s="19"/>
      <c r="JD100" s="19"/>
      <c r="JE100" s="19"/>
      <c r="JF100" s="19"/>
      <c r="JH100" s="8"/>
      <c r="JI100" s="7"/>
      <c r="JJ100" s="19"/>
      <c r="JK100" s="19"/>
      <c r="JL100" s="19"/>
      <c r="JM100" s="19"/>
      <c r="JO100" s="8"/>
      <c r="JP100" s="7"/>
      <c r="JQ100" s="19"/>
      <c r="JR100" s="19"/>
      <c r="JS100" s="19"/>
      <c r="JT100" s="19"/>
      <c r="JV100" s="8"/>
      <c r="JW100" s="7"/>
      <c r="JX100" s="19"/>
      <c r="JY100" s="19"/>
      <c r="JZ100" s="19"/>
      <c r="KA100" s="19"/>
      <c r="KC100" s="8"/>
      <c r="KD100" s="7"/>
      <c r="KE100" s="19"/>
      <c r="KF100" s="19"/>
      <c r="KG100" s="19"/>
      <c r="KH100" s="19"/>
      <c r="KJ100" s="8"/>
      <c r="KK100" s="7"/>
      <c r="KL100" s="19"/>
      <c r="KM100" s="19"/>
      <c r="KN100" s="19"/>
      <c r="KO100" s="19"/>
      <c r="KQ100" s="8"/>
      <c r="KR100" s="7"/>
      <c r="KS100" s="19"/>
      <c r="KT100" s="19"/>
      <c r="KU100" s="19"/>
      <c r="KV100" s="19"/>
      <c r="KX100" s="8"/>
      <c r="KY100" s="7"/>
      <c r="KZ100" s="19"/>
      <c r="LA100" s="19"/>
      <c r="LB100" s="19"/>
      <c r="LC100" s="19"/>
      <c r="LE100" s="8"/>
      <c r="LF100" s="7"/>
      <c r="LG100" s="19"/>
      <c r="LH100" s="19"/>
      <c r="LI100" s="19"/>
      <c r="LJ100" s="19"/>
      <c r="LL100" s="8"/>
      <c r="LM100" s="7"/>
      <c r="LN100" s="19"/>
      <c r="LO100" s="19"/>
      <c r="LP100" s="19"/>
      <c r="LQ100" s="19"/>
      <c r="LS100" s="8"/>
      <c r="LT100" s="7"/>
      <c r="LU100" s="19"/>
      <c r="LV100" s="19"/>
      <c r="LW100" s="19"/>
      <c r="LX100" s="19"/>
      <c r="LZ100" s="8"/>
      <c r="MA100" s="7"/>
      <c r="MB100" s="19"/>
      <c r="MC100" s="19"/>
      <c r="MD100" s="19"/>
      <c r="ME100" s="19"/>
      <c r="MG100" s="8"/>
      <c r="MH100" s="7"/>
      <c r="MI100" s="19"/>
      <c r="MJ100" s="19"/>
      <c r="MK100" s="19"/>
      <c r="ML100" s="19"/>
      <c r="MN100" s="8"/>
      <c r="MO100" s="7"/>
      <c r="MP100" s="19"/>
      <c r="MQ100" s="19"/>
      <c r="MR100" s="19"/>
      <c r="MS100" s="19"/>
      <c r="MU100" s="8"/>
      <c r="MV100" s="7"/>
      <c r="MW100" s="19"/>
      <c r="MX100" s="19"/>
      <c r="MY100" s="19"/>
      <c r="MZ100" s="19"/>
      <c r="NB100" s="8"/>
      <c r="NC100" s="7"/>
      <c r="ND100" s="19"/>
      <c r="NE100" s="19"/>
      <c r="NF100" s="19"/>
      <c r="NG100" s="19"/>
      <c r="NI100" s="8"/>
      <c r="NJ100" s="7"/>
      <c r="NK100" s="19"/>
      <c r="NL100" s="19"/>
      <c r="NM100" s="19"/>
      <c r="NN100" s="19"/>
      <c r="NP100" s="8"/>
      <c r="NQ100" s="7"/>
      <c r="NR100" s="19"/>
      <c r="NS100" s="19"/>
      <c r="NT100" s="19"/>
      <c r="NU100" s="19"/>
      <c r="NW100" s="8"/>
      <c r="NX100" s="7"/>
      <c r="NY100" s="19"/>
      <c r="NZ100" s="19"/>
      <c r="OA100" s="19"/>
      <c r="OB100" s="19"/>
      <c r="OD100" s="8"/>
      <c r="OE100" s="7"/>
      <c r="OF100" s="19"/>
      <c r="OG100" s="19"/>
      <c r="OH100" s="19"/>
      <c r="OI100" s="19"/>
      <c r="OK100" s="8"/>
      <c r="OL100" s="7"/>
      <c r="OM100" s="19"/>
      <c r="ON100" s="19"/>
      <c r="OO100" s="19"/>
      <c r="OP100" s="19"/>
      <c r="OR100" s="8"/>
      <c r="OS100" s="7"/>
      <c r="OT100" s="19"/>
      <c r="OU100" s="19"/>
      <c r="OV100" s="19"/>
      <c r="OW100" s="19"/>
      <c r="OY100" s="8"/>
      <c r="OZ100" s="7"/>
      <c r="PA100" s="19"/>
      <c r="PB100" s="19"/>
      <c r="PC100" s="19"/>
      <c r="PD100" s="19"/>
      <c r="PF100" s="8"/>
      <c r="PG100" s="7"/>
      <c r="PH100" s="19"/>
      <c r="PI100" s="19"/>
      <c r="PJ100" s="19"/>
      <c r="PK100" s="19"/>
      <c r="PM100" s="8"/>
    </row>
    <row r="101" spans="1:429" s="1" customFormat="1" ht="26" customHeight="1" outlineLevel="1">
      <c r="B101" s="471"/>
      <c r="C101" s="7"/>
      <c r="D101" s="19"/>
      <c r="E101" s="19"/>
      <c r="F101" s="19"/>
      <c r="G101" s="19"/>
      <c r="I101" s="8"/>
      <c r="J101" s="7"/>
      <c r="K101" s="19"/>
      <c r="L101" s="19"/>
      <c r="M101" s="19"/>
      <c r="N101" s="19"/>
      <c r="P101" s="8"/>
      <c r="Q101" s="7"/>
      <c r="R101" s="19"/>
      <c r="S101" s="19"/>
      <c r="T101" s="19"/>
      <c r="U101" s="19"/>
      <c r="W101" s="8"/>
      <c r="X101" s="7"/>
      <c r="Y101" s="19"/>
      <c r="Z101" s="19"/>
      <c r="AA101" s="19"/>
      <c r="AB101" s="19"/>
      <c r="AD101" s="8"/>
      <c r="AE101" s="7"/>
      <c r="AF101" s="19"/>
      <c r="AG101" s="19"/>
      <c r="AH101" s="19"/>
      <c r="AI101" s="19"/>
      <c r="AK101" s="8"/>
      <c r="AL101" s="7"/>
      <c r="AM101" s="19"/>
      <c r="AN101" s="19"/>
      <c r="AO101" s="19"/>
      <c r="AP101" s="19"/>
      <c r="AR101" s="8"/>
      <c r="AS101" s="7"/>
      <c r="AT101" s="19"/>
      <c r="AU101" s="19"/>
      <c r="AV101" s="19"/>
      <c r="AW101" s="19"/>
      <c r="AY101" s="8"/>
      <c r="AZ101" s="7"/>
      <c r="BA101" s="19"/>
      <c r="BB101" s="19"/>
      <c r="BC101" s="19"/>
      <c r="BD101" s="19"/>
      <c r="BF101" s="8"/>
      <c r="BG101" s="7"/>
      <c r="BH101" s="19"/>
      <c r="BI101" s="19"/>
      <c r="BJ101" s="19"/>
      <c r="BK101" s="19"/>
      <c r="BM101" s="8"/>
      <c r="BN101" s="7"/>
      <c r="BO101" s="19"/>
      <c r="BP101" s="19"/>
      <c r="BQ101" s="19"/>
      <c r="BR101" s="19"/>
      <c r="BT101" s="8"/>
      <c r="BU101" s="7" t="s">
        <v>109</v>
      </c>
      <c r="BV101" s="19" t="s">
        <v>148</v>
      </c>
      <c r="BW101" s="19"/>
      <c r="BX101" s="19"/>
      <c r="BY101" s="19"/>
      <c r="CA101" s="8">
        <v>12</v>
      </c>
      <c r="CB101" s="7"/>
      <c r="CC101" s="19"/>
      <c r="CD101" s="19"/>
      <c r="CE101" s="19"/>
      <c r="CF101" s="19"/>
      <c r="CH101" s="8"/>
      <c r="CI101" s="7"/>
      <c r="CJ101" s="19"/>
      <c r="CK101" s="19"/>
      <c r="CL101" s="19"/>
      <c r="CM101" s="19"/>
      <c r="CO101" s="8"/>
      <c r="CP101" s="7"/>
      <c r="CQ101" s="19"/>
      <c r="CR101" s="19"/>
      <c r="CS101" s="19"/>
      <c r="CT101" s="19"/>
      <c r="CV101" s="8"/>
      <c r="CW101" s="7"/>
      <c r="CX101" s="19"/>
      <c r="CY101" s="19"/>
      <c r="CZ101" s="19"/>
      <c r="DA101" s="19"/>
      <c r="DC101" s="8"/>
      <c r="DD101" s="7"/>
      <c r="DE101" s="19"/>
      <c r="DF101" s="19"/>
      <c r="DG101" s="19"/>
      <c r="DH101" s="19"/>
      <c r="DJ101" s="8"/>
      <c r="DK101" s="7" t="s">
        <v>109</v>
      </c>
      <c r="DL101" s="19" t="s">
        <v>196</v>
      </c>
      <c r="DM101" s="19"/>
      <c r="DN101" s="19"/>
      <c r="DO101" s="19"/>
      <c r="DQ101" s="8">
        <v>6</v>
      </c>
      <c r="DR101" s="7"/>
      <c r="DS101" s="19" t="s">
        <v>180</v>
      </c>
      <c r="DT101" s="19"/>
      <c r="DU101" s="19"/>
      <c r="DV101" s="19"/>
      <c r="DX101" s="8">
        <v>7</v>
      </c>
      <c r="DY101" s="7"/>
      <c r="DZ101" s="19" t="s">
        <v>180</v>
      </c>
      <c r="EA101" s="19"/>
      <c r="EB101" s="19"/>
      <c r="EC101" s="19"/>
      <c r="EE101" s="8">
        <v>8</v>
      </c>
      <c r="EF101" s="7" t="s">
        <v>109</v>
      </c>
      <c r="EG101" s="19" t="s">
        <v>482</v>
      </c>
      <c r="EH101" s="19"/>
      <c r="EI101" s="19"/>
      <c r="EJ101" s="19"/>
      <c r="EL101" s="8">
        <v>8</v>
      </c>
      <c r="EM101" s="7"/>
      <c r="EN101" s="19" t="s">
        <v>180</v>
      </c>
      <c r="EO101" s="19"/>
      <c r="EP101" s="19"/>
      <c r="EQ101" s="19"/>
      <c r="ES101" s="8">
        <v>9</v>
      </c>
      <c r="ET101" s="7"/>
      <c r="EU101" s="19" t="s">
        <v>180</v>
      </c>
      <c r="EV101" s="19"/>
      <c r="EW101" s="19"/>
      <c r="EX101" s="19"/>
      <c r="EZ101" s="8">
        <v>10</v>
      </c>
      <c r="FA101" s="7"/>
      <c r="FB101" s="19"/>
      <c r="FC101" s="19"/>
      <c r="FD101" s="19"/>
      <c r="FE101" s="19"/>
      <c r="FG101" s="8"/>
      <c r="FH101" s="7"/>
      <c r="FI101" s="19"/>
      <c r="FJ101" s="19"/>
      <c r="FK101" s="19"/>
      <c r="FL101" s="19"/>
      <c r="FN101" s="8"/>
      <c r="FO101" s="7"/>
      <c r="FP101" s="19"/>
      <c r="FQ101" s="19"/>
      <c r="FR101" s="19"/>
      <c r="FS101" s="19"/>
      <c r="FU101" s="8"/>
      <c r="FV101" s="7"/>
      <c r="FW101" s="19"/>
      <c r="FX101" s="19"/>
      <c r="FY101" s="19"/>
      <c r="FZ101" s="19"/>
      <c r="GB101" s="8"/>
      <c r="GC101" s="7"/>
      <c r="GD101" s="19"/>
      <c r="GE101" s="19"/>
      <c r="GF101" s="19"/>
      <c r="GG101" s="19"/>
      <c r="GI101" s="8"/>
      <c r="GJ101" s="7"/>
      <c r="GK101" s="19"/>
      <c r="GL101" s="19"/>
      <c r="GM101" s="19"/>
      <c r="GN101" s="19"/>
      <c r="GP101" s="8"/>
      <c r="GQ101" s="7"/>
      <c r="GR101" s="19"/>
      <c r="GS101" s="19"/>
      <c r="GT101" s="19"/>
      <c r="GU101" s="19"/>
      <c r="GW101" s="8"/>
      <c r="GX101" s="7"/>
      <c r="GY101" s="19"/>
      <c r="GZ101" s="19"/>
      <c r="HA101" s="19"/>
      <c r="HB101" s="19"/>
      <c r="HD101" s="8"/>
      <c r="HE101" s="7"/>
      <c r="HF101" s="19"/>
      <c r="HG101" s="19"/>
      <c r="HH101" s="19"/>
      <c r="HI101" s="19"/>
      <c r="HK101" s="8"/>
      <c r="HL101" s="7"/>
      <c r="HM101" s="19"/>
      <c r="HN101" s="19"/>
      <c r="HO101" s="19"/>
      <c r="HP101" s="19"/>
      <c r="HR101" s="8"/>
      <c r="HS101" s="7"/>
      <c r="HT101" s="19"/>
      <c r="HU101" s="19"/>
      <c r="HV101" s="19"/>
      <c r="HW101" s="19"/>
      <c r="HY101" s="8"/>
      <c r="HZ101" s="7"/>
      <c r="IA101" s="19"/>
      <c r="IB101" s="19"/>
      <c r="IC101" s="19"/>
      <c r="ID101" s="19"/>
      <c r="IF101" s="8"/>
      <c r="IG101" s="7"/>
      <c r="IH101" s="19"/>
      <c r="II101" s="19"/>
      <c r="IJ101" s="19"/>
      <c r="IK101" s="19"/>
      <c r="IM101" s="8"/>
      <c r="IN101" s="7"/>
      <c r="IO101" s="19"/>
      <c r="IP101" s="19"/>
      <c r="IQ101" s="19"/>
      <c r="IR101" s="19"/>
      <c r="IT101" s="8"/>
      <c r="IU101" s="7"/>
      <c r="IV101" s="19"/>
      <c r="IW101" s="19"/>
      <c r="IX101" s="19"/>
      <c r="IY101" s="19"/>
      <c r="JA101" s="8"/>
      <c r="JB101" s="7"/>
      <c r="JC101" s="19"/>
      <c r="JD101" s="19"/>
      <c r="JE101" s="19"/>
      <c r="JF101" s="19"/>
      <c r="JH101" s="8"/>
      <c r="JI101" s="7"/>
      <c r="JJ101" s="19"/>
      <c r="JK101" s="19"/>
      <c r="JL101" s="19"/>
      <c r="JM101" s="19"/>
      <c r="JO101" s="8"/>
      <c r="JP101" s="7"/>
      <c r="JQ101" s="19"/>
      <c r="JR101" s="19"/>
      <c r="JS101" s="19"/>
      <c r="JT101" s="19"/>
      <c r="JV101" s="8"/>
      <c r="JW101" s="7"/>
      <c r="JX101" s="19"/>
      <c r="JY101" s="19"/>
      <c r="JZ101" s="19"/>
      <c r="KA101" s="19"/>
      <c r="KC101" s="8"/>
      <c r="KD101" s="7"/>
      <c r="KE101" s="19"/>
      <c r="KF101" s="19"/>
      <c r="KG101" s="19"/>
      <c r="KH101" s="19"/>
      <c r="KJ101" s="8"/>
      <c r="KK101" s="7"/>
      <c r="KL101" s="19"/>
      <c r="KM101" s="19"/>
      <c r="KN101" s="19"/>
      <c r="KO101" s="19"/>
      <c r="KQ101" s="8"/>
      <c r="KR101" s="7"/>
      <c r="KS101" s="19"/>
      <c r="KT101" s="19"/>
      <c r="KU101" s="19"/>
      <c r="KV101" s="19"/>
      <c r="KX101" s="8"/>
      <c r="KY101" s="7"/>
      <c r="KZ101" s="19"/>
      <c r="LA101" s="19"/>
      <c r="LB101" s="19"/>
      <c r="LC101" s="19"/>
      <c r="LE101" s="8"/>
      <c r="LF101" s="7"/>
      <c r="LG101" s="19"/>
      <c r="LH101" s="19"/>
      <c r="LI101" s="19"/>
      <c r="LJ101" s="19"/>
      <c r="LL101" s="8"/>
      <c r="LM101" s="7"/>
      <c r="LN101" s="19"/>
      <c r="LO101" s="19"/>
      <c r="LP101" s="19"/>
      <c r="LQ101" s="19"/>
      <c r="LS101" s="8"/>
      <c r="LT101" s="7"/>
      <c r="LU101" s="19"/>
      <c r="LV101" s="19"/>
      <c r="LW101" s="19"/>
      <c r="LX101" s="19"/>
      <c r="LZ101" s="8"/>
      <c r="MA101" s="7"/>
      <c r="MB101" s="19"/>
      <c r="MC101" s="19"/>
      <c r="MD101" s="19"/>
      <c r="ME101" s="19"/>
      <c r="MG101" s="8"/>
      <c r="MH101" s="7"/>
      <c r="MI101" s="19"/>
      <c r="MJ101" s="19"/>
      <c r="MK101" s="19"/>
      <c r="ML101" s="19"/>
      <c r="MN101" s="8"/>
      <c r="MO101" s="7"/>
      <c r="MP101" s="19"/>
      <c r="MQ101" s="19"/>
      <c r="MR101" s="19"/>
      <c r="MS101" s="19"/>
      <c r="MU101" s="8"/>
      <c r="MV101" s="7"/>
      <c r="MW101" s="19"/>
      <c r="MX101" s="19"/>
      <c r="MY101" s="19"/>
      <c r="MZ101" s="19"/>
      <c r="NB101" s="8"/>
      <c r="NC101" s="7"/>
      <c r="ND101" s="19"/>
      <c r="NE101" s="19"/>
      <c r="NF101" s="19"/>
      <c r="NG101" s="19"/>
      <c r="NI101" s="8"/>
      <c r="NJ101" s="7"/>
      <c r="NK101" s="19"/>
      <c r="NL101" s="19"/>
      <c r="NM101" s="19"/>
      <c r="NN101" s="19"/>
      <c r="NP101" s="8"/>
      <c r="NQ101" s="7"/>
      <c r="NR101" s="19"/>
      <c r="NS101" s="19"/>
      <c r="NT101" s="19"/>
      <c r="NU101" s="19"/>
      <c r="NW101" s="8"/>
      <c r="NX101" s="7"/>
      <c r="NY101" s="19"/>
      <c r="NZ101" s="19"/>
      <c r="OA101" s="19"/>
      <c r="OB101" s="19"/>
      <c r="OD101" s="8"/>
      <c r="OE101" s="7"/>
      <c r="OF101" s="19"/>
      <c r="OG101" s="19"/>
      <c r="OH101" s="19"/>
      <c r="OI101" s="19"/>
      <c r="OK101" s="8"/>
      <c r="OL101" s="7"/>
      <c r="OM101" s="19"/>
      <c r="ON101" s="19"/>
      <c r="OO101" s="19"/>
      <c r="OP101" s="19"/>
      <c r="OR101" s="8"/>
      <c r="OS101" s="7"/>
      <c r="OT101" s="19"/>
      <c r="OU101" s="19"/>
      <c r="OV101" s="19"/>
      <c r="OW101" s="19"/>
      <c r="OY101" s="8"/>
      <c r="OZ101" s="7"/>
      <c r="PA101" s="19"/>
      <c r="PB101" s="19"/>
      <c r="PC101" s="19"/>
      <c r="PD101" s="19"/>
      <c r="PF101" s="8"/>
      <c r="PG101" s="7"/>
      <c r="PH101" s="19"/>
      <c r="PI101" s="19"/>
      <c r="PJ101" s="19"/>
      <c r="PK101" s="19"/>
      <c r="PM101" s="8"/>
    </row>
    <row r="102" spans="1:429" s="1" customFormat="1" ht="26" customHeight="1" outlineLevel="1">
      <c r="B102" s="471"/>
      <c r="C102" s="7"/>
      <c r="D102" s="19"/>
      <c r="E102" s="19"/>
      <c r="F102" s="19"/>
      <c r="G102" s="19"/>
      <c r="I102" s="8"/>
      <c r="J102" s="7"/>
      <c r="K102" s="19"/>
      <c r="L102" s="19"/>
      <c r="M102" s="19"/>
      <c r="N102" s="19"/>
      <c r="P102" s="8"/>
      <c r="Q102" s="7"/>
      <c r="R102" s="19"/>
      <c r="S102" s="19"/>
      <c r="T102" s="19"/>
      <c r="U102" s="19"/>
      <c r="W102" s="8"/>
      <c r="X102" s="7"/>
      <c r="Y102" s="19"/>
      <c r="Z102" s="19"/>
      <c r="AA102" s="19"/>
      <c r="AB102" s="19"/>
      <c r="AD102" s="8"/>
      <c r="AE102" s="7"/>
      <c r="AF102" s="19"/>
      <c r="AG102" s="19"/>
      <c r="AH102" s="19"/>
      <c r="AI102" s="19"/>
      <c r="AK102" s="8"/>
      <c r="AL102" s="7"/>
      <c r="AM102" s="19"/>
      <c r="AN102" s="19"/>
      <c r="AO102" s="19"/>
      <c r="AP102" s="19"/>
      <c r="AR102" s="8"/>
      <c r="AS102" s="7"/>
      <c r="AT102" s="19"/>
      <c r="AU102" s="19"/>
      <c r="AV102" s="19"/>
      <c r="AW102" s="19"/>
      <c r="AY102" s="8"/>
      <c r="AZ102" s="7"/>
      <c r="BA102" s="19"/>
      <c r="BB102" s="19"/>
      <c r="BC102" s="19"/>
      <c r="BD102" s="19"/>
      <c r="BF102" s="8"/>
      <c r="BG102" s="7"/>
      <c r="BH102" s="19"/>
      <c r="BI102" s="19"/>
      <c r="BJ102" s="19"/>
      <c r="BK102" s="19"/>
      <c r="BM102" s="8"/>
      <c r="BN102" s="7"/>
      <c r="BO102" s="19"/>
      <c r="BP102" s="19"/>
      <c r="BQ102" s="19"/>
      <c r="BR102" s="19"/>
      <c r="BT102" s="8"/>
      <c r="BU102" s="7" t="s">
        <v>110</v>
      </c>
      <c r="BV102" s="19" t="s">
        <v>149</v>
      </c>
      <c r="BW102" s="19"/>
      <c r="BX102" s="19"/>
      <c r="BY102" s="19"/>
      <c r="CA102" s="8" t="s">
        <v>137</v>
      </c>
      <c r="CB102" s="7"/>
      <c r="CC102" s="19"/>
      <c r="CD102" s="19"/>
      <c r="CE102" s="19"/>
      <c r="CF102" s="19"/>
      <c r="CH102" s="8"/>
      <c r="CI102" s="7"/>
      <c r="CJ102" s="19"/>
      <c r="CK102" s="19"/>
      <c r="CL102" s="19"/>
      <c r="CM102" s="19"/>
      <c r="CO102" s="8"/>
      <c r="CP102" s="7"/>
      <c r="CQ102" s="19"/>
      <c r="CR102" s="19"/>
      <c r="CS102" s="19"/>
      <c r="CT102" s="19"/>
      <c r="CV102" s="8"/>
      <c r="CW102" s="7"/>
      <c r="CX102" s="19"/>
      <c r="CY102" s="19"/>
      <c r="CZ102" s="19"/>
      <c r="DA102" s="19"/>
      <c r="DC102" s="8"/>
      <c r="DD102" s="7"/>
      <c r="DE102" s="19"/>
      <c r="DF102" s="19"/>
      <c r="DG102" s="19"/>
      <c r="DH102" s="19"/>
      <c r="DJ102" s="8"/>
      <c r="DK102" s="7" t="s">
        <v>110</v>
      </c>
      <c r="DL102" s="19" t="s">
        <v>197</v>
      </c>
      <c r="DM102" s="19"/>
      <c r="DN102" s="19"/>
      <c r="DO102" s="19"/>
      <c r="DQ102" s="8">
        <v>8</v>
      </c>
      <c r="DR102" s="7"/>
      <c r="DS102" s="19" t="s">
        <v>180</v>
      </c>
      <c r="DT102" s="19"/>
      <c r="DU102" s="19"/>
      <c r="DV102" s="19"/>
      <c r="DX102" s="8">
        <v>7</v>
      </c>
      <c r="DY102" s="7"/>
      <c r="DZ102" s="19" t="s">
        <v>180</v>
      </c>
      <c r="EA102" s="19"/>
      <c r="EB102" s="19"/>
      <c r="EC102" s="19"/>
      <c r="EE102" s="8">
        <v>6</v>
      </c>
      <c r="EF102" s="7" t="s">
        <v>110</v>
      </c>
      <c r="EG102" s="19" t="s">
        <v>55</v>
      </c>
      <c r="EH102" s="19"/>
      <c r="EI102" s="19"/>
      <c r="EJ102" s="19"/>
      <c r="EL102" s="8" t="s">
        <v>483</v>
      </c>
      <c r="EM102" s="7"/>
      <c r="EN102" s="19" t="s">
        <v>180</v>
      </c>
      <c r="EO102" s="19"/>
      <c r="EP102" s="19"/>
      <c r="EQ102" s="19"/>
      <c r="ES102" s="8" t="s">
        <v>483</v>
      </c>
      <c r="ET102" s="7"/>
      <c r="EU102" s="19" t="s">
        <v>180</v>
      </c>
      <c r="EV102" s="19"/>
      <c r="EW102" s="19"/>
      <c r="EX102" s="19"/>
      <c r="EZ102" s="8" t="s">
        <v>483</v>
      </c>
      <c r="FA102" s="7"/>
      <c r="FB102" s="19"/>
      <c r="FC102" s="19"/>
      <c r="FD102" s="19"/>
      <c r="FE102" s="19"/>
      <c r="FG102" s="8"/>
      <c r="FH102" s="7"/>
      <c r="FI102" s="19"/>
      <c r="FJ102" s="19"/>
      <c r="FK102" s="19"/>
      <c r="FL102" s="19"/>
      <c r="FN102" s="8"/>
      <c r="FO102" s="7"/>
      <c r="FP102" s="19"/>
      <c r="FQ102" s="19"/>
      <c r="FR102" s="19"/>
      <c r="FS102" s="19"/>
      <c r="FU102" s="8"/>
      <c r="FV102" s="7"/>
      <c r="FW102" s="19"/>
      <c r="FX102" s="19"/>
      <c r="FY102" s="19"/>
      <c r="FZ102" s="19"/>
      <c r="GB102" s="8"/>
      <c r="GC102" s="7"/>
      <c r="GD102" s="19"/>
      <c r="GE102" s="19"/>
      <c r="GF102" s="19"/>
      <c r="GG102" s="19"/>
      <c r="GI102" s="8"/>
      <c r="GJ102" s="7"/>
      <c r="GK102" s="19"/>
      <c r="GL102" s="19"/>
      <c r="GM102" s="19"/>
      <c r="GN102" s="19"/>
      <c r="GP102" s="8"/>
      <c r="GQ102" s="7"/>
      <c r="GR102" s="19"/>
      <c r="GS102" s="19"/>
      <c r="GT102" s="19"/>
      <c r="GU102" s="19"/>
      <c r="GW102" s="8"/>
      <c r="GX102" s="7"/>
      <c r="GY102" s="19"/>
      <c r="GZ102" s="19"/>
      <c r="HA102" s="19"/>
      <c r="HB102" s="19"/>
      <c r="HD102" s="8"/>
      <c r="HE102" s="7"/>
      <c r="HF102" s="19"/>
      <c r="HG102" s="19"/>
      <c r="HH102" s="19"/>
      <c r="HI102" s="19"/>
      <c r="HK102" s="8"/>
      <c r="HL102" s="7"/>
      <c r="HM102" s="19"/>
      <c r="HN102" s="19"/>
      <c r="HO102" s="19"/>
      <c r="HP102" s="19"/>
      <c r="HR102" s="8"/>
      <c r="HS102" s="7"/>
      <c r="HT102" s="19"/>
      <c r="HU102" s="19"/>
      <c r="HV102" s="19"/>
      <c r="HW102" s="19"/>
      <c r="HY102" s="8"/>
      <c r="HZ102" s="7"/>
      <c r="IA102" s="19"/>
      <c r="IB102" s="19"/>
      <c r="IC102" s="19"/>
      <c r="ID102" s="19"/>
      <c r="IF102" s="8"/>
      <c r="IG102" s="7"/>
      <c r="IH102" s="19"/>
      <c r="II102" s="19"/>
      <c r="IJ102" s="19"/>
      <c r="IK102" s="19"/>
      <c r="IM102" s="8"/>
      <c r="IN102" s="7"/>
      <c r="IO102" s="19"/>
      <c r="IP102" s="19"/>
      <c r="IQ102" s="19"/>
      <c r="IR102" s="19"/>
      <c r="IT102" s="8"/>
      <c r="IU102" s="7"/>
      <c r="IV102" s="19"/>
      <c r="IW102" s="19"/>
      <c r="IX102" s="19"/>
      <c r="IY102" s="19"/>
      <c r="JA102" s="8"/>
      <c r="JB102" s="7"/>
      <c r="JC102" s="19"/>
      <c r="JD102" s="19"/>
      <c r="JE102" s="19"/>
      <c r="JF102" s="19"/>
      <c r="JH102" s="8"/>
      <c r="JI102" s="7"/>
      <c r="JJ102" s="19"/>
      <c r="JK102" s="19"/>
      <c r="JL102" s="19"/>
      <c r="JM102" s="19"/>
      <c r="JO102" s="8"/>
      <c r="JP102" s="7"/>
      <c r="JQ102" s="19"/>
      <c r="JR102" s="19"/>
      <c r="JS102" s="19"/>
      <c r="JT102" s="19"/>
      <c r="JV102" s="8"/>
      <c r="JW102" s="7"/>
      <c r="JX102" s="19"/>
      <c r="JY102" s="19"/>
      <c r="JZ102" s="19"/>
      <c r="KA102" s="19"/>
      <c r="KC102" s="8"/>
      <c r="KD102" s="7"/>
      <c r="KE102" s="19"/>
      <c r="KF102" s="19"/>
      <c r="KG102" s="19"/>
      <c r="KH102" s="19"/>
      <c r="KJ102" s="8"/>
      <c r="KK102" s="7"/>
      <c r="KL102" s="19"/>
      <c r="KM102" s="19"/>
      <c r="KN102" s="19"/>
      <c r="KO102" s="19"/>
      <c r="KQ102" s="8"/>
      <c r="KR102" s="7"/>
      <c r="KS102" s="19"/>
      <c r="KT102" s="19"/>
      <c r="KU102" s="19"/>
      <c r="KV102" s="19"/>
      <c r="KX102" s="8"/>
      <c r="KY102" s="7"/>
      <c r="KZ102" s="19"/>
      <c r="LA102" s="19"/>
      <c r="LB102" s="19"/>
      <c r="LC102" s="19"/>
      <c r="LE102" s="8"/>
      <c r="LF102" s="7"/>
      <c r="LG102" s="19"/>
      <c r="LH102" s="19"/>
      <c r="LI102" s="19"/>
      <c r="LJ102" s="19"/>
      <c r="LL102" s="8"/>
      <c r="LM102" s="7"/>
      <c r="LN102" s="19"/>
      <c r="LO102" s="19"/>
      <c r="LP102" s="19"/>
      <c r="LQ102" s="19"/>
      <c r="LS102" s="8"/>
      <c r="LT102" s="7"/>
      <c r="LU102" s="19"/>
      <c r="LV102" s="19"/>
      <c r="LW102" s="19"/>
      <c r="LX102" s="19"/>
      <c r="LZ102" s="8"/>
      <c r="MA102" s="7"/>
      <c r="MB102" s="19"/>
      <c r="MC102" s="19"/>
      <c r="MD102" s="19"/>
      <c r="ME102" s="19"/>
      <c r="MG102" s="8"/>
      <c r="MH102" s="7"/>
      <c r="MI102" s="19"/>
      <c r="MJ102" s="19"/>
      <c r="MK102" s="19"/>
      <c r="ML102" s="19"/>
      <c r="MN102" s="8"/>
      <c r="MO102" s="7"/>
      <c r="MP102" s="19"/>
      <c r="MQ102" s="19"/>
      <c r="MR102" s="19"/>
      <c r="MS102" s="19"/>
      <c r="MU102" s="8"/>
      <c r="MV102" s="7"/>
      <c r="MW102" s="19"/>
      <c r="MX102" s="19"/>
      <c r="MY102" s="19"/>
      <c r="MZ102" s="19"/>
      <c r="NB102" s="8"/>
      <c r="NC102" s="7"/>
      <c r="ND102" s="19"/>
      <c r="NE102" s="19"/>
      <c r="NF102" s="19"/>
      <c r="NG102" s="19"/>
      <c r="NI102" s="8"/>
      <c r="NJ102" s="7"/>
      <c r="NK102" s="19"/>
      <c r="NL102" s="19"/>
      <c r="NM102" s="19"/>
      <c r="NN102" s="19"/>
      <c r="NP102" s="8"/>
      <c r="NQ102" s="7"/>
      <c r="NR102" s="19"/>
      <c r="NS102" s="19"/>
      <c r="NT102" s="19"/>
      <c r="NU102" s="19"/>
      <c r="NW102" s="8"/>
      <c r="NX102" s="7"/>
      <c r="NY102" s="19"/>
      <c r="NZ102" s="19"/>
      <c r="OA102" s="19"/>
      <c r="OB102" s="19"/>
      <c r="OD102" s="8"/>
      <c r="OE102" s="7"/>
      <c r="OF102" s="19"/>
      <c r="OG102" s="19"/>
      <c r="OH102" s="19"/>
      <c r="OI102" s="19"/>
      <c r="OK102" s="8"/>
      <c r="OL102" s="7"/>
      <c r="OM102" s="19"/>
      <c r="ON102" s="19"/>
      <c r="OO102" s="19"/>
      <c r="OP102" s="19"/>
      <c r="OR102" s="8"/>
      <c r="OS102" s="7"/>
      <c r="OT102" s="19"/>
      <c r="OU102" s="19"/>
      <c r="OV102" s="19"/>
      <c r="OW102" s="19"/>
      <c r="OY102" s="8"/>
      <c r="OZ102" s="7"/>
      <c r="PA102" s="19"/>
      <c r="PB102" s="19"/>
      <c r="PC102" s="19"/>
      <c r="PD102" s="19"/>
      <c r="PF102" s="8"/>
      <c r="PG102" s="7"/>
      <c r="PH102" s="19"/>
      <c r="PI102" s="19"/>
      <c r="PJ102" s="19"/>
      <c r="PK102" s="19"/>
      <c r="PM102" s="8"/>
    </row>
    <row r="103" spans="1:429" s="1" customFormat="1" ht="26" customHeight="1" outlineLevel="1">
      <c r="B103" s="471"/>
      <c r="C103" s="7"/>
      <c r="D103" s="19"/>
      <c r="E103" s="19"/>
      <c r="F103" s="19"/>
      <c r="G103" s="19"/>
      <c r="I103" s="8"/>
      <c r="J103" s="7"/>
      <c r="K103" s="19"/>
      <c r="L103" s="19"/>
      <c r="M103" s="19"/>
      <c r="N103" s="19"/>
      <c r="P103" s="8"/>
      <c r="Q103" s="7"/>
      <c r="R103" s="19"/>
      <c r="S103" s="19"/>
      <c r="T103" s="19"/>
      <c r="U103" s="19"/>
      <c r="W103" s="8"/>
      <c r="X103" s="7"/>
      <c r="Y103" s="19"/>
      <c r="Z103" s="19"/>
      <c r="AA103" s="19"/>
      <c r="AB103" s="19"/>
      <c r="AD103" s="8"/>
      <c r="AE103" s="7"/>
      <c r="AF103" s="19"/>
      <c r="AG103" s="19"/>
      <c r="AH103" s="19"/>
      <c r="AI103" s="19"/>
      <c r="AK103" s="8"/>
      <c r="AL103" s="7"/>
      <c r="AM103" s="19"/>
      <c r="AN103" s="19"/>
      <c r="AO103" s="19"/>
      <c r="AP103" s="19"/>
      <c r="AR103" s="8"/>
      <c r="AS103" s="7"/>
      <c r="AT103" s="19"/>
      <c r="AU103" s="19"/>
      <c r="AV103" s="19"/>
      <c r="AW103" s="19"/>
      <c r="AY103" s="8"/>
      <c r="AZ103" s="7"/>
      <c r="BA103" s="19"/>
      <c r="BB103" s="19"/>
      <c r="BC103" s="19"/>
      <c r="BD103" s="19"/>
      <c r="BF103" s="8"/>
      <c r="BG103" s="7"/>
      <c r="BH103" s="19"/>
      <c r="BI103" s="19"/>
      <c r="BJ103" s="19"/>
      <c r="BK103" s="19"/>
      <c r="BM103" s="8"/>
      <c r="BN103" s="7"/>
      <c r="BO103" s="19"/>
      <c r="BP103" s="19"/>
      <c r="BQ103" s="19"/>
      <c r="BR103" s="19"/>
      <c r="BT103" s="8"/>
      <c r="BU103" s="7" t="s">
        <v>111</v>
      </c>
      <c r="BV103" s="19" t="s">
        <v>150</v>
      </c>
      <c r="BW103" s="19"/>
      <c r="BX103" s="19"/>
      <c r="BY103" s="19"/>
      <c r="CA103" s="8">
        <v>8</v>
      </c>
      <c r="CB103" s="7"/>
      <c r="CC103" s="19"/>
      <c r="CD103" s="19"/>
      <c r="CE103" s="19"/>
      <c r="CF103" s="19"/>
      <c r="CH103" s="8"/>
      <c r="CI103" s="7"/>
      <c r="CJ103" s="19"/>
      <c r="CK103" s="19"/>
      <c r="CL103" s="19"/>
      <c r="CM103" s="19"/>
      <c r="CO103" s="8"/>
      <c r="CP103" s="7"/>
      <c r="CQ103" s="19"/>
      <c r="CR103" s="19"/>
      <c r="CS103" s="19"/>
      <c r="CT103" s="19"/>
      <c r="CV103" s="8"/>
      <c r="CW103" s="7"/>
      <c r="CX103" s="19"/>
      <c r="CY103" s="19"/>
      <c r="CZ103" s="19"/>
      <c r="DA103" s="19"/>
      <c r="DC103" s="8"/>
      <c r="DD103" s="7"/>
      <c r="DE103" s="19"/>
      <c r="DF103" s="19"/>
      <c r="DG103" s="19"/>
      <c r="DH103" s="19"/>
      <c r="DJ103" s="8"/>
      <c r="DK103" s="7" t="s">
        <v>111</v>
      </c>
      <c r="DL103" s="19" t="s">
        <v>198</v>
      </c>
      <c r="DM103" s="19"/>
      <c r="DN103" s="19"/>
      <c r="DO103" s="19"/>
      <c r="DQ103" s="8">
        <v>8</v>
      </c>
      <c r="DR103" s="7"/>
      <c r="DS103" s="19" t="s">
        <v>180</v>
      </c>
      <c r="DT103" s="19"/>
      <c r="DU103" s="19"/>
      <c r="DV103" s="19"/>
      <c r="DX103" s="8">
        <v>8</v>
      </c>
      <c r="DY103" s="7"/>
      <c r="DZ103" s="19" t="s">
        <v>180</v>
      </c>
      <c r="EA103" s="19"/>
      <c r="EB103" s="19"/>
      <c r="EC103" s="19"/>
      <c r="EE103" s="8">
        <v>8</v>
      </c>
      <c r="EF103" s="7" t="s">
        <v>111</v>
      </c>
      <c r="EG103" s="19" t="s">
        <v>480</v>
      </c>
      <c r="EH103" s="19"/>
      <c r="EI103" s="19"/>
      <c r="EJ103" s="19"/>
      <c r="EL103" s="8">
        <v>8</v>
      </c>
      <c r="EM103" s="7"/>
      <c r="EN103" s="19" t="s">
        <v>180</v>
      </c>
      <c r="EO103" s="19"/>
      <c r="EP103" s="19"/>
      <c r="EQ103" s="19"/>
      <c r="ES103" s="8">
        <v>8</v>
      </c>
      <c r="ET103" s="7"/>
      <c r="EU103" s="19" t="s">
        <v>180</v>
      </c>
      <c r="EV103" s="19"/>
      <c r="EW103" s="19"/>
      <c r="EX103" s="19"/>
      <c r="EZ103" s="8">
        <v>8</v>
      </c>
      <c r="FA103" s="7"/>
      <c r="FB103" s="19"/>
      <c r="FC103" s="19"/>
      <c r="FD103" s="19"/>
      <c r="FE103" s="19"/>
      <c r="FG103" s="8"/>
      <c r="FH103" s="7"/>
      <c r="FI103" s="19"/>
      <c r="FJ103" s="19"/>
      <c r="FK103" s="19"/>
      <c r="FL103" s="19"/>
      <c r="FN103" s="8"/>
      <c r="FO103" s="7"/>
      <c r="FP103" s="19"/>
      <c r="FQ103" s="19"/>
      <c r="FR103" s="19"/>
      <c r="FS103" s="19"/>
      <c r="FU103" s="8"/>
      <c r="FV103" s="7"/>
      <c r="FW103" s="19"/>
      <c r="FX103" s="19"/>
      <c r="FY103" s="19"/>
      <c r="FZ103" s="19"/>
      <c r="GB103" s="8"/>
      <c r="GC103" s="7"/>
      <c r="GD103" s="19"/>
      <c r="GE103" s="19"/>
      <c r="GF103" s="19"/>
      <c r="GG103" s="19"/>
      <c r="GI103" s="8"/>
      <c r="GJ103" s="7"/>
      <c r="GK103" s="19"/>
      <c r="GL103" s="19"/>
      <c r="GM103" s="19"/>
      <c r="GN103" s="19"/>
      <c r="GP103" s="8"/>
      <c r="GQ103" s="7"/>
      <c r="GR103" s="19"/>
      <c r="GS103" s="19"/>
      <c r="GT103" s="19"/>
      <c r="GU103" s="19"/>
      <c r="GW103" s="8"/>
      <c r="GX103" s="7"/>
      <c r="GY103" s="19"/>
      <c r="GZ103" s="19"/>
      <c r="HA103" s="19"/>
      <c r="HB103" s="19"/>
      <c r="HD103" s="8"/>
      <c r="HE103" s="7"/>
      <c r="HF103" s="19"/>
      <c r="HG103" s="19"/>
      <c r="HH103" s="19"/>
      <c r="HI103" s="19"/>
      <c r="HK103" s="8"/>
      <c r="HL103" s="7"/>
      <c r="HM103" s="19"/>
      <c r="HN103" s="19"/>
      <c r="HO103" s="19"/>
      <c r="HP103" s="19"/>
      <c r="HR103" s="8"/>
      <c r="HS103" s="7"/>
      <c r="HT103" s="19"/>
      <c r="HU103" s="19"/>
      <c r="HV103" s="19"/>
      <c r="HW103" s="19"/>
      <c r="HY103" s="8"/>
      <c r="HZ103" s="7"/>
      <c r="IA103" s="19"/>
      <c r="IB103" s="19"/>
      <c r="IC103" s="19"/>
      <c r="ID103" s="19"/>
      <c r="IF103" s="8"/>
      <c r="IG103" s="7"/>
      <c r="IH103" s="19"/>
      <c r="II103" s="19"/>
      <c r="IJ103" s="19"/>
      <c r="IK103" s="19"/>
      <c r="IM103" s="8"/>
      <c r="IN103" s="7"/>
      <c r="IO103" s="19"/>
      <c r="IP103" s="19"/>
      <c r="IQ103" s="19"/>
      <c r="IR103" s="19"/>
      <c r="IT103" s="8"/>
      <c r="IU103" s="7"/>
      <c r="IV103" s="19"/>
      <c r="IW103" s="19"/>
      <c r="IX103" s="19"/>
      <c r="IY103" s="19"/>
      <c r="JA103" s="8"/>
      <c r="JB103" s="7"/>
      <c r="JC103" s="19"/>
      <c r="JD103" s="19"/>
      <c r="JE103" s="19"/>
      <c r="JF103" s="19"/>
      <c r="JH103" s="8"/>
      <c r="JI103" s="7"/>
      <c r="JJ103" s="19"/>
      <c r="JK103" s="19"/>
      <c r="JL103" s="19"/>
      <c r="JM103" s="19"/>
      <c r="JO103" s="8"/>
      <c r="JP103" s="7"/>
      <c r="JQ103" s="19"/>
      <c r="JR103" s="19"/>
      <c r="JS103" s="19"/>
      <c r="JT103" s="19"/>
      <c r="JV103" s="8"/>
      <c r="JW103" s="7"/>
      <c r="JX103" s="19"/>
      <c r="JY103" s="19"/>
      <c r="JZ103" s="19"/>
      <c r="KA103" s="19"/>
      <c r="KC103" s="8"/>
      <c r="KD103" s="7"/>
      <c r="KE103" s="19"/>
      <c r="KF103" s="19"/>
      <c r="KG103" s="19"/>
      <c r="KH103" s="19"/>
      <c r="KJ103" s="8"/>
      <c r="KK103" s="7"/>
      <c r="KL103" s="19"/>
      <c r="KM103" s="19"/>
      <c r="KN103" s="19"/>
      <c r="KO103" s="19"/>
      <c r="KQ103" s="8"/>
      <c r="KR103" s="7"/>
      <c r="KS103" s="19"/>
      <c r="KT103" s="19"/>
      <c r="KU103" s="19"/>
      <c r="KV103" s="19"/>
      <c r="KX103" s="8"/>
      <c r="KY103" s="7"/>
      <c r="KZ103" s="19"/>
      <c r="LA103" s="19"/>
      <c r="LB103" s="19"/>
      <c r="LC103" s="19"/>
      <c r="LE103" s="8"/>
      <c r="LF103" s="7"/>
      <c r="LG103" s="19"/>
      <c r="LH103" s="19"/>
      <c r="LI103" s="19"/>
      <c r="LJ103" s="19"/>
      <c r="LL103" s="8"/>
      <c r="LM103" s="7"/>
      <c r="LN103" s="19"/>
      <c r="LO103" s="19"/>
      <c r="LP103" s="19"/>
      <c r="LQ103" s="19"/>
      <c r="LS103" s="8"/>
      <c r="LT103" s="7"/>
      <c r="LU103" s="19"/>
      <c r="LV103" s="19"/>
      <c r="LW103" s="19"/>
      <c r="LX103" s="19"/>
      <c r="LZ103" s="8"/>
      <c r="MA103" s="7"/>
      <c r="MB103" s="19"/>
      <c r="MC103" s="19"/>
      <c r="MD103" s="19"/>
      <c r="ME103" s="19"/>
      <c r="MG103" s="8"/>
      <c r="MH103" s="7"/>
      <c r="MI103" s="19"/>
      <c r="MJ103" s="19"/>
      <c r="MK103" s="19"/>
      <c r="ML103" s="19"/>
      <c r="MN103" s="8"/>
      <c r="MO103" s="7"/>
      <c r="MP103" s="19"/>
      <c r="MQ103" s="19"/>
      <c r="MR103" s="19"/>
      <c r="MS103" s="19"/>
      <c r="MU103" s="8"/>
      <c r="MV103" s="7"/>
      <c r="MW103" s="19"/>
      <c r="MX103" s="19"/>
      <c r="MY103" s="19"/>
      <c r="MZ103" s="19"/>
      <c r="NB103" s="8"/>
      <c r="NC103" s="7"/>
      <c r="ND103" s="19"/>
      <c r="NE103" s="19"/>
      <c r="NF103" s="19"/>
      <c r="NG103" s="19"/>
      <c r="NI103" s="8"/>
      <c r="NJ103" s="7"/>
      <c r="NK103" s="19"/>
      <c r="NL103" s="19"/>
      <c r="NM103" s="19"/>
      <c r="NN103" s="19"/>
      <c r="NP103" s="8"/>
      <c r="NQ103" s="7"/>
      <c r="NR103" s="19"/>
      <c r="NS103" s="19"/>
      <c r="NT103" s="19"/>
      <c r="NU103" s="19"/>
      <c r="NW103" s="8"/>
      <c r="NX103" s="7"/>
      <c r="NY103" s="19"/>
      <c r="NZ103" s="19"/>
      <c r="OA103" s="19"/>
      <c r="OB103" s="19"/>
      <c r="OD103" s="8"/>
      <c r="OE103" s="7"/>
      <c r="OF103" s="19"/>
      <c r="OG103" s="19"/>
      <c r="OH103" s="19"/>
      <c r="OI103" s="19"/>
      <c r="OK103" s="8"/>
      <c r="OL103" s="7"/>
      <c r="OM103" s="19"/>
      <c r="ON103" s="19"/>
      <c r="OO103" s="19"/>
      <c r="OP103" s="19"/>
      <c r="OR103" s="8"/>
      <c r="OS103" s="7"/>
      <c r="OT103" s="19"/>
      <c r="OU103" s="19"/>
      <c r="OV103" s="19"/>
      <c r="OW103" s="19"/>
      <c r="OY103" s="8"/>
      <c r="OZ103" s="7"/>
      <c r="PA103" s="19"/>
      <c r="PB103" s="19"/>
      <c r="PC103" s="19"/>
      <c r="PD103" s="19"/>
      <c r="PF103" s="8"/>
      <c r="PG103" s="7"/>
      <c r="PH103" s="19"/>
      <c r="PI103" s="19"/>
      <c r="PJ103" s="19"/>
      <c r="PK103" s="19"/>
      <c r="PM103" s="8"/>
    </row>
    <row r="104" spans="1:429" s="1" customFormat="1" ht="26" customHeight="1" outlineLevel="1">
      <c r="B104" s="471"/>
      <c r="C104" s="7"/>
      <c r="D104" s="19"/>
      <c r="E104" s="19"/>
      <c r="F104" s="19"/>
      <c r="G104" s="19"/>
      <c r="I104" s="8"/>
      <c r="J104" s="7"/>
      <c r="K104" s="19"/>
      <c r="L104" s="19"/>
      <c r="M104" s="19"/>
      <c r="N104" s="19"/>
      <c r="P104" s="8"/>
      <c r="Q104" s="7"/>
      <c r="R104" s="19"/>
      <c r="S104" s="19"/>
      <c r="T104" s="19"/>
      <c r="U104" s="19"/>
      <c r="W104" s="8"/>
      <c r="X104" s="7"/>
      <c r="Y104" s="19"/>
      <c r="Z104" s="19"/>
      <c r="AA104" s="19"/>
      <c r="AB104" s="19"/>
      <c r="AD104" s="8"/>
      <c r="AE104" s="7"/>
      <c r="AF104" s="19"/>
      <c r="AG104" s="19"/>
      <c r="AH104" s="19"/>
      <c r="AI104" s="19"/>
      <c r="AK104" s="8"/>
      <c r="AL104" s="7"/>
      <c r="AM104" s="19"/>
      <c r="AN104" s="19"/>
      <c r="AO104" s="19"/>
      <c r="AP104" s="19"/>
      <c r="AR104" s="8"/>
      <c r="AS104" s="7"/>
      <c r="AT104" s="19"/>
      <c r="AU104" s="19"/>
      <c r="AV104" s="19"/>
      <c r="AW104" s="19"/>
      <c r="AY104" s="8"/>
      <c r="AZ104" s="7"/>
      <c r="BA104" s="19"/>
      <c r="BB104" s="19"/>
      <c r="BC104" s="19"/>
      <c r="BD104" s="19"/>
      <c r="BF104" s="8"/>
      <c r="BG104" s="7"/>
      <c r="BH104" s="19"/>
      <c r="BI104" s="19"/>
      <c r="BJ104" s="19"/>
      <c r="BK104" s="19"/>
      <c r="BM104" s="8"/>
      <c r="BN104" s="7"/>
      <c r="BO104" s="19"/>
      <c r="BP104" s="19"/>
      <c r="BQ104" s="19"/>
      <c r="BR104" s="19"/>
      <c r="BT104" s="8"/>
      <c r="BU104" s="7" t="s">
        <v>112</v>
      </c>
      <c r="BV104" s="19" t="s">
        <v>151</v>
      </c>
      <c r="BW104" s="19"/>
      <c r="BX104" s="19"/>
      <c r="BY104" s="19"/>
      <c r="CA104" s="8">
        <v>8</v>
      </c>
      <c r="CB104" s="7"/>
      <c r="CC104" s="19"/>
      <c r="CD104" s="19"/>
      <c r="CE104" s="19"/>
      <c r="CF104" s="19"/>
      <c r="CH104" s="8"/>
      <c r="CI104" s="7"/>
      <c r="CJ104" s="19"/>
      <c r="CK104" s="19"/>
      <c r="CL104" s="19"/>
      <c r="CM104" s="19"/>
      <c r="CO104" s="8"/>
      <c r="CP104" s="7"/>
      <c r="CQ104" s="19"/>
      <c r="CR104" s="19"/>
      <c r="CS104" s="19"/>
      <c r="CT104" s="19"/>
      <c r="CV104" s="8"/>
      <c r="CW104" s="7"/>
      <c r="CX104" s="19"/>
      <c r="CY104" s="19"/>
      <c r="CZ104" s="19"/>
      <c r="DA104" s="19"/>
      <c r="DC104" s="8"/>
      <c r="DD104" s="7"/>
      <c r="DE104" s="19"/>
      <c r="DF104" s="19"/>
      <c r="DG104" s="19"/>
      <c r="DH104" s="19"/>
      <c r="DJ104" s="8"/>
      <c r="DK104" s="7" t="s">
        <v>112</v>
      </c>
      <c r="DL104" s="19" t="s">
        <v>199</v>
      </c>
      <c r="DM104" s="19"/>
      <c r="DN104" s="19"/>
      <c r="DO104" s="19"/>
      <c r="DQ104" s="8" t="s">
        <v>137</v>
      </c>
      <c r="DR104" s="7"/>
      <c r="DS104" s="19" t="s">
        <v>180</v>
      </c>
      <c r="DT104" s="19"/>
      <c r="DU104" s="19"/>
      <c r="DV104" s="19"/>
      <c r="DX104" s="8" t="s">
        <v>137</v>
      </c>
      <c r="DY104" s="7"/>
      <c r="DZ104" s="19" t="s">
        <v>180</v>
      </c>
      <c r="EA104" s="19"/>
      <c r="EB104" s="19"/>
      <c r="EC104" s="19"/>
      <c r="EE104" s="8" t="s">
        <v>137</v>
      </c>
      <c r="EF104" s="7" t="s">
        <v>112</v>
      </c>
      <c r="EG104" s="19" t="s">
        <v>481</v>
      </c>
      <c r="EH104" s="19"/>
      <c r="EI104" s="19"/>
      <c r="EJ104" s="19"/>
      <c r="EL104" s="8" t="s">
        <v>172</v>
      </c>
      <c r="EM104" s="7"/>
      <c r="EN104" s="19" t="s">
        <v>180</v>
      </c>
      <c r="EO104" s="19"/>
      <c r="EP104" s="19"/>
      <c r="EQ104" s="19"/>
      <c r="ES104" s="8" t="s">
        <v>172</v>
      </c>
      <c r="ET104" s="7"/>
      <c r="EU104" s="19" t="s">
        <v>180</v>
      </c>
      <c r="EV104" s="19"/>
      <c r="EW104" s="19"/>
      <c r="EX104" s="19"/>
      <c r="EZ104" s="8" t="s">
        <v>172</v>
      </c>
      <c r="FA104" s="7"/>
      <c r="FB104" s="19"/>
      <c r="FC104" s="19"/>
      <c r="FD104" s="19"/>
      <c r="FE104" s="19"/>
      <c r="FG104" s="8"/>
      <c r="FH104" s="7"/>
      <c r="FI104" s="19"/>
      <c r="FJ104" s="19"/>
      <c r="FK104" s="19"/>
      <c r="FL104" s="19"/>
      <c r="FN104" s="8"/>
      <c r="FO104" s="7"/>
      <c r="FP104" s="19"/>
      <c r="FQ104" s="19"/>
      <c r="FR104" s="19"/>
      <c r="FS104" s="19"/>
      <c r="FU104" s="8"/>
      <c r="FV104" s="7"/>
      <c r="FW104" s="19"/>
      <c r="FX104" s="19"/>
      <c r="FY104" s="19"/>
      <c r="FZ104" s="19"/>
      <c r="GB104" s="8"/>
      <c r="GC104" s="7"/>
      <c r="GD104" s="19"/>
      <c r="GE104" s="19"/>
      <c r="GF104" s="19"/>
      <c r="GG104" s="19"/>
      <c r="GI104" s="8"/>
      <c r="GJ104" s="7"/>
      <c r="GK104" s="19"/>
      <c r="GL104" s="19"/>
      <c r="GM104" s="19"/>
      <c r="GN104" s="19"/>
      <c r="GP104" s="8"/>
      <c r="GQ104" s="7"/>
      <c r="GR104" s="19"/>
      <c r="GS104" s="19"/>
      <c r="GT104" s="19"/>
      <c r="GU104" s="19"/>
      <c r="GW104" s="8"/>
      <c r="GX104" s="7"/>
      <c r="GY104" s="19"/>
      <c r="GZ104" s="19"/>
      <c r="HA104" s="19"/>
      <c r="HB104" s="19"/>
      <c r="HD104" s="8"/>
      <c r="HE104" s="7"/>
      <c r="HF104" s="19"/>
      <c r="HG104" s="19"/>
      <c r="HH104" s="19"/>
      <c r="HI104" s="19"/>
      <c r="HK104" s="8"/>
      <c r="HL104" s="7"/>
      <c r="HM104" s="19"/>
      <c r="HN104" s="19"/>
      <c r="HO104" s="19"/>
      <c r="HP104" s="19"/>
      <c r="HR104" s="8"/>
      <c r="HS104" s="7"/>
      <c r="HT104" s="19"/>
      <c r="HU104" s="19"/>
      <c r="HV104" s="19"/>
      <c r="HW104" s="19"/>
      <c r="HY104" s="8"/>
      <c r="HZ104" s="7"/>
      <c r="IA104" s="19"/>
      <c r="IB104" s="19"/>
      <c r="IC104" s="19"/>
      <c r="ID104" s="19"/>
      <c r="IF104" s="8"/>
      <c r="IG104" s="7"/>
      <c r="IH104" s="19"/>
      <c r="II104" s="19"/>
      <c r="IJ104" s="19"/>
      <c r="IK104" s="19"/>
      <c r="IM104" s="8"/>
      <c r="IN104" s="7"/>
      <c r="IO104" s="19"/>
      <c r="IP104" s="19"/>
      <c r="IQ104" s="19"/>
      <c r="IR104" s="19"/>
      <c r="IT104" s="8"/>
      <c r="IU104" s="7"/>
      <c r="IV104" s="19"/>
      <c r="IW104" s="19"/>
      <c r="IX104" s="19"/>
      <c r="IY104" s="19"/>
      <c r="JA104" s="8"/>
      <c r="JB104" s="7"/>
      <c r="JC104" s="19"/>
      <c r="JD104" s="19"/>
      <c r="JE104" s="19"/>
      <c r="JF104" s="19"/>
      <c r="JH104" s="8"/>
      <c r="JI104" s="7"/>
      <c r="JJ104" s="19"/>
      <c r="JK104" s="19"/>
      <c r="JL104" s="19"/>
      <c r="JM104" s="19"/>
      <c r="JO104" s="8"/>
      <c r="JP104" s="7"/>
      <c r="JQ104" s="19"/>
      <c r="JR104" s="19"/>
      <c r="JS104" s="19"/>
      <c r="JT104" s="19"/>
      <c r="JV104" s="8"/>
      <c r="JW104" s="7"/>
      <c r="JX104" s="19"/>
      <c r="JY104" s="19"/>
      <c r="JZ104" s="19"/>
      <c r="KA104" s="19"/>
      <c r="KC104" s="8"/>
      <c r="KD104" s="7"/>
      <c r="KE104" s="19"/>
      <c r="KF104" s="19"/>
      <c r="KG104" s="19"/>
      <c r="KH104" s="19"/>
      <c r="KJ104" s="8"/>
      <c r="KK104" s="7"/>
      <c r="KL104" s="19"/>
      <c r="KM104" s="19"/>
      <c r="KN104" s="19"/>
      <c r="KO104" s="19"/>
      <c r="KQ104" s="8"/>
      <c r="KR104" s="7"/>
      <c r="KS104" s="19"/>
      <c r="KT104" s="19"/>
      <c r="KU104" s="19"/>
      <c r="KV104" s="19"/>
      <c r="KX104" s="8"/>
      <c r="KY104" s="7"/>
      <c r="KZ104" s="19"/>
      <c r="LA104" s="19"/>
      <c r="LB104" s="19"/>
      <c r="LC104" s="19"/>
      <c r="LE104" s="8"/>
      <c r="LF104" s="7"/>
      <c r="LG104" s="19"/>
      <c r="LH104" s="19"/>
      <c r="LI104" s="19"/>
      <c r="LJ104" s="19"/>
      <c r="LL104" s="8"/>
      <c r="LM104" s="7"/>
      <c r="LN104" s="19"/>
      <c r="LO104" s="19"/>
      <c r="LP104" s="19"/>
      <c r="LQ104" s="19"/>
      <c r="LS104" s="8"/>
      <c r="LT104" s="7"/>
      <c r="LU104" s="19"/>
      <c r="LV104" s="19"/>
      <c r="LW104" s="19"/>
      <c r="LX104" s="19"/>
      <c r="LZ104" s="8"/>
      <c r="MA104" s="7"/>
      <c r="MB104" s="19"/>
      <c r="MC104" s="19"/>
      <c r="MD104" s="19"/>
      <c r="ME104" s="19"/>
      <c r="MG104" s="8"/>
      <c r="MH104" s="7"/>
      <c r="MI104" s="19"/>
      <c r="MJ104" s="19"/>
      <c r="MK104" s="19"/>
      <c r="ML104" s="19"/>
      <c r="MN104" s="8"/>
      <c r="MO104" s="7"/>
      <c r="MP104" s="19"/>
      <c r="MQ104" s="19"/>
      <c r="MR104" s="19"/>
      <c r="MS104" s="19"/>
      <c r="MU104" s="8"/>
      <c r="MV104" s="7"/>
      <c r="MW104" s="19"/>
      <c r="MX104" s="19"/>
      <c r="MY104" s="19"/>
      <c r="MZ104" s="19"/>
      <c r="NB104" s="8"/>
      <c r="NC104" s="7"/>
      <c r="ND104" s="19"/>
      <c r="NE104" s="19"/>
      <c r="NF104" s="19"/>
      <c r="NG104" s="19"/>
      <c r="NI104" s="8"/>
      <c r="NJ104" s="7"/>
      <c r="NK104" s="19"/>
      <c r="NL104" s="19"/>
      <c r="NM104" s="19"/>
      <c r="NN104" s="19"/>
      <c r="NP104" s="8"/>
      <c r="NQ104" s="7"/>
      <c r="NR104" s="19"/>
      <c r="NS104" s="19"/>
      <c r="NT104" s="19"/>
      <c r="NU104" s="19"/>
      <c r="NW104" s="8"/>
      <c r="NX104" s="7"/>
      <c r="NY104" s="19"/>
      <c r="NZ104" s="19"/>
      <c r="OA104" s="19"/>
      <c r="OB104" s="19"/>
      <c r="OD104" s="8"/>
      <c r="OE104" s="7"/>
      <c r="OF104" s="19"/>
      <c r="OG104" s="19"/>
      <c r="OH104" s="19"/>
      <c r="OI104" s="19"/>
      <c r="OK104" s="8"/>
      <c r="OL104" s="7"/>
      <c r="OM104" s="19"/>
      <c r="ON104" s="19"/>
      <c r="OO104" s="19"/>
      <c r="OP104" s="19"/>
      <c r="OR104" s="8"/>
      <c r="OS104" s="7"/>
      <c r="OT104" s="19"/>
      <c r="OU104" s="19"/>
      <c r="OV104" s="19"/>
      <c r="OW104" s="19"/>
      <c r="OY104" s="8"/>
      <c r="OZ104" s="7"/>
      <c r="PA104" s="19"/>
      <c r="PB104" s="19"/>
      <c r="PC104" s="19"/>
      <c r="PD104" s="19"/>
      <c r="PF104" s="8"/>
      <c r="PG104" s="7"/>
      <c r="PH104" s="19"/>
      <c r="PI104" s="19"/>
      <c r="PJ104" s="19"/>
      <c r="PK104" s="19"/>
      <c r="PM104" s="8"/>
    </row>
    <row r="105" spans="1:429" s="1" customFormat="1" ht="26" customHeight="1" outlineLevel="1">
      <c r="B105" s="471"/>
      <c r="C105" s="7"/>
      <c r="D105" s="19"/>
      <c r="E105" s="19"/>
      <c r="F105" s="19"/>
      <c r="G105" s="19"/>
      <c r="I105" s="8"/>
      <c r="J105" s="7"/>
      <c r="K105" s="19"/>
      <c r="L105" s="19"/>
      <c r="M105" s="19"/>
      <c r="N105" s="19"/>
      <c r="P105" s="8"/>
      <c r="Q105" s="7"/>
      <c r="R105" s="19"/>
      <c r="S105" s="19"/>
      <c r="T105" s="19"/>
      <c r="U105" s="19"/>
      <c r="W105" s="8"/>
      <c r="X105" s="7"/>
      <c r="Y105" s="19"/>
      <c r="Z105" s="19"/>
      <c r="AA105" s="19"/>
      <c r="AB105" s="19"/>
      <c r="AD105" s="8"/>
      <c r="AE105" s="7"/>
      <c r="AF105" s="19"/>
      <c r="AG105" s="19"/>
      <c r="AH105" s="19"/>
      <c r="AI105" s="19"/>
      <c r="AK105" s="8"/>
      <c r="AL105" s="7"/>
      <c r="AM105" s="19"/>
      <c r="AN105" s="19"/>
      <c r="AO105" s="19"/>
      <c r="AP105" s="19"/>
      <c r="AR105" s="8"/>
      <c r="AS105" s="7"/>
      <c r="AT105" s="19"/>
      <c r="AU105" s="19"/>
      <c r="AV105" s="19"/>
      <c r="AW105" s="19"/>
      <c r="AY105" s="8"/>
      <c r="AZ105" s="7"/>
      <c r="BA105" s="19"/>
      <c r="BB105" s="19"/>
      <c r="BC105" s="19"/>
      <c r="BD105" s="19"/>
      <c r="BF105" s="8"/>
      <c r="BG105" s="7"/>
      <c r="BH105" s="19"/>
      <c r="BI105" s="19"/>
      <c r="BJ105" s="19"/>
      <c r="BK105" s="19"/>
      <c r="BM105" s="8"/>
      <c r="BN105" s="7"/>
      <c r="BO105" s="19"/>
      <c r="BP105" s="19"/>
      <c r="BQ105" s="19"/>
      <c r="BR105" s="19"/>
      <c r="BT105" s="8"/>
      <c r="BU105" s="7" t="s">
        <v>113</v>
      </c>
      <c r="BV105" s="19" t="s">
        <v>152</v>
      </c>
      <c r="BW105" s="19"/>
      <c r="BX105" s="19"/>
      <c r="BY105" s="19"/>
      <c r="BZ105" s="1" t="s">
        <v>155</v>
      </c>
      <c r="CA105" s="8" t="s">
        <v>154</v>
      </c>
      <c r="CB105" s="7"/>
      <c r="CC105" s="19"/>
      <c r="CD105" s="19"/>
      <c r="CE105" s="19"/>
      <c r="CF105" s="19"/>
      <c r="CH105" s="8"/>
      <c r="CI105" s="7"/>
      <c r="CJ105" s="19"/>
      <c r="CK105" s="19"/>
      <c r="CL105" s="19"/>
      <c r="CM105" s="19"/>
      <c r="CO105" s="8"/>
      <c r="CP105" s="7"/>
      <c r="CQ105" s="19"/>
      <c r="CR105" s="19"/>
      <c r="CS105" s="19"/>
      <c r="CT105" s="19"/>
      <c r="CV105" s="8"/>
      <c r="CW105" s="7"/>
      <c r="CX105" s="19"/>
      <c r="CY105" s="19"/>
      <c r="CZ105" s="19"/>
      <c r="DA105" s="19"/>
      <c r="DC105" s="8"/>
      <c r="DD105" s="7"/>
      <c r="DE105" s="19"/>
      <c r="DF105" s="19"/>
      <c r="DG105" s="19"/>
      <c r="DH105" s="19"/>
      <c r="DJ105" s="8"/>
      <c r="DK105" s="7"/>
      <c r="DL105" s="19"/>
      <c r="DM105" s="19"/>
      <c r="DN105" s="19"/>
      <c r="DO105" s="19"/>
      <c r="DQ105" s="8"/>
      <c r="DR105" s="7"/>
      <c r="DS105" s="19"/>
      <c r="DT105" s="19"/>
      <c r="DU105" s="19"/>
      <c r="DV105" s="19"/>
      <c r="DX105" s="8"/>
      <c r="DY105" s="7"/>
      <c r="DZ105" s="19"/>
      <c r="EA105" s="19"/>
      <c r="EB105" s="19"/>
      <c r="EC105" s="19"/>
      <c r="EE105" s="8"/>
      <c r="EF105" s="7"/>
      <c r="EG105" s="19"/>
      <c r="EH105" s="19"/>
      <c r="EI105" s="19"/>
      <c r="EJ105" s="19"/>
      <c r="EL105" s="8"/>
      <c r="EM105" s="7"/>
      <c r="EN105" s="19"/>
      <c r="EO105" s="19"/>
      <c r="EP105" s="19"/>
      <c r="EQ105" s="19"/>
      <c r="ES105" s="8"/>
      <c r="ET105" s="7"/>
      <c r="EU105" s="19"/>
      <c r="EV105" s="19"/>
      <c r="EW105" s="19"/>
      <c r="EX105" s="19"/>
      <c r="EZ105" s="8"/>
      <c r="FA105" s="7"/>
      <c r="FB105" s="19"/>
      <c r="FC105" s="19"/>
      <c r="FD105" s="19"/>
      <c r="FE105" s="19"/>
      <c r="FG105" s="8"/>
      <c r="FH105" s="7"/>
      <c r="FI105" s="19"/>
      <c r="FJ105" s="19"/>
      <c r="FK105" s="19"/>
      <c r="FL105" s="19"/>
      <c r="FN105" s="8"/>
      <c r="FO105" s="7"/>
      <c r="FP105" s="19"/>
      <c r="FQ105" s="19"/>
      <c r="FR105" s="19"/>
      <c r="FS105" s="19"/>
      <c r="FU105" s="8"/>
      <c r="FV105" s="7"/>
      <c r="FW105" s="19"/>
      <c r="FX105" s="19"/>
      <c r="FY105" s="19"/>
      <c r="FZ105" s="19"/>
      <c r="GB105" s="8"/>
      <c r="GC105" s="7"/>
      <c r="GD105" s="19"/>
      <c r="GE105" s="19"/>
      <c r="GF105" s="19"/>
      <c r="GG105" s="19"/>
      <c r="GI105" s="8"/>
      <c r="GJ105" s="7"/>
      <c r="GK105" s="19"/>
      <c r="GL105" s="19"/>
      <c r="GM105" s="19"/>
      <c r="GN105" s="19"/>
      <c r="GP105" s="8"/>
      <c r="GQ105" s="7"/>
      <c r="GR105" s="19"/>
      <c r="GS105" s="19"/>
      <c r="GT105" s="19"/>
      <c r="GU105" s="19"/>
      <c r="GW105" s="8"/>
      <c r="GX105" s="7"/>
      <c r="GY105" s="19"/>
      <c r="GZ105" s="19"/>
      <c r="HA105" s="19"/>
      <c r="HB105" s="19"/>
      <c r="HD105" s="8"/>
      <c r="HE105" s="7"/>
      <c r="HF105" s="19"/>
      <c r="HG105" s="19"/>
      <c r="HH105" s="19"/>
      <c r="HI105" s="19"/>
      <c r="HK105" s="8"/>
      <c r="HL105" s="7"/>
      <c r="HM105" s="19"/>
      <c r="HN105" s="19"/>
      <c r="HO105" s="19"/>
      <c r="HP105" s="19"/>
      <c r="HR105" s="8"/>
      <c r="HS105" s="7"/>
      <c r="HT105" s="19"/>
      <c r="HU105" s="19"/>
      <c r="HV105" s="19"/>
      <c r="HW105" s="19"/>
      <c r="HY105" s="8"/>
      <c r="HZ105" s="7"/>
      <c r="IA105" s="19"/>
      <c r="IB105" s="19"/>
      <c r="IC105" s="19"/>
      <c r="ID105" s="19"/>
      <c r="IF105" s="8"/>
      <c r="IG105" s="7"/>
      <c r="IH105" s="19"/>
      <c r="II105" s="19"/>
      <c r="IJ105" s="19"/>
      <c r="IK105" s="19"/>
      <c r="IM105" s="8"/>
      <c r="IN105" s="7"/>
      <c r="IO105" s="19"/>
      <c r="IP105" s="19"/>
      <c r="IQ105" s="19"/>
      <c r="IR105" s="19"/>
      <c r="IT105" s="8"/>
      <c r="IU105" s="7"/>
      <c r="IV105" s="19"/>
      <c r="IW105" s="19"/>
      <c r="IX105" s="19"/>
      <c r="IY105" s="19"/>
      <c r="JA105" s="8"/>
      <c r="JB105" s="7"/>
      <c r="JC105" s="19"/>
      <c r="JD105" s="19"/>
      <c r="JE105" s="19"/>
      <c r="JF105" s="19"/>
      <c r="JH105" s="8"/>
      <c r="JI105" s="7"/>
      <c r="JJ105" s="19"/>
      <c r="JK105" s="19"/>
      <c r="JL105" s="19"/>
      <c r="JM105" s="19"/>
      <c r="JO105" s="8"/>
      <c r="JP105" s="7"/>
      <c r="JQ105" s="19"/>
      <c r="JR105" s="19"/>
      <c r="JS105" s="19"/>
      <c r="JT105" s="19"/>
      <c r="JV105" s="8"/>
      <c r="JW105" s="7"/>
      <c r="JX105" s="19"/>
      <c r="JY105" s="19"/>
      <c r="JZ105" s="19"/>
      <c r="KA105" s="19"/>
      <c r="KC105" s="8"/>
      <c r="KD105" s="7"/>
      <c r="KE105" s="19"/>
      <c r="KF105" s="19"/>
      <c r="KG105" s="19"/>
      <c r="KH105" s="19"/>
      <c r="KJ105" s="8"/>
      <c r="KK105" s="7"/>
      <c r="KL105" s="19"/>
      <c r="KM105" s="19"/>
      <c r="KN105" s="19"/>
      <c r="KO105" s="19"/>
      <c r="KQ105" s="8"/>
      <c r="KR105" s="7"/>
      <c r="KS105" s="19"/>
      <c r="KT105" s="19"/>
      <c r="KU105" s="19"/>
      <c r="KV105" s="19"/>
      <c r="KX105" s="8"/>
      <c r="KY105" s="7"/>
      <c r="KZ105" s="19"/>
      <c r="LA105" s="19"/>
      <c r="LB105" s="19"/>
      <c r="LC105" s="19"/>
      <c r="LE105" s="8"/>
      <c r="LF105" s="7"/>
      <c r="LG105" s="19"/>
      <c r="LH105" s="19"/>
      <c r="LI105" s="19"/>
      <c r="LJ105" s="19"/>
      <c r="LL105" s="8"/>
      <c r="LM105" s="7"/>
      <c r="LN105" s="19"/>
      <c r="LO105" s="19"/>
      <c r="LP105" s="19"/>
      <c r="LQ105" s="19"/>
      <c r="LS105" s="8"/>
      <c r="LT105" s="7"/>
      <c r="LU105" s="19"/>
      <c r="LV105" s="19"/>
      <c r="LW105" s="19"/>
      <c r="LX105" s="19"/>
      <c r="LZ105" s="8"/>
      <c r="MA105" s="7"/>
      <c r="MB105" s="19"/>
      <c r="MC105" s="19"/>
      <c r="MD105" s="19"/>
      <c r="ME105" s="19"/>
      <c r="MG105" s="8"/>
      <c r="MH105" s="7"/>
      <c r="MI105" s="19"/>
      <c r="MJ105" s="19"/>
      <c r="MK105" s="19"/>
      <c r="ML105" s="19"/>
      <c r="MN105" s="8"/>
      <c r="MO105" s="7"/>
      <c r="MP105" s="19"/>
      <c r="MQ105" s="19"/>
      <c r="MR105" s="19"/>
      <c r="MS105" s="19"/>
      <c r="MU105" s="8"/>
      <c r="MV105" s="7"/>
      <c r="MW105" s="19"/>
      <c r="MX105" s="19"/>
      <c r="MY105" s="19"/>
      <c r="MZ105" s="19"/>
      <c r="NB105" s="8"/>
      <c r="NC105" s="7"/>
      <c r="ND105" s="19"/>
      <c r="NE105" s="19"/>
      <c r="NF105" s="19"/>
      <c r="NG105" s="19"/>
      <c r="NI105" s="8"/>
      <c r="NJ105" s="7"/>
      <c r="NK105" s="19"/>
      <c r="NL105" s="19"/>
      <c r="NM105" s="19"/>
      <c r="NN105" s="19"/>
      <c r="NP105" s="8"/>
      <c r="NQ105" s="7"/>
      <c r="NR105" s="19"/>
      <c r="NS105" s="19"/>
      <c r="NT105" s="19"/>
      <c r="NU105" s="19"/>
      <c r="NW105" s="8"/>
      <c r="NX105" s="7"/>
      <c r="NY105" s="19"/>
      <c r="NZ105" s="19"/>
      <c r="OA105" s="19"/>
      <c r="OB105" s="19"/>
      <c r="OD105" s="8"/>
      <c r="OE105" s="7"/>
      <c r="OF105" s="19"/>
      <c r="OG105" s="19"/>
      <c r="OH105" s="19"/>
      <c r="OI105" s="19"/>
      <c r="OK105" s="8"/>
      <c r="OL105" s="7"/>
      <c r="OM105" s="19"/>
      <c r="ON105" s="19"/>
      <c r="OO105" s="19"/>
      <c r="OP105" s="19"/>
      <c r="OR105" s="8"/>
      <c r="OS105" s="7"/>
      <c r="OT105" s="19"/>
      <c r="OU105" s="19"/>
      <c r="OV105" s="19"/>
      <c r="OW105" s="19"/>
      <c r="OY105" s="8"/>
      <c r="OZ105" s="7"/>
      <c r="PA105" s="19"/>
      <c r="PB105" s="19"/>
      <c r="PC105" s="19"/>
      <c r="PD105" s="19"/>
      <c r="PF105" s="8"/>
      <c r="PG105" s="7"/>
      <c r="PH105" s="19"/>
      <c r="PI105" s="19"/>
      <c r="PJ105" s="19"/>
      <c r="PK105" s="19"/>
      <c r="PM105" s="8"/>
    </row>
    <row r="106" spans="1:429" s="1" customFormat="1" ht="26" customHeight="1" outlineLevel="1">
      <c r="B106" s="471"/>
      <c r="C106" s="7"/>
      <c r="D106" s="19"/>
      <c r="E106" s="19"/>
      <c r="F106" s="19"/>
      <c r="G106" s="19"/>
      <c r="I106" s="8"/>
      <c r="J106" s="7"/>
      <c r="K106" s="19"/>
      <c r="L106" s="19"/>
      <c r="M106" s="19"/>
      <c r="N106" s="19"/>
      <c r="P106" s="8"/>
      <c r="Q106" s="7"/>
      <c r="R106" s="19"/>
      <c r="S106" s="19"/>
      <c r="T106" s="19"/>
      <c r="U106" s="19"/>
      <c r="W106" s="8"/>
      <c r="X106" s="7"/>
      <c r="Y106" s="19"/>
      <c r="Z106" s="19"/>
      <c r="AA106" s="19"/>
      <c r="AB106" s="19"/>
      <c r="AD106" s="8"/>
      <c r="AE106" s="7"/>
      <c r="AF106" s="19"/>
      <c r="AG106" s="19"/>
      <c r="AH106" s="19"/>
      <c r="AI106" s="19"/>
      <c r="AK106" s="8"/>
      <c r="AL106" s="7"/>
      <c r="AM106" s="19"/>
      <c r="AN106" s="19"/>
      <c r="AO106" s="19"/>
      <c r="AP106" s="19"/>
      <c r="AR106" s="8"/>
      <c r="AS106" s="7"/>
      <c r="AT106" s="19"/>
      <c r="AU106" s="19"/>
      <c r="AV106" s="19"/>
      <c r="AW106" s="19"/>
      <c r="AY106" s="8"/>
      <c r="AZ106" s="7"/>
      <c r="BA106" s="19"/>
      <c r="BB106" s="19"/>
      <c r="BC106" s="19"/>
      <c r="BD106" s="19"/>
      <c r="BF106" s="8"/>
      <c r="BG106" s="7"/>
      <c r="BH106" s="19"/>
      <c r="BI106" s="19"/>
      <c r="BJ106" s="19"/>
      <c r="BK106" s="19"/>
      <c r="BM106" s="8"/>
      <c r="BN106" s="7"/>
      <c r="BO106" s="19"/>
      <c r="BP106" s="19"/>
      <c r="BQ106" s="19"/>
      <c r="BR106" s="19"/>
      <c r="BT106" s="8"/>
      <c r="BU106" s="7" t="s">
        <v>114</v>
      </c>
      <c r="BV106" s="19" t="s">
        <v>89</v>
      </c>
      <c r="BW106" s="19"/>
      <c r="BX106" s="19"/>
      <c r="BY106" s="19"/>
      <c r="CA106" s="8">
        <v>20</v>
      </c>
      <c r="CB106" s="7"/>
      <c r="CC106" s="19"/>
      <c r="CD106" s="19"/>
      <c r="CE106" s="19"/>
      <c r="CF106" s="19"/>
      <c r="CH106" s="8"/>
      <c r="CI106" s="7"/>
      <c r="CJ106" s="19"/>
      <c r="CK106" s="19"/>
      <c r="CL106" s="19"/>
      <c r="CM106" s="19"/>
      <c r="CO106" s="8"/>
      <c r="CP106" s="7"/>
      <c r="CQ106" s="19"/>
      <c r="CR106" s="19"/>
      <c r="CS106" s="19"/>
      <c r="CT106" s="19"/>
      <c r="CV106" s="8"/>
      <c r="CW106" s="7"/>
      <c r="CX106" s="19"/>
      <c r="CY106" s="19"/>
      <c r="CZ106" s="19"/>
      <c r="DA106" s="19"/>
      <c r="DC106" s="8"/>
      <c r="DD106" s="7"/>
      <c r="DE106" s="19"/>
      <c r="DF106" s="19"/>
      <c r="DG106" s="19"/>
      <c r="DH106" s="19"/>
      <c r="DJ106" s="8"/>
      <c r="DK106" s="7"/>
      <c r="DL106" s="19"/>
      <c r="DM106" s="19"/>
      <c r="DN106" s="19"/>
      <c r="DO106" s="19"/>
      <c r="DQ106" s="8"/>
      <c r="DR106" s="7"/>
      <c r="DS106" s="19"/>
      <c r="DT106" s="19"/>
      <c r="DU106" s="19"/>
      <c r="DV106" s="19"/>
      <c r="DX106" s="8"/>
      <c r="DY106" s="7"/>
      <c r="DZ106" s="19"/>
      <c r="EA106" s="19"/>
      <c r="EB106" s="19"/>
      <c r="EC106" s="19"/>
      <c r="EE106" s="8"/>
      <c r="EF106" s="7"/>
      <c r="EG106" s="19"/>
      <c r="EH106" s="19"/>
      <c r="EI106" s="19"/>
      <c r="EJ106" s="19"/>
      <c r="EL106" s="8"/>
      <c r="EM106" s="7"/>
      <c r="EN106" s="19"/>
      <c r="EO106" s="19"/>
      <c r="EP106" s="19"/>
      <c r="EQ106" s="19"/>
      <c r="ES106" s="8"/>
      <c r="ET106" s="7"/>
      <c r="EU106" s="19"/>
      <c r="EV106" s="19"/>
      <c r="EW106" s="19"/>
      <c r="EX106" s="19"/>
      <c r="EZ106" s="8"/>
      <c r="FA106" s="7"/>
      <c r="FB106" s="19"/>
      <c r="FC106" s="19"/>
      <c r="FD106" s="19"/>
      <c r="FE106" s="19"/>
      <c r="FG106" s="8"/>
      <c r="FH106" s="7"/>
      <c r="FI106" s="19"/>
      <c r="FJ106" s="19"/>
      <c r="FK106" s="19"/>
      <c r="FL106" s="19"/>
      <c r="FN106" s="8"/>
      <c r="FO106" s="7"/>
      <c r="FP106" s="19"/>
      <c r="FQ106" s="19"/>
      <c r="FR106" s="19"/>
      <c r="FS106" s="19"/>
      <c r="FU106" s="8"/>
      <c r="FV106" s="7"/>
      <c r="FW106" s="19"/>
      <c r="FX106" s="19"/>
      <c r="FY106" s="19"/>
      <c r="FZ106" s="19"/>
      <c r="GB106" s="8"/>
      <c r="GC106" s="7"/>
      <c r="GD106" s="19"/>
      <c r="GE106" s="19"/>
      <c r="GF106" s="19"/>
      <c r="GG106" s="19"/>
      <c r="GI106" s="8"/>
      <c r="GJ106" s="7"/>
      <c r="GK106" s="19"/>
      <c r="GL106" s="19"/>
      <c r="GM106" s="19"/>
      <c r="GN106" s="19"/>
      <c r="GP106" s="8"/>
      <c r="GQ106" s="7"/>
      <c r="GR106" s="19"/>
      <c r="GS106" s="19"/>
      <c r="GT106" s="19"/>
      <c r="GU106" s="19"/>
      <c r="GW106" s="8"/>
      <c r="GX106" s="7"/>
      <c r="GY106" s="19"/>
      <c r="GZ106" s="19"/>
      <c r="HA106" s="19"/>
      <c r="HB106" s="19"/>
      <c r="HD106" s="8"/>
      <c r="HE106" s="7"/>
      <c r="HF106" s="19"/>
      <c r="HG106" s="19"/>
      <c r="HH106" s="19"/>
      <c r="HI106" s="19"/>
      <c r="HK106" s="8"/>
      <c r="HL106" s="7"/>
      <c r="HM106" s="19"/>
      <c r="HN106" s="19"/>
      <c r="HO106" s="19"/>
      <c r="HP106" s="19"/>
      <c r="HR106" s="8"/>
      <c r="HS106" s="7"/>
      <c r="HT106" s="19"/>
      <c r="HU106" s="19"/>
      <c r="HV106" s="19"/>
      <c r="HW106" s="19"/>
      <c r="HY106" s="8"/>
      <c r="HZ106" s="7"/>
      <c r="IA106" s="19"/>
      <c r="IB106" s="19"/>
      <c r="IC106" s="19"/>
      <c r="ID106" s="19"/>
      <c r="IF106" s="8"/>
      <c r="IG106" s="7"/>
      <c r="IH106" s="19"/>
      <c r="II106" s="19"/>
      <c r="IJ106" s="19"/>
      <c r="IK106" s="19"/>
      <c r="IM106" s="8"/>
      <c r="IN106" s="7"/>
      <c r="IO106" s="19"/>
      <c r="IP106" s="19"/>
      <c r="IQ106" s="19"/>
      <c r="IR106" s="19"/>
      <c r="IT106" s="8"/>
      <c r="IU106" s="7"/>
      <c r="IV106" s="19"/>
      <c r="IW106" s="19"/>
      <c r="IX106" s="19"/>
      <c r="IY106" s="19"/>
      <c r="JA106" s="8"/>
      <c r="JB106" s="7"/>
      <c r="JC106" s="19"/>
      <c r="JD106" s="19"/>
      <c r="JE106" s="19"/>
      <c r="JF106" s="19"/>
      <c r="JH106" s="8"/>
      <c r="JI106" s="7"/>
      <c r="JJ106" s="19"/>
      <c r="JK106" s="19"/>
      <c r="JL106" s="19"/>
      <c r="JM106" s="19"/>
      <c r="JO106" s="8"/>
      <c r="JP106" s="7"/>
      <c r="JQ106" s="19"/>
      <c r="JR106" s="19"/>
      <c r="JS106" s="19"/>
      <c r="JT106" s="19"/>
      <c r="JV106" s="8"/>
      <c r="JW106" s="7"/>
      <c r="JX106" s="19"/>
      <c r="JY106" s="19"/>
      <c r="JZ106" s="19"/>
      <c r="KA106" s="19"/>
      <c r="KC106" s="8"/>
      <c r="KD106" s="7"/>
      <c r="KE106" s="19"/>
      <c r="KF106" s="19"/>
      <c r="KG106" s="19"/>
      <c r="KH106" s="19"/>
      <c r="KJ106" s="8"/>
      <c r="KK106" s="7"/>
      <c r="KL106" s="19"/>
      <c r="KM106" s="19"/>
      <c r="KN106" s="19"/>
      <c r="KO106" s="19"/>
      <c r="KQ106" s="8"/>
      <c r="KR106" s="7"/>
      <c r="KS106" s="19"/>
      <c r="KT106" s="19"/>
      <c r="KU106" s="19"/>
      <c r="KV106" s="19"/>
      <c r="KX106" s="8"/>
      <c r="KY106" s="7"/>
      <c r="KZ106" s="19"/>
      <c r="LA106" s="19"/>
      <c r="LB106" s="19"/>
      <c r="LC106" s="19"/>
      <c r="LE106" s="8"/>
      <c r="LF106" s="7"/>
      <c r="LG106" s="19"/>
      <c r="LH106" s="19"/>
      <c r="LI106" s="19"/>
      <c r="LJ106" s="19"/>
      <c r="LL106" s="8"/>
      <c r="LM106" s="7"/>
      <c r="LN106" s="19"/>
      <c r="LO106" s="19"/>
      <c r="LP106" s="19"/>
      <c r="LQ106" s="19"/>
      <c r="LS106" s="8"/>
      <c r="LT106" s="7"/>
      <c r="LU106" s="19"/>
      <c r="LV106" s="19"/>
      <c r="LW106" s="19"/>
      <c r="LX106" s="19"/>
      <c r="LZ106" s="8"/>
      <c r="MA106" s="7"/>
      <c r="MB106" s="19"/>
      <c r="MC106" s="19"/>
      <c r="MD106" s="19"/>
      <c r="ME106" s="19"/>
      <c r="MG106" s="8"/>
      <c r="MH106" s="7"/>
      <c r="MI106" s="19"/>
      <c r="MJ106" s="19"/>
      <c r="MK106" s="19"/>
      <c r="ML106" s="19"/>
      <c r="MN106" s="8"/>
      <c r="MO106" s="7"/>
      <c r="MP106" s="19"/>
      <c r="MQ106" s="19"/>
      <c r="MR106" s="19"/>
      <c r="MS106" s="19"/>
      <c r="MU106" s="8"/>
      <c r="MV106" s="7"/>
      <c r="MW106" s="19"/>
      <c r="MX106" s="19"/>
      <c r="MY106" s="19"/>
      <c r="MZ106" s="19"/>
      <c r="NB106" s="8"/>
      <c r="NC106" s="7"/>
      <c r="ND106" s="19"/>
      <c r="NE106" s="19"/>
      <c r="NF106" s="19"/>
      <c r="NG106" s="19"/>
      <c r="NI106" s="8"/>
      <c r="NJ106" s="7"/>
      <c r="NK106" s="19"/>
      <c r="NL106" s="19"/>
      <c r="NM106" s="19"/>
      <c r="NN106" s="19"/>
      <c r="NP106" s="8"/>
      <c r="NQ106" s="7"/>
      <c r="NR106" s="19"/>
      <c r="NS106" s="19"/>
      <c r="NT106" s="19"/>
      <c r="NU106" s="19"/>
      <c r="NW106" s="8"/>
      <c r="NX106" s="7"/>
      <c r="NY106" s="19"/>
      <c r="NZ106" s="19"/>
      <c r="OA106" s="19"/>
      <c r="OB106" s="19"/>
      <c r="OD106" s="8"/>
      <c r="OE106" s="7"/>
      <c r="OF106" s="19"/>
      <c r="OG106" s="19"/>
      <c r="OH106" s="19"/>
      <c r="OI106" s="19"/>
      <c r="OK106" s="8"/>
      <c r="OL106" s="7"/>
      <c r="OM106" s="19"/>
      <c r="ON106" s="19"/>
      <c r="OO106" s="19"/>
      <c r="OP106" s="19"/>
      <c r="OR106" s="8"/>
      <c r="OS106" s="7"/>
      <c r="OT106" s="19"/>
      <c r="OU106" s="19"/>
      <c r="OV106" s="19"/>
      <c r="OW106" s="19"/>
      <c r="OY106" s="8"/>
      <c r="OZ106" s="7"/>
      <c r="PA106" s="19"/>
      <c r="PB106" s="19"/>
      <c r="PC106" s="19"/>
      <c r="PD106" s="19"/>
      <c r="PF106" s="8"/>
      <c r="PG106" s="7"/>
      <c r="PH106" s="19"/>
      <c r="PI106" s="19"/>
      <c r="PJ106" s="19"/>
      <c r="PK106" s="19"/>
      <c r="PM106" s="8"/>
    </row>
    <row r="107" spans="1:429" s="1" customFormat="1" ht="26" customHeight="1" outlineLevel="1">
      <c r="B107" s="471"/>
      <c r="C107" s="7"/>
      <c r="D107" s="19"/>
      <c r="E107" s="19"/>
      <c r="F107" s="19"/>
      <c r="G107" s="19"/>
      <c r="I107" s="8"/>
      <c r="J107" s="7"/>
      <c r="K107" s="19"/>
      <c r="L107" s="19"/>
      <c r="M107" s="19"/>
      <c r="N107" s="19"/>
      <c r="P107" s="8"/>
      <c r="Q107" s="7"/>
      <c r="R107" s="19"/>
      <c r="S107" s="19"/>
      <c r="T107" s="19"/>
      <c r="U107" s="19"/>
      <c r="W107" s="8"/>
      <c r="X107" s="7"/>
      <c r="Y107" s="19"/>
      <c r="Z107" s="19"/>
      <c r="AA107" s="19"/>
      <c r="AB107" s="19"/>
      <c r="AD107" s="8"/>
      <c r="AE107" s="7"/>
      <c r="AF107" s="19"/>
      <c r="AG107" s="19"/>
      <c r="AH107" s="19"/>
      <c r="AI107" s="19"/>
      <c r="AK107" s="8"/>
      <c r="AL107" s="7"/>
      <c r="AM107" s="19"/>
      <c r="AN107" s="19"/>
      <c r="AO107" s="19"/>
      <c r="AP107" s="19"/>
      <c r="AR107" s="8"/>
      <c r="AS107" s="7"/>
      <c r="AT107" s="19"/>
      <c r="AU107" s="19"/>
      <c r="AV107" s="19"/>
      <c r="AW107" s="19"/>
      <c r="AY107" s="8"/>
      <c r="AZ107" s="7"/>
      <c r="BA107" s="19"/>
      <c r="BB107" s="19"/>
      <c r="BC107" s="19"/>
      <c r="BD107" s="19"/>
      <c r="BF107" s="8"/>
      <c r="BG107" s="7"/>
      <c r="BH107" s="19"/>
      <c r="BI107" s="19"/>
      <c r="BJ107" s="19"/>
      <c r="BK107" s="19"/>
      <c r="BM107" s="8"/>
      <c r="BN107" s="7"/>
      <c r="BO107" s="19"/>
      <c r="BP107" s="19"/>
      <c r="BQ107" s="19"/>
      <c r="BR107" s="19"/>
      <c r="BT107" s="8"/>
      <c r="BU107" s="7" t="s">
        <v>115</v>
      </c>
      <c r="BV107" s="19" t="s">
        <v>153</v>
      </c>
      <c r="BW107" s="19"/>
      <c r="BX107" s="19"/>
      <c r="BY107" s="19"/>
      <c r="CA107" s="8">
        <v>10</v>
      </c>
      <c r="CB107" s="7"/>
      <c r="CC107" s="19"/>
      <c r="CD107" s="19"/>
      <c r="CE107" s="19"/>
      <c r="CF107" s="19"/>
      <c r="CH107" s="8"/>
      <c r="CI107" s="7"/>
      <c r="CJ107" s="19"/>
      <c r="CK107" s="19"/>
      <c r="CL107" s="19"/>
      <c r="CM107" s="19"/>
      <c r="CO107" s="8"/>
      <c r="CP107" s="7"/>
      <c r="CQ107" s="19"/>
      <c r="CR107" s="19"/>
      <c r="CS107" s="19"/>
      <c r="CT107" s="19"/>
      <c r="CV107" s="8"/>
      <c r="CW107" s="7"/>
      <c r="CX107" s="19"/>
      <c r="CY107" s="19"/>
      <c r="CZ107" s="19"/>
      <c r="DA107" s="19"/>
      <c r="DC107" s="8"/>
      <c r="DD107" s="7"/>
      <c r="DE107" s="19"/>
      <c r="DF107" s="19"/>
      <c r="DG107" s="19"/>
      <c r="DH107" s="19"/>
      <c r="DJ107" s="8"/>
      <c r="DK107" s="7"/>
      <c r="DL107" s="19"/>
      <c r="DM107" s="19"/>
      <c r="DN107" s="19"/>
      <c r="DO107" s="19"/>
      <c r="DQ107" s="8"/>
      <c r="DR107" s="7"/>
      <c r="DS107" s="19"/>
      <c r="DT107" s="19"/>
      <c r="DU107" s="19"/>
      <c r="DV107" s="19"/>
      <c r="DX107" s="8"/>
      <c r="DY107" s="7"/>
      <c r="DZ107" s="19"/>
      <c r="EA107" s="19"/>
      <c r="EB107" s="19"/>
      <c r="EC107" s="19"/>
      <c r="EE107" s="8"/>
      <c r="EF107" s="7"/>
      <c r="EG107" s="19"/>
      <c r="EH107" s="19"/>
      <c r="EI107" s="19"/>
      <c r="EJ107" s="19"/>
      <c r="EL107" s="8"/>
      <c r="EM107" s="7"/>
      <c r="EN107" s="19"/>
      <c r="EO107" s="19"/>
      <c r="EP107" s="19"/>
      <c r="EQ107" s="19"/>
      <c r="ES107" s="8"/>
      <c r="ET107" s="7"/>
      <c r="EU107" s="19"/>
      <c r="EV107" s="19"/>
      <c r="EW107" s="19"/>
      <c r="EX107" s="19"/>
      <c r="EZ107" s="8"/>
      <c r="FA107" s="7"/>
      <c r="FB107" s="19"/>
      <c r="FC107" s="19"/>
      <c r="FD107" s="19"/>
      <c r="FE107" s="19"/>
      <c r="FG107" s="8"/>
      <c r="FH107" s="7"/>
      <c r="FI107" s="19"/>
      <c r="FJ107" s="19"/>
      <c r="FK107" s="19"/>
      <c r="FL107" s="19"/>
      <c r="FN107" s="8"/>
      <c r="FO107" s="7"/>
      <c r="FP107" s="19"/>
      <c r="FQ107" s="19"/>
      <c r="FR107" s="19"/>
      <c r="FS107" s="19"/>
      <c r="FU107" s="8"/>
      <c r="FV107" s="7"/>
      <c r="FW107" s="19"/>
      <c r="FX107" s="19"/>
      <c r="FY107" s="19"/>
      <c r="FZ107" s="19"/>
      <c r="GB107" s="8"/>
      <c r="GC107" s="7"/>
      <c r="GD107" s="19"/>
      <c r="GE107" s="19"/>
      <c r="GF107" s="19"/>
      <c r="GG107" s="19"/>
      <c r="GI107" s="8"/>
      <c r="GJ107" s="7"/>
      <c r="GK107" s="19"/>
      <c r="GL107" s="19"/>
      <c r="GM107" s="19"/>
      <c r="GN107" s="19"/>
      <c r="GP107" s="8"/>
      <c r="GQ107" s="7"/>
      <c r="GR107" s="19"/>
      <c r="GS107" s="19"/>
      <c r="GT107" s="19"/>
      <c r="GU107" s="19"/>
      <c r="GW107" s="8"/>
      <c r="GX107" s="7"/>
      <c r="GY107" s="19"/>
      <c r="GZ107" s="19"/>
      <c r="HA107" s="19"/>
      <c r="HB107" s="19"/>
      <c r="HD107" s="8"/>
      <c r="HE107" s="7"/>
      <c r="HF107" s="19"/>
      <c r="HG107" s="19"/>
      <c r="HH107" s="19"/>
      <c r="HI107" s="19"/>
      <c r="HK107" s="8"/>
      <c r="HL107" s="7"/>
      <c r="HM107" s="19"/>
      <c r="HN107" s="19"/>
      <c r="HO107" s="19"/>
      <c r="HP107" s="19"/>
      <c r="HR107" s="8"/>
      <c r="HS107" s="7"/>
      <c r="HT107" s="19"/>
      <c r="HU107" s="19"/>
      <c r="HV107" s="19"/>
      <c r="HW107" s="19"/>
      <c r="HY107" s="8"/>
      <c r="HZ107" s="7"/>
      <c r="IA107" s="19"/>
      <c r="IB107" s="19"/>
      <c r="IC107" s="19"/>
      <c r="ID107" s="19"/>
      <c r="IF107" s="8"/>
      <c r="IG107" s="7"/>
      <c r="IH107" s="19"/>
      <c r="II107" s="19"/>
      <c r="IJ107" s="19"/>
      <c r="IK107" s="19"/>
      <c r="IM107" s="8"/>
      <c r="IN107" s="7"/>
      <c r="IO107" s="19"/>
      <c r="IP107" s="19"/>
      <c r="IQ107" s="19"/>
      <c r="IR107" s="19"/>
      <c r="IT107" s="8"/>
      <c r="IU107" s="7"/>
      <c r="IV107" s="19"/>
      <c r="IW107" s="19"/>
      <c r="IX107" s="19"/>
      <c r="IY107" s="19"/>
      <c r="JA107" s="8"/>
      <c r="JB107" s="7"/>
      <c r="JC107" s="19"/>
      <c r="JD107" s="19"/>
      <c r="JE107" s="19"/>
      <c r="JF107" s="19"/>
      <c r="JH107" s="8"/>
      <c r="JI107" s="7"/>
      <c r="JJ107" s="19"/>
      <c r="JK107" s="19"/>
      <c r="JL107" s="19"/>
      <c r="JM107" s="19"/>
      <c r="JO107" s="8"/>
      <c r="JP107" s="7"/>
      <c r="JQ107" s="19"/>
      <c r="JR107" s="19"/>
      <c r="JS107" s="19"/>
      <c r="JT107" s="19"/>
      <c r="JV107" s="8"/>
      <c r="JW107" s="7"/>
      <c r="JX107" s="19"/>
      <c r="JY107" s="19"/>
      <c r="JZ107" s="19"/>
      <c r="KA107" s="19"/>
      <c r="KC107" s="8"/>
      <c r="KD107" s="7"/>
      <c r="KE107" s="19"/>
      <c r="KF107" s="19"/>
      <c r="KG107" s="19"/>
      <c r="KH107" s="19"/>
      <c r="KJ107" s="8"/>
      <c r="KK107" s="7"/>
      <c r="KL107" s="19"/>
      <c r="KM107" s="19"/>
      <c r="KN107" s="19"/>
      <c r="KO107" s="19"/>
      <c r="KQ107" s="8"/>
      <c r="KR107" s="7"/>
      <c r="KS107" s="19"/>
      <c r="KT107" s="19"/>
      <c r="KU107" s="19"/>
      <c r="KV107" s="19"/>
      <c r="KX107" s="8"/>
      <c r="KY107" s="7"/>
      <c r="KZ107" s="19"/>
      <c r="LA107" s="19"/>
      <c r="LB107" s="19"/>
      <c r="LC107" s="19"/>
      <c r="LE107" s="8"/>
      <c r="LF107" s="7"/>
      <c r="LG107" s="19"/>
      <c r="LH107" s="19"/>
      <c r="LI107" s="19"/>
      <c r="LJ107" s="19"/>
      <c r="LL107" s="8"/>
      <c r="LM107" s="7"/>
      <c r="LN107" s="19"/>
      <c r="LO107" s="19"/>
      <c r="LP107" s="19"/>
      <c r="LQ107" s="19"/>
      <c r="LS107" s="8"/>
      <c r="LT107" s="7"/>
      <c r="LU107" s="19"/>
      <c r="LV107" s="19"/>
      <c r="LW107" s="19"/>
      <c r="LX107" s="19"/>
      <c r="LZ107" s="8"/>
      <c r="MA107" s="7"/>
      <c r="MB107" s="19"/>
      <c r="MC107" s="19"/>
      <c r="MD107" s="19"/>
      <c r="ME107" s="19"/>
      <c r="MG107" s="8"/>
      <c r="MH107" s="7"/>
      <c r="MI107" s="19"/>
      <c r="MJ107" s="19"/>
      <c r="MK107" s="19"/>
      <c r="ML107" s="19"/>
      <c r="MN107" s="8"/>
      <c r="MO107" s="7"/>
      <c r="MP107" s="19"/>
      <c r="MQ107" s="19"/>
      <c r="MR107" s="19"/>
      <c r="MS107" s="19"/>
      <c r="MU107" s="8"/>
      <c r="MV107" s="7"/>
      <c r="MW107" s="19"/>
      <c r="MX107" s="19"/>
      <c r="MY107" s="19"/>
      <c r="MZ107" s="19"/>
      <c r="NB107" s="8"/>
      <c r="NC107" s="7"/>
      <c r="ND107" s="19"/>
      <c r="NE107" s="19"/>
      <c r="NF107" s="19"/>
      <c r="NG107" s="19"/>
      <c r="NI107" s="8"/>
      <c r="NJ107" s="7"/>
      <c r="NK107" s="19"/>
      <c r="NL107" s="19"/>
      <c r="NM107" s="19"/>
      <c r="NN107" s="19"/>
      <c r="NP107" s="8"/>
      <c r="NQ107" s="7"/>
      <c r="NR107" s="19"/>
      <c r="NS107" s="19"/>
      <c r="NT107" s="19"/>
      <c r="NU107" s="19"/>
      <c r="NW107" s="8"/>
      <c r="NX107" s="7"/>
      <c r="NY107" s="19"/>
      <c r="NZ107" s="19"/>
      <c r="OA107" s="19"/>
      <c r="OB107" s="19"/>
      <c r="OD107" s="8"/>
      <c r="OE107" s="7"/>
      <c r="OF107" s="19"/>
      <c r="OG107" s="19"/>
      <c r="OH107" s="19"/>
      <c r="OI107" s="19"/>
      <c r="OK107" s="8"/>
      <c r="OL107" s="7"/>
      <c r="OM107" s="19"/>
      <c r="ON107" s="19"/>
      <c r="OO107" s="19"/>
      <c r="OP107" s="19"/>
      <c r="OR107" s="8"/>
      <c r="OS107" s="7"/>
      <c r="OT107" s="19"/>
      <c r="OU107" s="19"/>
      <c r="OV107" s="19"/>
      <c r="OW107" s="19"/>
      <c r="OY107" s="8"/>
      <c r="OZ107" s="7"/>
      <c r="PA107" s="19"/>
      <c r="PB107" s="19"/>
      <c r="PC107" s="19"/>
      <c r="PD107" s="19"/>
      <c r="PF107" s="8"/>
      <c r="PG107" s="7"/>
      <c r="PH107" s="19"/>
      <c r="PI107" s="19"/>
      <c r="PJ107" s="19"/>
      <c r="PK107" s="19"/>
      <c r="PM107" s="8"/>
    </row>
    <row r="108" spans="1:429" s="1" customFormat="1" ht="26" customHeight="1" outlineLevel="1">
      <c r="B108" s="471"/>
      <c r="C108" s="7"/>
      <c r="D108" s="19"/>
      <c r="E108" s="19"/>
      <c r="F108" s="19"/>
      <c r="G108" s="19"/>
      <c r="I108" s="8"/>
      <c r="J108" s="7"/>
      <c r="K108" s="19"/>
      <c r="L108" s="19"/>
      <c r="M108" s="19"/>
      <c r="N108" s="19"/>
      <c r="P108" s="8"/>
      <c r="Q108" s="7"/>
      <c r="R108" s="19"/>
      <c r="S108" s="19"/>
      <c r="T108" s="19"/>
      <c r="U108" s="19"/>
      <c r="W108" s="8"/>
      <c r="X108" s="7"/>
      <c r="Y108" s="19"/>
      <c r="Z108" s="19"/>
      <c r="AA108" s="19"/>
      <c r="AB108" s="19"/>
      <c r="AD108" s="8"/>
      <c r="AE108" s="7"/>
      <c r="AF108" s="19"/>
      <c r="AG108" s="19"/>
      <c r="AH108" s="19"/>
      <c r="AI108" s="19"/>
      <c r="AK108" s="8"/>
      <c r="AL108" s="7"/>
      <c r="AM108" s="19"/>
      <c r="AN108" s="19"/>
      <c r="AO108" s="19"/>
      <c r="AP108" s="19"/>
      <c r="AR108" s="8"/>
      <c r="AS108" s="7"/>
      <c r="AT108" s="19"/>
      <c r="AU108" s="19"/>
      <c r="AV108" s="19"/>
      <c r="AW108" s="19"/>
      <c r="AY108" s="8"/>
      <c r="AZ108" s="7"/>
      <c r="BA108" s="19"/>
      <c r="BB108" s="19"/>
      <c r="BC108" s="19"/>
      <c r="BD108" s="19"/>
      <c r="BF108" s="8"/>
      <c r="BG108" s="7"/>
      <c r="BH108" s="19"/>
      <c r="BI108" s="19"/>
      <c r="BJ108" s="19"/>
      <c r="BK108" s="19"/>
      <c r="BM108" s="8"/>
      <c r="BN108" s="7"/>
      <c r="BO108" s="19"/>
      <c r="BP108" s="19"/>
      <c r="BQ108" s="19"/>
      <c r="BR108" s="19"/>
      <c r="BT108" s="8"/>
      <c r="BU108" s="7"/>
      <c r="BV108" s="19"/>
      <c r="BW108" s="19"/>
      <c r="BX108" s="19"/>
      <c r="BY108" s="19"/>
      <c r="CA108" s="8"/>
      <c r="CB108" s="7"/>
      <c r="CC108" s="19"/>
      <c r="CD108" s="19"/>
      <c r="CE108" s="19"/>
      <c r="CF108" s="19"/>
      <c r="CH108" s="8"/>
      <c r="CI108" s="7"/>
      <c r="CJ108" s="19"/>
      <c r="CK108" s="19"/>
      <c r="CL108" s="19"/>
      <c r="CM108" s="19"/>
      <c r="CO108" s="8"/>
      <c r="CP108" s="7"/>
      <c r="CQ108" s="19"/>
      <c r="CR108" s="19"/>
      <c r="CS108" s="19"/>
      <c r="CT108" s="19"/>
      <c r="CV108" s="8"/>
      <c r="CW108" s="7"/>
      <c r="CX108" s="19"/>
      <c r="CY108" s="19"/>
      <c r="CZ108" s="19"/>
      <c r="DA108" s="19"/>
      <c r="DC108" s="8"/>
      <c r="DD108" s="7"/>
      <c r="DE108" s="19"/>
      <c r="DF108" s="19"/>
      <c r="DG108" s="19"/>
      <c r="DH108" s="19"/>
      <c r="DJ108" s="8"/>
      <c r="DK108" s="7"/>
      <c r="DL108" s="19"/>
      <c r="DM108" s="19"/>
      <c r="DN108" s="19"/>
      <c r="DO108" s="19"/>
      <c r="DQ108" s="8"/>
      <c r="DR108" s="7"/>
      <c r="DS108" s="19"/>
      <c r="DT108" s="19"/>
      <c r="DU108" s="19"/>
      <c r="DV108" s="19"/>
      <c r="DX108" s="8"/>
      <c r="DY108" s="7"/>
      <c r="DZ108" s="19"/>
      <c r="EA108" s="19"/>
      <c r="EB108" s="19"/>
      <c r="EC108" s="19"/>
      <c r="EE108" s="8"/>
      <c r="EF108" s="7"/>
      <c r="EG108" s="19"/>
      <c r="EH108" s="19"/>
      <c r="EI108" s="19"/>
      <c r="EJ108" s="19"/>
      <c r="EL108" s="8"/>
      <c r="EM108" s="7"/>
      <c r="EN108" s="19"/>
      <c r="EO108" s="19"/>
      <c r="EP108" s="19"/>
      <c r="EQ108" s="19"/>
      <c r="ES108" s="8"/>
      <c r="ET108" s="7"/>
      <c r="EU108" s="19"/>
      <c r="EV108" s="19"/>
      <c r="EW108" s="19"/>
      <c r="EX108" s="19"/>
      <c r="EZ108" s="8"/>
      <c r="FA108" s="7"/>
      <c r="FB108" s="19"/>
      <c r="FC108" s="19"/>
      <c r="FD108" s="19"/>
      <c r="FE108" s="19"/>
      <c r="FG108" s="8"/>
      <c r="FH108" s="7"/>
      <c r="FI108" s="19"/>
      <c r="FJ108" s="19"/>
      <c r="FK108" s="19"/>
      <c r="FL108" s="19"/>
      <c r="FN108" s="8"/>
      <c r="FO108" s="7"/>
      <c r="FP108" s="19"/>
      <c r="FQ108" s="19"/>
      <c r="FR108" s="19"/>
      <c r="FS108" s="19"/>
      <c r="FU108" s="8"/>
      <c r="FV108" s="7"/>
      <c r="FW108" s="19"/>
      <c r="FX108" s="19"/>
      <c r="FY108" s="19"/>
      <c r="FZ108" s="19"/>
      <c r="GB108" s="8"/>
      <c r="GC108" s="7"/>
      <c r="GD108" s="19"/>
      <c r="GE108" s="19"/>
      <c r="GF108" s="19"/>
      <c r="GG108" s="19"/>
      <c r="GI108" s="8"/>
      <c r="GJ108" s="7"/>
      <c r="GK108" s="19"/>
      <c r="GL108" s="19"/>
      <c r="GM108" s="19"/>
      <c r="GN108" s="19"/>
      <c r="GP108" s="8"/>
      <c r="GQ108" s="7"/>
      <c r="GR108" s="19"/>
      <c r="GS108" s="19"/>
      <c r="GT108" s="19"/>
      <c r="GU108" s="19"/>
      <c r="GW108" s="8"/>
      <c r="GX108" s="7"/>
      <c r="GY108" s="19"/>
      <c r="GZ108" s="19"/>
      <c r="HA108" s="19"/>
      <c r="HB108" s="19"/>
      <c r="HD108" s="8"/>
      <c r="HE108" s="7"/>
      <c r="HF108" s="19"/>
      <c r="HG108" s="19"/>
      <c r="HH108" s="19"/>
      <c r="HI108" s="19"/>
      <c r="HK108" s="8"/>
      <c r="HL108" s="7"/>
      <c r="HM108" s="19"/>
      <c r="HN108" s="19"/>
      <c r="HO108" s="19"/>
      <c r="HP108" s="19"/>
      <c r="HR108" s="8"/>
      <c r="HS108" s="7"/>
      <c r="HT108" s="19"/>
      <c r="HU108" s="19"/>
      <c r="HV108" s="19"/>
      <c r="HW108" s="19"/>
      <c r="HY108" s="8"/>
      <c r="HZ108" s="7"/>
      <c r="IA108" s="19"/>
      <c r="IB108" s="19"/>
      <c r="IC108" s="19"/>
      <c r="ID108" s="19"/>
      <c r="IF108" s="8"/>
      <c r="IG108" s="7"/>
      <c r="IH108" s="19"/>
      <c r="II108" s="19"/>
      <c r="IJ108" s="19"/>
      <c r="IK108" s="19"/>
      <c r="IM108" s="8"/>
      <c r="IN108" s="7"/>
      <c r="IO108" s="19"/>
      <c r="IP108" s="19"/>
      <c r="IQ108" s="19"/>
      <c r="IR108" s="19"/>
      <c r="IT108" s="8"/>
      <c r="IU108" s="7"/>
      <c r="IV108" s="19"/>
      <c r="IW108" s="19"/>
      <c r="IX108" s="19"/>
      <c r="IY108" s="19"/>
      <c r="JA108" s="8"/>
      <c r="JB108" s="7"/>
      <c r="JC108" s="19"/>
      <c r="JD108" s="19"/>
      <c r="JE108" s="19"/>
      <c r="JF108" s="19"/>
      <c r="JH108" s="8"/>
      <c r="JI108" s="7"/>
      <c r="JJ108" s="19"/>
      <c r="JK108" s="19"/>
      <c r="JL108" s="19"/>
      <c r="JM108" s="19"/>
      <c r="JO108" s="8"/>
      <c r="JP108" s="7"/>
      <c r="JQ108" s="19"/>
      <c r="JR108" s="19"/>
      <c r="JS108" s="19"/>
      <c r="JT108" s="19"/>
      <c r="JV108" s="8"/>
      <c r="JW108" s="7"/>
      <c r="JX108" s="19"/>
      <c r="JY108" s="19"/>
      <c r="JZ108" s="19"/>
      <c r="KA108" s="19"/>
      <c r="KC108" s="8"/>
      <c r="KD108" s="7"/>
      <c r="KE108" s="19"/>
      <c r="KF108" s="19"/>
      <c r="KG108" s="19"/>
      <c r="KH108" s="19"/>
      <c r="KJ108" s="8"/>
      <c r="KK108" s="7"/>
      <c r="KL108" s="19"/>
      <c r="KM108" s="19"/>
      <c r="KN108" s="19"/>
      <c r="KO108" s="19"/>
      <c r="KQ108" s="8"/>
      <c r="KR108" s="7"/>
      <c r="KS108" s="19"/>
      <c r="KT108" s="19"/>
      <c r="KU108" s="19"/>
      <c r="KV108" s="19"/>
      <c r="KX108" s="8"/>
      <c r="KY108" s="7"/>
      <c r="KZ108" s="19"/>
      <c r="LA108" s="19"/>
      <c r="LB108" s="19"/>
      <c r="LC108" s="19"/>
      <c r="LE108" s="8"/>
      <c r="LF108" s="7"/>
      <c r="LG108" s="19"/>
      <c r="LH108" s="19"/>
      <c r="LI108" s="19"/>
      <c r="LJ108" s="19"/>
      <c r="LL108" s="8"/>
      <c r="LM108" s="7"/>
      <c r="LN108" s="19"/>
      <c r="LO108" s="19"/>
      <c r="LP108" s="19"/>
      <c r="LQ108" s="19"/>
      <c r="LS108" s="8"/>
      <c r="LT108" s="7"/>
      <c r="LU108" s="19"/>
      <c r="LV108" s="19"/>
      <c r="LW108" s="19"/>
      <c r="LX108" s="19"/>
      <c r="LZ108" s="8"/>
      <c r="MA108" s="7"/>
      <c r="MB108" s="19"/>
      <c r="MC108" s="19"/>
      <c r="MD108" s="19"/>
      <c r="ME108" s="19"/>
      <c r="MG108" s="8"/>
      <c r="MH108" s="7"/>
      <c r="MI108" s="19"/>
      <c r="MJ108" s="19"/>
      <c r="MK108" s="19"/>
      <c r="ML108" s="19"/>
      <c r="MN108" s="8"/>
      <c r="MO108" s="7"/>
      <c r="MP108" s="19"/>
      <c r="MQ108" s="19"/>
      <c r="MR108" s="19"/>
      <c r="MS108" s="19"/>
      <c r="MU108" s="8"/>
      <c r="MV108" s="7"/>
      <c r="MW108" s="19"/>
      <c r="MX108" s="19"/>
      <c r="MY108" s="19"/>
      <c r="MZ108" s="19"/>
      <c r="NB108" s="8"/>
      <c r="NC108" s="7"/>
      <c r="ND108" s="19"/>
      <c r="NE108" s="19"/>
      <c r="NF108" s="19"/>
      <c r="NG108" s="19"/>
      <c r="NI108" s="8"/>
      <c r="NJ108" s="7"/>
      <c r="NK108" s="19"/>
      <c r="NL108" s="19"/>
      <c r="NM108" s="19"/>
      <c r="NN108" s="19"/>
      <c r="NP108" s="8"/>
      <c r="NQ108" s="7"/>
      <c r="NR108" s="19"/>
      <c r="NS108" s="19"/>
      <c r="NT108" s="19"/>
      <c r="NU108" s="19"/>
      <c r="NW108" s="8"/>
      <c r="NX108" s="7"/>
      <c r="NY108" s="19"/>
      <c r="NZ108" s="19"/>
      <c r="OA108" s="19"/>
      <c r="OB108" s="19"/>
      <c r="OD108" s="8"/>
      <c r="OE108" s="7"/>
      <c r="OF108" s="19"/>
      <c r="OG108" s="19"/>
      <c r="OH108" s="19"/>
      <c r="OI108" s="19"/>
      <c r="OK108" s="8"/>
      <c r="OL108" s="7"/>
      <c r="OM108" s="19"/>
      <c r="ON108" s="19"/>
      <c r="OO108" s="19"/>
      <c r="OP108" s="19"/>
      <c r="OR108" s="8"/>
      <c r="OS108" s="7"/>
      <c r="OT108" s="19"/>
      <c r="OU108" s="19"/>
      <c r="OV108" s="19"/>
      <c r="OW108" s="19"/>
      <c r="OY108" s="8"/>
      <c r="OZ108" s="7"/>
      <c r="PA108" s="19"/>
      <c r="PB108" s="19"/>
      <c r="PC108" s="19"/>
      <c r="PD108" s="19"/>
      <c r="PF108" s="8"/>
      <c r="PG108" s="7"/>
      <c r="PH108" s="19"/>
      <c r="PI108" s="19"/>
      <c r="PJ108" s="19"/>
      <c r="PK108" s="19"/>
      <c r="PM108" s="8"/>
    </row>
    <row r="109" spans="1:429" s="475" customFormat="1" ht="19" customHeight="1">
      <c r="A109" s="6" t="s">
        <v>87</v>
      </c>
      <c r="B109" s="472"/>
      <c r="C109" s="10"/>
      <c r="D109" s="20"/>
      <c r="E109" s="20"/>
      <c r="F109" s="20"/>
      <c r="G109" s="20"/>
      <c r="H109" s="10"/>
      <c r="I109" s="10"/>
      <c r="J109" s="10"/>
      <c r="K109" s="20"/>
      <c r="L109" s="20"/>
      <c r="M109" s="20"/>
      <c r="N109" s="20"/>
      <c r="O109" s="10"/>
      <c r="P109" s="10"/>
      <c r="Q109" s="10"/>
      <c r="R109" s="20"/>
      <c r="S109" s="20"/>
      <c r="T109" s="20"/>
      <c r="U109" s="20"/>
      <c r="V109" s="10"/>
      <c r="W109" s="10"/>
      <c r="X109" s="10"/>
      <c r="Y109" s="20"/>
      <c r="Z109" s="20"/>
      <c r="AA109" s="20"/>
      <c r="AB109" s="20"/>
      <c r="AC109" s="10"/>
      <c r="AD109" s="10"/>
      <c r="AE109" s="10"/>
      <c r="AF109" s="20"/>
      <c r="AG109" s="20"/>
      <c r="AH109" s="20"/>
      <c r="AI109" s="20"/>
      <c r="AJ109" s="10"/>
      <c r="AK109" s="10"/>
      <c r="AL109" s="10"/>
      <c r="AM109" s="20"/>
      <c r="AN109" s="20"/>
      <c r="AO109" s="20"/>
      <c r="AP109" s="20"/>
      <c r="AQ109" s="10"/>
      <c r="AR109" s="10"/>
      <c r="AS109" s="10"/>
      <c r="AT109" s="20"/>
      <c r="AU109" s="20"/>
      <c r="AV109" s="20"/>
      <c r="AW109" s="20"/>
      <c r="AX109" s="10"/>
      <c r="AY109" s="10"/>
      <c r="AZ109" s="10"/>
      <c r="BA109" s="20"/>
      <c r="BB109" s="20"/>
      <c r="BC109" s="20"/>
      <c r="BD109" s="20"/>
      <c r="BE109" s="10"/>
      <c r="BF109" s="10"/>
      <c r="BG109" s="10"/>
      <c r="BH109" s="20"/>
      <c r="BI109" s="20"/>
      <c r="BJ109" s="20"/>
      <c r="BK109" s="20"/>
      <c r="BL109" s="10"/>
      <c r="BM109" s="10"/>
      <c r="BN109" s="10"/>
      <c r="BO109" s="20"/>
      <c r="BP109" s="20"/>
      <c r="BQ109" s="20"/>
      <c r="BR109" s="20"/>
      <c r="BS109" s="10"/>
      <c r="BT109" s="10"/>
      <c r="BU109" s="26"/>
      <c r="BV109" s="26"/>
      <c r="BW109" s="26"/>
      <c r="BX109" s="26"/>
      <c r="BY109" s="26"/>
      <c r="BZ109" s="26"/>
      <c r="CA109" s="26"/>
      <c r="CB109" s="10"/>
      <c r="CC109" s="20"/>
      <c r="CD109" s="20"/>
      <c r="CE109" s="20"/>
      <c r="CF109" s="20"/>
      <c r="CG109" s="10"/>
      <c r="CH109" s="10"/>
      <c r="CI109" s="10"/>
      <c r="CJ109" s="20"/>
      <c r="CK109" s="20"/>
      <c r="CL109" s="20"/>
      <c r="CM109" s="20"/>
      <c r="CN109" s="10"/>
      <c r="CO109" s="10"/>
      <c r="CP109" s="10"/>
      <c r="CQ109" s="20"/>
      <c r="CR109" s="20"/>
      <c r="CS109" s="20"/>
      <c r="CT109" s="20"/>
      <c r="CU109" s="10"/>
      <c r="CV109" s="10"/>
      <c r="CW109" s="10"/>
      <c r="CX109" s="20"/>
      <c r="CY109" s="20"/>
      <c r="CZ109" s="20"/>
      <c r="DA109" s="20"/>
      <c r="DB109" s="10"/>
      <c r="DC109" s="10"/>
      <c r="DD109" s="10"/>
      <c r="DE109" s="20"/>
      <c r="DF109" s="20"/>
      <c r="DG109" s="20"/>
      <c r="DH109" s="20"/>
      <c r="DI109" s="10"/>
      <c r="DJ109" s="10"/>
      <c r="DK109" s="10"/>
      <c r="DL109" s="20"/>
      <c r="DM109" s="20"/>
      <c r="DN109" s="20"/>
      <c r="DO109" s="20"/>
      <c r="DP109" s="10"/>
      <c r="DQ109" s="10"/>
      <c r="DR109" s="10"/>
      <c r="DS109" s="20"/>
      <c r="DT109" s="20"/>
      <c r="DU109" s="20"/>
      <c r="DV109" s="20"/>
      <c r="DW109" s="10"/>
      <c r="DX109" s="10"/>
      <c r="DY109" s="10"/>
      <c r="DZ109" s="20"/>
      <c r="EA109" s="20"/>
      <c r="EB109" s="20"/>
      <c r="EC109" s="20"/>
      <c r="ED109" s="10"/>
      <c r="EE109" s="10"/>
      <c r="EF109" s="10"/>
      <c r="EG109" s="20"/>
      <c r="EH109" s="20"/>
      <c r="EI109" s="20"/>
      <c r="EJ109" s="20"/>
      <c r="EK109" s="10"/>
      <c r="EL109" s="10"/>
      <c r="EM109" s="10"/>
      <c r="EN109" s="20"/>
      <c r="EO109" s="20"/>
      <c r="EP109" s="20"/>
      <c r="EQ109" s="20"/>
      <c r="ER109" s="10"/>
      <c r="ES109" s="10"/>
      <c r="ET109" s="10"/>
      <c r="EU109" s="20"/>
      <c r="EV109" s="20"/>
      <c r="EW109" s="20"/>
      <c r="EX109" s="20"/>
      <c r="EY109" s="10"/>
      <c r="EZ109" s="10"/>
      <c r="FA109" s="10"/>
      <c r="FB109" s="20"/>
      <c r="FC109" s="20"/>
      <c r="FD109" s="20"/>
      <c r="FE109" s="20"/>
      <c r="FF109" s="10"/>
      <c r="FG109" s="10"/>
      <c r="FH109" s="10"/>
      <c r="FI109" s="20"/>
      <c r="FJ109" s="20"/>
      <c r="FK109" s="20"/>
      <c r="FL109" s="20"/>
      <c r="FM109" s="10"/>
      <c r="FN109" s="10"/>
      <c r="FO109" s="10"/>
      <c r="FP109" s="20"/>
      <c r="FQ109" s="20"/>
      <c r="FR109" s="20"/>
      <c r="FS109" s="20"/>
      <c r="FT109" s="10"/>
      <c r="FU109" s="10"/>
      <c r="FV109" s="10"/>
      <c r="FW109" s="20"/>
      <c r="FX109" s="20"/>
      <c r="FY109" s="20"/>
      <c r="FZ109" s="20"/>
      <c r="GA109" s="10"/>
      <c r="GB109" s="10"/>
      <c r="GC109" s="10"/>
      <c r="GD109" s="20"/>
      <c r="GE109" s="20"/>
      <c r="GF109" s="20"/>
      <c r="GG109" s="20"/>
      <c r="GH109" s="10"/>
      <c r="GI109" s="10"/>
      <c r="GJ109" s="10"/>
      <c r="GK109" s="20"/>
      <c r="GL109" s="20"/>
      <c r="GM109" s="20"/>
      <c r="GN109" s="20"/>
      <c r="GO109" s="10"/>
      <c r="GP109" s="10"/>
      <c r="GQ109" s="10"/>
      <c r="GR109" s="20"/>
      <c r="GS109" s="20"/>
      <c r="GT109" s="20"/>
      <c r="GU109" s="20"/>
      <c r="GV109" s="10"/>
      <c r="GW109" s="10"/>
      <c r="GX109" s="10"/>
      <c r="GY109" s="20"/>
      <c r="GZ109" s="20"/>
      <c r="HA109" s="20"/>
      <c r="HB109" s="20"/>
      <c r="HC109" s="10"/>
      <c r="HD109" s="10"/>
      <c r="HE109" s="10"/>
      <c r="HF109" s="20"/>
      <c r="HG109" s="20"/>
      <c r="HH109" s="20"/>
      <c r="HI109" s="20"/>
      <c r="HJ109" s="10"/>
      <c r="HK109" s="10"/>
      <c r="HL109" s="10"/>
      <c r="HM109" s="20"/>
      <c r="HN109" s="20"/>
      <c r="HO109" s="20"/>
      <c r="HP109" s="20"/>
      <c r="HQ109" s="10"/>
      <c r="HR109" s="10"/>
      <c r="HS109" s="10"/>
      <c r="HT109" s="20"/>
      <c r="HU109" s="20"/>
      <c r="HV109" s="20"/>
      <c r="HW109" s="20"/>
      <c r="HX109" s="10"/>
      <c r="HY109" s="10"/>
      <c r="HZ109" s="10"/>
      <c r="IA109" s="20"/>
      <c r="IB109" s="20"/>
      <c r="IC109" s="20"/>
      <c r="ID109" s="20"/>
      <c r="IE109" s="10"/>
      <c r="IF109" s="10"/>
      <c r="IG109" s="10"/>
      <c r="IH109" s="20"/>
      <c r="II109" s="20"/>
      <c r="IJ109" s="20"/>
      <c r="IK109" s="20"/>
      <c r="IL109" s="10"/>
      <c r="IM109" s="10"/>
      <c r="IN109" s="10"/>
      <c r="IO109" s="20"/>
      <c r="IP109" s="20"/>
      <c r="IQ109" s="20"/>
      <c r="IR109" s="20"/>
      <c r="IS109" s="10"/>
      <c r="IT109" s="10"/>
      <c r="IU109" s="10"/>
      <c r="IV109" s="20"/>
      <c r="IW109" s="20"/>
      <c r="IX109" s="20"/>
      <c r="IY109" s="20"/>
      <c r="IZ109" s="10"/>
      <c r="JA109" s="10"/>
      <c r="JB109" s="10"/>
      <c r="JC109" s="20"/>
      <c r="JD109" s="20"/>
      <c r="JE109" s="20"/>
      <c r="JF109" s="20"/>
      <c r="JG109" s="10"/>
      <c r="JH109" s="10"/>
      <c r="JI109" s="10"/>
      <c r="JJ109" s="20"/>
      <c r="JK109" s="20"/>
      <c r="JL109" s="20"/>
      <c r="JM109" s="20"/>
      <c r="JN109" s="10"/>
      <c r="JO109" s="10"/>
      <c r="JP109" s="10"/>
      <c r="JQ109" s="20"/>
      <c r="JR109" s="20"/>
      <c r="JS109" s="20"/>
      <c r="JT109" s="20"/>
      <c r="JU109" s="10"/>
      <c r="JV109" s="10"/>
      <c r="JW109" s="10"/>
      <c r="JX109" s="20"/>
      <c r="JY109" s="20"/>
      <c r="JZ109" s="20"/>
      <c r="KA109" s="20"/>
      <c r="KB109" s="10"/>
      <c r="KC109" s="10"/>
      <c r="KD109" s="10"/>
      <c r="KE109" s="20"/>
      <c r="KF109" s="20"/>
      <c r="KG109" s="20"/>
      <c r="KH109" s="20"/>
      <c r="KI109" s="10"/>
      <c r="KJ109" s="10"/>
      <c r="KK109" s="10"/>
      <c r="KL109" s="20"/>
      <c r="KM109" s="20"/>
      <c r="KN109" s="20"/>
      <c r="KO109" s="20"/>
      <c r="KP109" s="10"/>
      <c r="KQ109" s="10"/>
      <c r="KR109" s="10"/>
      <c r="KS109" s="20"/>
      <c r="KT109" s="20"/>
      <c r="KU109" s="20"/>
      <c r="KV109" s="20"/>
      <c r="KW109" s="10"/>
      <c r="KX109" s="10"/>
      <c r="KY109" s="10"/>
      <c r="KZ109" s="20"/>
      <c r="LA109" s="20"/>
      <c r="LB109" s="20"/>
      <c r="LC109" s="20"/>
      <c r="LD109" s="10"/>
      <c r="LE109" s="10"/>
      <c r="LF109" s="10"/>
      <c r="LG109" s="20"/>
      <c r="LH109" s="20"/>
      <c r="LI109" s="20"/>
      <c r="LJ109" s="20"/>
      <c r="LK109" s="10"/>
      <c r="LL109" s="10"/>
      <c r="LM109" s="10"/>
      <c r="LN109" s="20"/>
      <c r="LO109" s="20"/>
      <c r="LP109" s="20"/>
      <c r="LQ109" s="20"/>
      <c r="LR109" s="10"/>
      <c r="LS109" s="10"/>
      <c r="LT109" s="10"/>
      <c r="LU109" s="20"/>
      <c r="LV109" s="20"/>
      <c r="LW109" s="20"/>
      <c r="LX109" s="20"/>
      <c r="LY109" s="10"/>
      <c r="LZ109" s="10"/>
      <c r="MA109" s="10"/>
      <c r="MB109" s="20"/>
      <c r="MC109" s="20"/>
      <c r="MD109" s="20"/>
      <c r="ME109" s="20"/>
      <c r="MF109" s="10"/>
      <c r="MG109" s="10"/>
      <c r="MH109" s="10"/>
      <c r="MI109" s="20"/>
      <c r="MJ109" s="20"/>
      <c r="MK109" s="20"/>
      <c r="ML109" s="20"/>
      <c r="MM109" s="10"/>
      <c r="MN109" s="10"/>
      <c r="MO109" s="10"/>
      <c r="MP109" s="20"/>
      <c r="MQ109" s="20"/>
      <c r="MR109" s="20"/>
      <c r="MS109" s="20"/>
      <c r="MT109" s="10"/>
      <c r="MU109" s="10"/>
      <c r="MV109" s="10"/>
      <c r="MW109" s="20"/>
      <c r="MX109" s="20"/>
      <c r="MY109" s="20"/>
      <c r="MZ109" s="20"/>
      <c r="NA109" s="10"/>
      <c r="NB109" s="10"/>
      <c r="NC109" s="10"/>
      <c r="ND109" s="20"/>
      <c r="NE109" s="20"/>
      <c r="NF109" s="20"/>
      <c r="NG109" s="20"/>
      <c r="NH109" s="10"/>
      <c r="NI109" s="10"/>
      <c r="NJ109" s="10"/>
      <c r="NK109" s="20"/>
      <c r="NL109" s="20"/>
      <c r="NM109" s="20"/>
      <c r="NN109" s="20"/>
      <c r="NO109" s="10"/>
      <c r="NP109" s="10"/>
      <c r="NQ109" s="10"/>
      <c r="NR109" s="20"/>
      <c r="NS109" s="20"/>
      <c r="NT109" s="20"/>
      <c r="NU109" s="20"/>
      <c r="NV109" s="10"/>
      <c r="NW109" s="10"/>
      <c r="NX109" s="10"/>
      <c r="NY109" s="20"/>
      <c r="NZ109" s="20"/>
      <c r="OA109" s="20"/>
      <c r="OB109" s="20"/>
      <c r="OC109" s="10"/>
      <c r="OD109" s="10"/>
      <c r="OE109" s="10"/>
      <c r="OF109" s="20"/>
      <c r="OG109" s="20"/>
      <c r="OH109" s="20"/>
      <c r="OI109" s="20"/>
      <c r="OJ109" s="10"/>
      <c r="OK109" s="10"/>
      <c r="OL109" s="10"/>
      <c r="OM109" s="20"/>
      <c r="ON109" s="20"/>
      <c r="OO109" s="20"/>
      <c r="OP109" s="20"/>
      <c r="OQ109" s="10"/>
      <c r="OR109" s="10"/>
      <c r="OS109" s="10"/>
      <c r="OT109" s="20"/>
      <c r="OU109" s="20"/>
      <c r="OV109" s="20"/>
      <c r="OW109" s="20"/>
      <c r="OX109" s="10"/>
      <c r="OY109" s="10"/>
      <c r="OZ109" s="10"/>
      <c r="PA109" s="20"/>
      <c r="PB109" s="20"/>
      <c r="PC109" s="20"/>
      <c r="PD109" s="20"/>
      <c r="PE109" s="10"/>
      <c r="PF109" s="10"/>
      <c r="PG109" s="10"/>
      <c r="PH109" s="20"/>
      <c r="PI109" s="20"/>
      <c r="PJ109" s="20"/>
      <c r="PK109" s="20"/>
      <c r="PL109" s="10"/>
      <c r="PM109" s="10"/>
    </row>
    <row r="110" spans="1:429" s="1" customFormat="1" ht="26" customHeight="1" outlineLevel="1">
      <c r="B110" s="471"/>
      <c r="C110" s="7"/>
      <c r="D110" s="19"/>
      <c r="E110" s="19"/>
      <c r="F110" s="19"/>
      <c r="G110" s="19"/>
      <c r="I110" s="8"/>
      <c r="J110" s="7"/>
      <c r="K110" s="19"/>
      <c r="L110" s="19"/>
      <c r="M110" s="19"/>
      <c r="N110" s="19"/>
      <c r="P110" s="8"/>
      <c r="Q110" s="7"/>
      <c r="R110" s="19"/>
      <c r="S110" s="19"/>
      <c r="T110" s="19"/>
      <c r="U110" s="19"/>
      <c r="W110" s="8"/>
      <c r="X110" s="7"/>
      <c r="Y110" s="19"/>
      <c r="Z110" s="19"/>
      <c r="AA110" s="19"/>
      <c r="AB110" s="19"/>
      <c r="AD110" s="8"/>
      <c r="AE110" s="7"/>
      <c r="AF110" s="19"/>
      <c r="AG110" s="19"/>
      <c r="AH110" s="19"/>
      <c r="AI110" s="19"/>
      <c r="AK110" s="8"/>
      <c r="AL110" s="7"/>
      <c r="AM110" s="19"/>
      <c r="AN110" s="19"/>
      <c r="AO110" s="19"/>
      <c r="AP110" s="19"/>
      <c r="AR110" s="8"/>
      <c r="AS110" s="7"/>
      <c r="AT110" s="19"/>
      <c r="AU110" s="19"/>
      <c r="AV110" s="19"/>
      <c r="AW110" s="19"/>
      <c r="AY110" s="8"/>
      <c r="AZ110" s="7"/>
      <c r="BA110" s="19"/>
      <c r="BB110" s="19"/>
      <c r="BC110" s="19"/>
      <c r="BD110" s="19"/>
      <c r="BF110" s="8"/>
      <c r="BG110" s="7"/>
      <c r="BH110" s="19"/>
      <c r="BI110" s="19"/>
      <c r="BJ110" s="19"/>
      <c r="BK110" s="19"/>
      <c r="BM110" s="8"/>
      <c r="BN110" s="7"/>
      <c r="BO110" s="19"/>
      <c r="BP110" s="19"/>
      <c r="BQ110" s="19"/>
      <c r="BR110" s="19"/>
      <c r="BT110" s="8"/>
      <c r="BU110" s="7" t="s">
        <v>107</v>
      </c>
      <c r="BV110" s="19" t="s">
        <v>156</v>
      </c>
      <c r="BW110" s="19"/>
      <c r="BX110" s="19"/>
      <c r="BY110" s="19"/>
      <c r="CA110" s="8">
        <v>6</v>
      </c>
      <c r="CB110" s="7"/>
      <c r="CC110" s="19"/>
      <c r="CD110" s="19"/>
      <c r="CE110" s="19"/>
      <c r="CF110" s="19"/>
      <c r="CH110" s="8"/>
      <c r="CI110" s="7"/>
      <c r="CJ110" s="19"/>
      <c r="CK110" s="19"/>
      <c r="CL110" s="19"/>
      <c r="CM110" s="19"/>
      <c r="CO110" s="8"/>
      <c r="CP110" s="7"/>
      <c r="CQ110" s="19"/>
      <c r="CR110" s="19"/>
      <c r="CS110" s="19"/>
      <c r="CT110" s="19"/>
      <c r="CV110" s="8"/>
      <c r="CW110" s="7"/>
      <c r="CX110" s="19"/>
      <c r="CY110" s="19"/>
      <c r="CZ110" s="19"/>
      <c r="DA110" s="19"/>
      <c r="DC110" s="8"/>
      <c r="DD110" s="7"/>
      <c r="DE110" s="19"/>
      <c r="DF110" s="19"/>
      <c r="DG110" s="19"/>
      <c r="DH110" s="19"/>
      <c r="DJ110" s="8"/>
      <c r="DK110" s="7" t="s">
        <v>107</v>
      </c>
      <c r="DL110" s="19" t="s">
        <v>55</v>
      </c>
      <c r="DM110" s="19"/>
      <c r="DN110" s="19"/>
      <c r="DO110" s="19"/>
      <c r="DQ110" s="8">
        <v>6</v>
      </c>
      <c r="DR110" s="7"/>
      <c r="DS110" s="19" t="s">
        <v>180</v>
      </c>
      <c r="DT110" s="19"/>
      <c r="DU110" s="19"/>
      <c r="DV110" s="19"/>
      <c r="DX110" s="8">
        <v>6</v>
      </c>
      <c r="DY110" s="7"/>
      <c r="DZ110" s="19" t="s">
        <v>180</v>
      </c>
      <c r="EA110" s="19"/>
      <c r="EB110" s="19"/>
      <c r="EC110" s="19"/>
      <c r="EE110" s="8">
        <v>6</v>
      </c>
      <c r="EF110" s="7" t="s">
        <v>107</v>
      </c>
      <c r="EG110" s="19" t="s">
        <v>474</v>
      </c>
      <c r="EH110" s="19"/>
      <c r="EI110" s="19"/>
      <c r="EJ110" s="19"/>
      <c r="EL110" s="8" t="s">
        <v>204</v>
      </c>
      <c r="EM110" s="7"/>
      <c r="EN110" s="19" t="s">
        <v>180</v>
      </c>
      <c r="EO110" s="19"/>
      <c r="EP110" s="19"/>
      <c r="EQ110" s="19"/>
      <c r="ES110" s="8" t="s">
        <v>204</v>
      </c>
      <c r="ET110" s="7"/>
      <c r="EU110" s="19" t="s">
        <v>180</v>
      </c>
      <c r="EV110" s="19"/>
      <c r="EW110" s="19"/>
      <c r="EX110" s="19"/>
      <c r="EZ110" s="8" t="s">
        <v>204</v>
      </c>
      <c r="FA110" s="7"/>
      <c r="FB110" s="19"/>
      <c r="FC110" s="19"/>
      <c r="FD110" s="19"/>
      <c r="FE110" s="19"/>
      <c r="FG110" s="8"/>
      <c r="FH110" s="7"/>
      <c r="FI110" s="19"/>
      <c r="FJ110" s="19"/>
      <c r="FK110" s="19"/>
      <c r="FL110" s="19"/>
      <c r="FN110" s="8"/>
      <c r="FO110" s="7"/>
      <c r="FP110" s="19"/>
      <c r="FQ110" s="19"/>
      <c r="FR110" s="19"/>
      <c r="FS110" s="19"/>
      <c r="FU110" s="8"/>
      <c r="FV110" s="7"/>
      <c r="FW110" s="19"/>
      <c r="FX110" s="19"/>
      <c r="FY110" s="19"/>
      <c r="FZ110" s="19"/>
      <c r="GB110" s="8"/>
      <c r="GC110" s="7"/>
      <c r="GD110" s="19"/>
      <c r="GE110" s="19"/>
      <c r="GF110" s="19"/>
      <c r="GG110" s="19"/>
      <c r="GI110" s="8"/>
      <c r="GJ110" s="7"/>
      <c r="GK110" s="19"/>
      <c r="GL110" s="19"/>
      <c r="GM110" s="19"/>
      <c r="GN110" s="19"/>
      <c r="GP110" s="8"/>
      <c r="GQ110" s="7"/>
      <c r="GR110" s="19"/>
      <c r="GS110" s="19"/>
      <c r="GT110" s="19"/>
      <c r="GU110" s="19"/>
      <c r="GW110" s="8"/>
      <c r="GX110" s="7"/>
      <c r="GY110" s="19"/>
      <c r="GZ110" s="19"/>
      <c r="HA110" s="19"/>
      <c r="HB110" s="19"/>
      <c r="HD110" s="8"/>
      <c r="HE110" s="7"/>
      <c r="HF110" s="19"/>
      <c r="HG110" s="19"/>
      <c r="HH110" s="19"/>
      <c r="HI110" s="19"/>
      <c r="HK110" s="8"/>
      <c r="HL110" s="7"/>
      <c r="HM110" s="19"/>
      <c r="HN110" s="19"/>
      <c r="HO110" s="19"/>
      <c r="HP110" s="19"/>
      <c r="HR110" s="8"/>
      <c r="HS110" s="7"/>
      <c r="HT110" s="19"/>
      <c r="HU110" s="19"/>
      <c r="HV110" s="19"/>
      <c r="HW110" s="19"/>
      <c r="HY110" s="8"/>
      <c r="HZ110" s="7"/>
      <c r="IA110" s="19"/>
      <c r="IB110" s="19"/>
      <c r="IC110" s="19"/>
      <c r="ID110" s="19"/>
      <c r="IF110" s="8"/>
      <c r="IG110" s="7"/>
      <c r="IH110" s="19"/>
      <c r="II110" s="19"/>
      <c r="IJ110" s="19"/>
      <c r="IK110" s="19"/>
      <c r="IM110" s="8"/>
      <c r="IN110" s="7"/>
      <c r="IO110" s="19"/>
      <c r="IP110" s="19"/>
      <c r="IQ110" s="19"/>
      <c r="IR110" s="19"/>
      <c r="IT110" s="8"/>
      <c r="IU110" s="7"/>
      <c r="IV110" s="19"/>
      <c r="IW110" s="19"/>
      <c r="IX110" s="19"/>
      <c r="IY110" s="19"/>
      <c r="JA110" s="8"/>
      <c r="JB110" s="7"/>
      <c r="JC110" s="19"/>
      <c r="JD110" s="19"/>
      <c r="JE110" s="19"/>
      <c r="JF110" s="19"/>
      <c r="JH110" s="8"/>
      <c r="JI110" s="7"/>
      <c r="JJ110" s="19"/>
      <c r="JK110" s="19"/>
      <c r="JL110" s="19"/>
      <c r="JM110" s="19"/>
      <c r="JO110" s="8"/>
      <c r="JP110" s="7"/>
      <c r="JQ110" s="19"/>
      <c r="JR110" s="19"/>
      <c r="JS110" s="19"/>
      <c r="JT110" s="19"/>
      <c r="JV110" s="8"/>
      <c r="JW110" s="7"/>
      <c r="JX110" s="19"/>
      <c r="JY110" s="19"/>
      <c r="JZ110" s="19"/>
      <c r="KA110" s="19"/>
      <c r="KC110" s="8"/>
      <c r="KD110" s="7"/>
      <c r="KE110" s="19"/>
      <c r="KF110" s="19"/>
      <c r="KG110" s="19"/>
      <c r="KH110" s="19"/>
      <c r="KJ110" s="8"/>
      <c r="KK110" s="7"/>
      <c r="KL110" s="19"/>
      <c r="KM110" s="19"/>
      <c r="KN110" s="19"/>
      <c r="KO110" s="19"/>
      <c r="KQ110" s="8"/>
      <c r="KR110" s="7"/>
      <c r="KS110" s="19"/>
      <c r="KT110" s="19"/>
      <c r="KU110" s="19"/>
      <c r="KV110" s="19"/>
      <c r="KX110" s="8"/>
      <c r="KY110" s="7"/>
      <c r="KZ110" s="19"/>
      <c r="LA110" s="19"/>
      <c r="LB110" s="19"/>
      <c r="LC110" s="19"/>
      <c r="LE110" s="8"/>
      <c r="LF110" s="7"/>
      <c r="LG110" s="19"/>
      <c r="LH110" s="19"/>
      <c r="LI110" s="19"/>
      <c r="LJ110" s="19"/>
      <c r="LL110" s="8"/>
      <c r="LM110" s="7"/>
      <c r="LN110" s="19"/>
      <c r="LO110" s="19"/>
      <c r="LP110" s="19"/>
      <c r="LQ110" s="19"/>
      <c r="LS110" s="8"/>
      <c r="LT110" s="7"/>
      <c r="LU110" s="19"/>
      <c r="LV110" s="19"/>
      <c r="LW110" s="19"/>
      <c r="LX110" s="19"/>
      <c r="LZ110" s="8"/>
      <c r="MA110" s="7"/>
      <c r="MB110" s="19"/>
      <c r="MC110" s="19"/>
      <c r="MD110" s="19"/>
      <c r="ME110" s="19"/>
      <c r="MG110" s="8"/>
      <c r="MH110" s="7"/>
      <c r="MI110" s="19"/>
      <c r="MJ110" s="19"/>
      <c r="MK110" s="19"/>
      <c r="ML110" s="19"/>
      <c r="MN110" s="8"/>
      <c r="MO110" s="7"/>
      <c r="MP110" s="19"/>
      <c r="MQ110" s="19"/>
      <c r="MR110" s="19"/>
      <c r="MS110" s="19"/>
      <c r="MU110" s="8"/>
      <c r="MV110" s="7"/>
      <c r="MW110" s="19"/>
      <c r="MX110" s="19"/>
      <c r="MY110" s="19"/>
      <c r="MZ110" s="19"/>
      <c r="NB110" s="8"/>
      <c r="NC110" s="7"/>
      <c r="ND110" s="19"/>
      <c r="NE110" s="19"/>
      <c r="NF110" s="19"/>
      <c r="NG110" s="19"/>
      <c r="NI110" s="8"/>
      <c r="NJ110" s="7"/>
      <c r="NK110" s="19"/>
      <c r="NL110" s="19"/>
      <c r="NM110" s="19"/>
      <c r="NN110" s="19"/>
      <c r="NP110" s="8"/>
      <c r="NQ110" s="7"/>
      <c r="NR110" s="19"/>
      <c r="NS110" s="19"/>
      <c r="NT110" s="19"/>
      <c r="NU110" s="19"/>
      <c r="NW110" s="8"/>
      <c r="NX110" s="7"/>
      <c r="NY110" s="19"/>
      <c r="NZ110" s="19"/>
      <c r="OA110" s="19"/>
      <c r="OB110" s="19"/>
      <c r="OD110" s="8"/>
      <c r="OE110" s="7"/>
      <c r="OF110" s="19"/>
      <c r="OG110" s="19"/>
      <c r="OH110" s="19"/>
      <c r="OI110" s="19"/>
      <c r="OK110" s="8"/>
      <c r="OL110" s="7"/>
      <c r="OM110" s="19"/>
      <c r="ON110" s="19"/>
      <c r="OO110" s="19"/>
      <c r="OP110" s="19"/>
      <c r="OR110" s="8"/>
      <c r="OS110" s="7"/>
      <c r="OT110" s="19"/>
      <c r="OU110" s="19"/>
      <c r="OV110" s="19"/>
      <c r="OW110" s="19"/>
      <c r="OY110" s="8"/>
      <c r="OZ110" s="7"/>
      <c r="PA110" s="19"/>
      <c r="PB110" s="19"/>
      <c r="PC110" s="19"/>
      <c r="PD110" s="19"/>
      <c r="PF110" s="8"/>
      <c r="PG110" s="7"/>
      <c r="PH110" s="19"/>
      <c r="PI110" s="19"/>
      <c r="PJ110" s="19"/>
      <c r="PK110" s="19"/>
      <c r="PM110" s="8"/>
    </row>
    <row r="111" spans="1:429" s="1" customFormat="1" ht="26" customHeight="1" outlineLevel="1">
      <c r="B111" s="471"/>
      <c r="C111" s="7"/>
      <c r="D111" s="19"/>
      <c r="E111" s="19"/>
      <c r="F111" s="19"/>
      <c r="G111" s="19"/>
      <c r="I111" s="8"/>
      <c r="J111" s="7"/>
      <c r="K111" s="19"/>
      <c r="L111" s="19"/>
      <c r="M111" s="19"/>
      <c r="N111" s="19"/>
      <c r="P111" s="8"/>
      <c r="Q111" s="7"/>
      <c r="R111" s="19"/>
      <c r="S111" s="19"/>
      <c r="T111" s="19"/>
      <c r="U111" s="19"/>
      <c r="W111" s="8"/>
      <c r="X111" s="7"/>
      <c r="Y111" s="19"/>
      <c r="Z111" s="19"/>
      <c r="AA111" s="19"/>
      <c r="AB111" s="19"/>
      <c r="AD111" s="8"/>
      <c r="AE111" s="7"/>
      <c r="AF111" s="19"/>
      <c r="AG111" s="19"/>
      <c r="AH111" s="19"/>
      <c r="AI111" s="19"/>
      <c r="AK111" s="8"/>
      <c r="AL111" s="7"/>
      <c r="AM111" s="19"/>
      <c r="AN111" s="19"/>
      <c r="AO111" s="19"/>
      <c r="AP111" s="19"/>
      <c r="AR111" s="8"/>
      <c r="AS111" s="7"/>
      <c r="AT111" s="19"/>
      <c r="AU111" s="19"/>
      <c r="AV111" s="19"/>
      <c r="AW111" s="19"/>
      <c r="AY111" s="8"/>
      <c r="AZ111" s="7"/>
      <c r="BA111" s="19"/>
      <c r="BB111" s="19"/>
      <c r="BC111" s="19"/>
      <c r="BD111" s="19"/>
      <c r="BF111" s="8"/>
      <c r="BG111" s="7"/>
      <c r="BH111" s="19"/>
      <c r="BI111" s="19"/>
      <c r="BJ111" s="19"/>
      <c r="BK111" s="19"/>
      <c r="BM111" s="8"/>
      <c r="BN111" s="7"/>
      <c r="BO111" s="19"/>
      <c r="BP111" s="19"/>
      <c r="BQ111" s="19"/>
      <c r="BR111" s="19"/>
      <c r="BT111" s="8"/>
      <c r="BU111" s="7" t="s">
        <v>108</v>
      </c>
      <c r="BV111" s="19" t="s">
        <v>157</v>
      </c>
      <c r="BW111" s="19"/>
      <c r="BX111" s="19"/>
      <c r="BY111" s="19"/>
      <c r="CA111" s="8">
        <v>10</v>
      </c>
      <c r="CB111" s="7"/>
      <c r="CC111" s="19"/>
      <c r="CD111" s="19"/>
      <c r="CE111" s="19"/>
      <c r="CF111" s="19"/>
      <c r="CH111" s="8"/>
      <c r="CI111" s="7"/>
      <c r="CJ111" s="19"/>
      <c r="CK111" s="19"/>
      <c r="CL111" s="19"/>
      <c r="CM111" s="19"/>
      <c r="CO111" s="8"/>
      <c r="CP111" s="7"/>
      <c r="CQ111" s="19"/>
      <c r="CR111" s="19"/>
      <c r="CS111" s="19"/>
      <c r="CT111" s="19"/>
      <c r="CV111" s="8"/>
      <c r="CW111" s="7"/>
      <c r="CX111" s="19"/>
      <c r="CY111" s="19"/>
      <c r="CZ111" s="19"/>
      <c r="DA111" s="19"/>
      <c r="DC111" s="8"/>
      <c r="DD111" s="7"/>
      <c r="DE111" s="19"/>
      <c r="DF111" s="19"/>
      <c r="DG111" s="19"/>
      <c r="DH111" s="19"/>
      <c r="DJ111" s="8"/>
      <c r="DK111" s="7" t="s">
        <v>108</v>
      </c>
      <c r="DL111" s="19" t="s">
        <v>56</v>
      </c>
      <c r="DM111" s="19"/>
      <c r="DN111" s="19"/>
      <c r="DO111" s="19"/>
      <c r="DQ111" s="8" t="s">
        <v>204</v>
      </c>
      <c r="DR111" s="7"/>
      <c r="DS111" s="19" t="s">
        <v>180</v>
      </c>
      <c r="DT111" s="19"/>
      <c r="DU111" s="19"/>
      <c r="DV111" s="19"/>
      <c r="DX111" s="8" t="s">
        <v>204</v>
      </c>
      <c r="DY111" s="7"/>
      <c r="DZ111" s="19" t="s">
        <v>180</v>
      </c>
      <c r="EA111" s="19"/>
      <c r="EB111" s="19"/>
      <c r="EC111" s="19"/>
      <c r="EE111" s="8" t="s">
        <v>204</v>
      </c>
      <c r="EF111" s="7" t="s">
        <v>108</v>
      </c>
      <c r="EG111" s="19" t="s">
        <v>476</v>
      </c>
      <c r="EH111" s="19"/>
      <c r="EI111" s="19"/>
      <c r="EJ111" s="19"/>
      <c r="EL111" s="8">
        <v>6</v>
      </c>
      <c r="EM111" s="7"/>
      <c r="EN111" s="19" t="s">
        <v>180</v>
      </c>
      <c r="EO111" s="19"/>
      <c r="EP111" s="19"/>
      <c r="EQ111" s="19"/>
      <c r="ES111" s="8">
        <v>6</v>
      </c>
      <c r="ET111" s="7"/>
      <c r="EU111" s="19" t="s">
        <v>180</v>
      </c>
      <c r="EV111" s="19"/>
      <c r="EW111" s="19"/>
      <c r="EX111" s="19"/>
      <c r="EZ111" s="8">
        <v>6</v>
      </c>
      <c r="FA111" s="7"/>
      <c r="FB111" s="19"/>
      <c r="FC111" s="19"/>
      <c r="FD111" s="19"/>
      <c r="FE111" s="19"/>
      <c r="FG111" s="8"/>
      <c r="FH111" s="7"/>
      <c r="FI111" s="19"/>
      <c r="FJ111" s="19"/>
      <c r="FK111" s="19"/>
      <c r="FL111" s="19"/>
      <c r="FN111" s="8"/>
      <c r="FO111" s="7"/>
      <c r="FP111" s="19"/>
      <c r="FQ111" s="19"/>
      <c r="FR111" s="19"/>
      <c r="FS111" s="19"/>
      <c r="FU111" s="8"/>
      <c r="FV111" s="7"/>
      <c r="FW111" s="19"/>
      <c r="FX111" s="19"/>
      <c r="FY111" s="19"/>
      <c r="FZ111" s="19"/>
      <c r="GB111" s="8"/>
      <c r="GC111" s="7"/>
      <c r="GD111" s="19"/>
      <c r="GE111" s="19"/>
      <c r="GF111" s="19"/>
      <c r="GG111" s="19"/>
      <c r="GI111" s="8"/>
      <c r="GJ111" s="7"/>
      <c r="GK111" s="19"/>
      <c r="GL111" s="19"/>
      <c r="GM111" s="19"/>
      <c r="GN111" s="19"/>
      <c r="GP111" s="8"/>
      <c r="GQ111" s="7"/>
      <c r="GR111" s="19"/>
      <c r="GS111" s="19"/>
      <c r="GT111" s="19"/>
      <c r="GU111" s="19"/>
      <c r="GW111" s="8"/>
      <c r="GX111" s="7"/>
      <c r="GY111" s="19"/>
      <c r="GZ111" s="19"/>
      <c r="HA111" s="19"/>
      <c r="HB111" s="19"/>
      <c r="HD111" s="8"/>
      <c r="HE111" s="7"/>
      <c r="HF111" s="19"/>
      <c r="HG111" s="19"/>
      <c r="HH111" s="19"/>
      <c r="HI111" s="19"/>
      <c r="HK111" s="8"/>
      <c r="HL111" s="7"/>
      <c r="HM111" s="19"/>
      <c r="HN111" s="19"/>
      <c r="HO111" s="19"/>
      <c r="HP111" s="19"/>
      <c r="HR111" s="8"/>
      <c r="HS111" s="7"/>
      <c r="HT111" s="19"/>
      <c r="HU111" s="19"/>
      <c r="HV111" s="19"/>
      <c r="HW111" s="19"/>
      <c r="HY111" s="8"/>
      <c r="HZ111" s="7"/>
      <c r="IA111" s="19"/>
      <c r="IB111" s="19"/>
      <c r="IC111" s="19"/>
      <c r="ID111" s="19"/>
      <c r="IF111" s="8"/>
      <c r="IG111" s="7"/>
      <c r="IH111" s="19"/>
      <c r="II111" s="19"/>
      <c r="IJ111" s="19"/>
      <c r="IK111" s="19"/>
      <c r="IM111" s="8"/>
      <c r="IN111" s="7"/>
      <c r="IO111" s="19"/>
      <c r="IP111" s="19"/>
      <c r="IQ111" s="19"/>
      <c r="IR111" s="19"/>
      <c r="IT111" s="8"/>
      <c r="IU111" s="7"/>
      <c r="IV111" s="19"/>
      <c r="IW111" s="19"/>
      <c r="IX111" s="19"/>
      <c r="IY111" s="19"/>
      <c r="JA111" s="8"/>
      <c r="JB111" s="7"/>
      <c r="JC111" s="19"/>
      <c r="JD111" s="19"/>
      <c r="JE111" s="19"/>
      <c r="JF111" s="19"/>
      <c r="JH111" s="8"/>
      <c r="JI111" s="7"/>
      <c r="JJ111" s="19"/>
      <c r="JK111" s="19"/>
      <c r="JL111" s="19"/>
      <c r="JM111" s="19"/>
      <c r="JO111" s="8"/>
      <c r="JP111" s="7"/>
      <c r="JQ111" s="19"/>
      <c r="JR111" s="19"/>
      <c r="JS111" s="19"/>
      <c r="JT111" s="19"/>
      <c r="JV111" s="8"/>
      <c r="JW111" s="7"/>
      <c r="JX111" s="19"/>
      <c r="JY111" s="19"/>
      <c r="JZ111" s="19"/>
      <c r="KA111" s="19"/>
      <c r="KC111" s="8"/>
      <c r="KD111" s="7"/>
      <c r="KE111" s="19"/>
      <c r="KF111" s="19"/>
      <c r="KG111" s="19"/>
      <c r="KH111" s="19"/>
      <c r="KJ111" s="8"/>
      <c r="KK111" s="7"/>
      <c r="KL111" s="19"/>
      <c r="KM111" s="19"/>
      <c r="KN111" s="19"/>
      <c r="KO111" s="19"/>
      <c r="KQ111" s="8"/>
      <c r="KR111" s="7"/>
      <c r="KS111" s="19"/>
      <c r="KT111" s="19"/>
      <c r="KU111" s="19"/>
      <c r="KV111" s="19"/>
      <c r="KX111" s="8"/>
      <c r="KY111" s="7"/>
      <c r="KZ111" s="19"/>
      <c r="LA111" s="19"/>
      <c r="LB111" s="19"/>
      <c r="LC111" s="19"/>
      <c r="LE111" s="8"/>
      <c r="LF111" s="7"/>
      <c r="LG111" s="19"/>
      <c r="LH111" s="19"/>
      <c r="LI111" s="19"/>
      <c r="LJ111" s="19"/>
      <c r="LL111" s="8"/>
      <c r="LM111" s="7"/>
      <c r="LN111" s="19"/>
      <c r="LO111" s="19"/>
      <c r="LP111" s="19"/>
      <c r="LQ111" s="19"/>
      <c r="LS111" s="8"/>
      <c r="LT111" s="7"/>
      <c r="LU111" s="19"/>
      <c r="LV111" s="19"/>
      <c r="LW111" s="19"/>
      <c r="LX111" s="19"/>
      <c r="LZ111" s="8"/>
      <c r="MA111" s="7"/>
      <c r="MB111" s="19"/>
      <c r="MC111" s="19"/>
      <c r="MD111" s="19"/>
      <c r="ME111" s="19"/>
      <c r="MG111" s="8"/>
      <c r="MH111" s="7"/>
      <c r="MI111" s="19"/>
      <c r="MJ111" s="19"/>
      <c r="MK111" s="19"/>
      <c r="ML111" s="19"/>
      <c r="MN111" s="8"/>
      <c r="MO111" s="7"/>
      <c r="MP111" s="19"/>
      <c r="MQ111" s="19"/>
      <c r="MR111" s="19"/>
      <c r="MS111" s="19"/>
      <c r="MU111" s="8"/>
      <c r="MV111" s="7"/>
      <c r="MW111" s="19"/>
      <c r="MX111" s="19"/>
      <c r="MY111" s="19"/>
      <c r="MZ111" s="19"/>
      <c r="NB111" s="8"/>
      <c r="NC111" s="7"/>
      <c r="ND111" s="19"/>
      <c r="NE111" s="19"/>
      <c r="NF111" s="19"/>
      <c r="NG111" s="19"/>
      <c r="NI111" s="8"/>
      <c r="NJ111" s="7"/>
      <c r="NK111" s="19"/>
      <c r="NL111" s="19"/>
      <c r="NM111" s="19"/>
      <c r="NN111" s="19"/>
      <c r="NP111" s="8"/>
      <c r="NQ111" s="7"/>
      <c r="NR111" s="19"/>
      <c r="NS111" s="19"/>
      <c r="NT111" s="19"/>
      <c r="NU111" s="19"/>
      <c r="NW111" s="8"/>
      <c r="NX111" s="7"/>
      <c r="NY111" s="19"/>
      <c r="NZ111" s="19"/>
      <c r="OA111" s="19"/>
      <c r="OB111" s="19"/>
      <c r="OD111" s="8"/>
      <c r="OE111" s="7"/>
      <c r="OF111" s="19"/>
      <c r="OG111" s="19"/>
      <c r="OH111" s="19"/>
      <c r="OI111" s="19"/>
      <c r="OK111" s="8"/>
      <c r="OL111" s="7"/>
      <c r="OM111" s="19"/>
      <c r="ON111" s="19"/>
      <c r="OO111" s="19"/>
      <c r="OP111" s="19"/>
      <c r="OR111" s="8"/>
      <c r="OS111" s="7"/>
      <c r="OT111" s="19"/>
      <c r="OU111" s="19"/>
      <c r="OV111" s="19"/>
      <c r="OW111" s="19"/>
      <c r="OY111" s="8"/>
      <c r="OZ111" s="7"/>
      <c r="PA111" s="19"/>
      <c r="PB111" s="19"/>
      <c r="PC111" s="19"/>
      <c r="PD111" s="19"/>
      <c r="PF111" s="8"/>
      <c r="PG111" s="7"/>
      <c r="PH111" s="19"/>
      <c r="PI111" s="19"/>
      <c r="PJ111" s="19"/>
      <c r="PK111" s="19"/>
      <c r="PM111" s="8"/>
    </row>
    <row r="112" spans="1:429" s="1" customFormat="1" ht="26" customHeight="1" outlineLevel="1">
      <c r="B112" s="471"/>
      <c r="C112" s="7"/>
      <c r="D112" s="19"/>
      <c r="E112" s="19"/>
      <c r="F112" s="19"/>
      <c r="G112" s="19"/>
      <c r="I112" s="8"/>
      <c r="J112" s="7"/>
      <c r="K112" s="19"/>
      <c r="L112" s="19"/>
      <c r="M112" s="19"/>
      <c r="N112" s="19"/>
      <c r="P112" s="8"/>
      <c r="Q112" s="7"/>
      <c r="R112" s="19"/>
      <c r="S112" s="19"/>
      <c r="T112" s="19"/>
      <c r="U112" s="19"/>
      <c r="W112" s="8"/>
      <c r="X112" s="7"/>
      <c r="Y112" s="19"/>
      <c r="Z112" s="19"/>
      <c r="AA112" s="19"/>
      <c r="AB112" s="19"/>
      <c r="AD112" s="8"/>
      <c r="AE112" s="7"/>
      <c r="AF112" s="19"/>
      <c r="AG112" s="19"/>
      <c r="AH112" s="19"/>
      <c r="AI112" s="19"/>
      <c r="AK112" s="8"/>
      <c r="AL112" s="7"/>
      <c r="AM112" s="19"/>
      <c r="AN112" s="19"/>
      <c r="AO112" s="19"/>
      <c r="AP112" s="19"/>
      <c r="AR112" s="8"/>
      <c r="AS112" s="7"/>
      <c r="AT112" s="19"/>
      <c r="AU112" s="19"/>
      <c r="AV112" s="19"/>
      <c r="AW112" s="19"/>
      <c r="AY112" s="8"/>
      <c r="AZ112" s="7"/>
      <c r="BA112" s="19"/>
      <c r="BB112" s="19"/>
      <c r="BC112" s="19"/>
      <c r="BD112" s="19"/>
      <c r="BF112" s="8"/>
      <c r="BG112" s="7"/>
      <c r="BH112" s="19"/>
      <c r="BI112" s="19"/>
      <c r="BJ112" s="19"/>
      <c r="BK112" s="19"/>
      <c r="BM112" s="8"/>
      <c r="BN112" s="7"/>
      <c r="BO112" s="19"/>
      <c r="BP112" s="19"/>
      <c r="BQ112" s="19"/>
      <c r="BR112" s="19"/>
      <c r="BT112" s="8"/>
      <c r="BU112" s="7" t="s">
        <v>109</v>
      </c>
      <c r="BV112" s="19" t="s">
        <v>158</v>
      </c>
      <c r="BW112" s="19"/>
      <c r="BX112" s="19"/>
      <c r="BY112" s="19"/>
      <c r="CA112" s="8">
        <v>10</v>
      </c>
      <c r="CB112" s="7"/>
      <c r="CC112" s="19"/>
      <c r="CD112" s="19"/>
      <c r="CE112" s="19"/>
      <c r="CF112" s="19"/>
      <c r="CH112" s="8"/>
      <c r="CI112" s="7"/>
      <c r="CJ112" s="19"/>
      <c r="CK112" s="19"/>
      <c r="CL112" s="19"/>
      <c r="CM112" s="19"/>
      <c r="CO112" s="8"/>
      <c r="CP112" s="7"/>
      <c r="CQ112" s="19"/>
      <c r="CR112" s="19"/>
      <c r="CS112" s="19"/>
      <c r="CT112" s="19"/>
      <c r="CV112" s="8"/>
      <c r="CW112" s="7"/>
      <c r="CX112" s="19"/>
      <c r="CY112" s="19"/>
      <c r="CZ112" s="19"/>
      <c r="DA112" s="19"/>
      <c r="DC112" s="8"/>
      <c r="DD112" s="7"/>
      <c r="DE112" s="19"/>
      <c r="DF112" s="19"/>
      <c r="DG112" s="19"/>
      <c r="DH112" s="19"/>
      <c r="DJ112" s="8"/>
      <c r="DK112" s="7" t="s">
        <v>109</v>
      </c>
      <c r="DL112" s="19" t="s">
        <v>203</v>
      </c>
      <c r="DM112" s="19"/>
      <c r="DN112" s="19"/>
      <c r="DO112" s="19"/>
      <c r="DQ112" s="8">
        <v>10</v>
      </c>
      <c r="DR112" s="7"/>
      <c r="DS112" s="19" t="s">
        <v>180</v>
      </c>
      <c r="DT112" s="19"/>
      <c r="DU112" s="19"/>
      <c r="DV112" s="19"/>
      <c r="DX112" s="8">
        <v>10</v>
      </c>
      <c r="DY112" s="7"/>
      <c r="DZ112" s="19" t="s">
        <v>180</v>
      </c>
      <c r="EA112" s="19"/>
      <c r="EB112" s="19"/>
      <c r="EC112" s="19"/>
      <c r="EE112" s="8">
        <v>10</v>
      </c>
      <c r="EF112" s="7" t="s">
        <v>109</v>
      </c>
      <c r="EG112" s="19" t="s">
        <v>477</v>
      </c>
      <c r="EH112" s="19"/>
      <c r="EI112" s="19"/>
      <c r="EJ112" s="19"/>
      <c r="EL112" s="8">
        <v>6</v>
      </c>
      <c r="EM112" s="7"/>
      <c r="EN112" s="19" t="s">
        <v>180</v>
      </c>
      <c r="EO112" s="19"/>
      <c r="EP112" s="19"/>
      <c r="EQ112" s="19"/>
      <c r="ES112" s="8">
        <v>7</v>
      </c>
      <c r="ET112" s="7"/>
      <c r="EU112" s="19" t="s">
        <v>180</v>
      </c>
      <c r="EV112" s="19"/>
      <c r="EW112" s="19"/>
      <c r="EX112" s="19"/>
      <c r="EZ112" s="8">
        <v>8</v>
      </c>
      <c r="FA112" s="7"/>
      <c r="FB112" s="19"/>
      <c r="FC112" s="19"/>
      <c r="FD112" s="19"/>
      <c r="FE112" s="19"/>
      <c r="FG112" s="8"/>
      <c r="FH112" s="7"/>
      <c r="FI112" s="19"/>
      <c r="FJ112" s="19"/>
      <c r="FK112" s="19"/>
      <c r="FL112" s="19"/>
      <c r="FN112" s="8"/>
      <c r="FO112" s="7"/>
      <c r="FP112" s="19"/>
      <c r="FQ112" s="19"/>
      <c r="FR112" s="19"/>
      <c r="FS112" s="19"/>
      <c r="FU112" s="8"/>
      <c r="FV112" s="7"/>
      <c r="FW112" s="19"/>
      <c r="FX112" s="19"/>
      <c r="FY112" s="19"/>
      <c r="FZ112" s="19"/>
      <c r="GB112" s="8"/>
      <c r="GC112" s="7"/>
      <c r="GD112" s="19"/>
      <c r="GE112" s="19"/>
      <c r="GF112" s="19"/>
      <c r="GG112" s="19"/>
      <c r="GI112" s="8"/>
      <c r="GJ112" s="7"/>
      <c r="GK112" s="19"/>
      <c r="GL112" s="19"/>
      <c r="GM112" s="19"/>
      <c r="GN112" s="19"/>
      <c r="GP112" s="8"/>
      <c r="GQ112" s="7"/>
      <c r="GR112" s="19"/>
      <c r="GS112" s="19"/>
      <c r="GT112" s="19"/>
      <c r="GU112" s="19"/>
      <c r="GW112" s="8"/>
      <c r="GX112" s="7"/>
      <c r="GY112" s="19"/>
      <c r="GZ112" s="19"/>
      <c r="HA112" s="19"/>
      <c r="HB112" s="19"/>
      <c r="HD112" s="8"/>
      <c r="HE112" s="7"/>
      <c r="HF112" s="19"/>
      <c r="HG112" s="19"/>
      <c r="HH112" s="19"/>
      <c r="HI112" s="19"/>
      <c r="HK112" s="8"/>
      <c r="HL112" s="7"/>
      <c r="HM112" s="19"/>
      <c r="HN112" s="19"/>
      <c r="HO112" s="19"/>
      <c r="HP112" s="19"/>
      <c r="HR112" s="8"/>
      <c r="HS112" s="7"/>
      <c r="HT112" s="19"/>
      <c r="HU112" s="19"/>
      <c r="HV112" s="19"/>
      <c r="HW112" s="19"/>
      <c r="HY112" s="8"/>
      <c r="HZ112" s="7"/>
      <c r="IA112" s="19"/>
      <c r="IB112" s="19"/>
      <c r="IC112" s="19"/>
      <c r="ID112" s="19"/>
      <c r="IF112" s="8"/>
      <c r="IG112" s="7"/>
      <c r="IH112" s="19"/>
      <c r="II112" s="19"/>
      <c r="IJ112" s="19"/>
      <c r="IK112" s="19"/>
      <c r="IM112" s="8"/>
      <c r="IN112" s="7"/>
      <c r="IO112" s="19"/>
      <c r="IP112" s="19"/>
      <c r="IQ112" s="19"/>
      <c r="IR112" s="19"/>
      <c r="IT112" s="8"/>
      <c r="IU112" s="7"/>
      <c r="IV112" s="19"/>
      <c r="IW112" s="19"/>
      <c r="IX112" s="19"/>
      <c r="IY112" s="19"/>
      <c r="JA112" s="8"/>
      <c r="JB112" s="7"/>
      <c r="JC112" s="19"/>
      <c r="JD112" s="19"/>
      <c r="JE112" s="19"/>
      <c r="JF112" s="19"/>
      <c r="JH112" s="8"/>
      <c r="JI112" s="7"/>
      <c r="JJ112" s="19"/>
      <c r="JK112" s="19"/>
      <c r="JL112" s="19"/>
      <c r="JM112" s="19"/>
      <c r="JO112" s="8"/>
      <c r="JP112" s="7"/>
      <c r="JQ112" s="19"/>
      <c r="JR112" s="19"/>
      <c r="JS112" s="19"/>
      <c r="JT112" s="19"/>
      <c r="JV112" s="8"/>
      <c r="JW112" s="7"/>
      <c r="JX112" s="19"/>
      <c r="JY112" s="19"/>
      <c r="JZ112" s="19"/>
      <c r="KA112" s="19"/>
      <c r="KC112" s="8"/>
      <c r="KD112" s="7"/>
      <c r="KE112" s="19"/>
      <c r="KF112" s="19"/>
      <c r="KG112" s="19"/>
      <c r="KH112" s="19"/>
      <c r="KJ112" s="8"/>
      <c r="KK112" s="7"/>
      <c r="KL112" s="19"/>
      <c r="KM112" s="19"/>
      <c r="KN112" s="19"/>
      <c r="KO112" s="19"/>
      <c r="KQ112" s="8"/>
      <c r="KR112" s="7"/>
      <c r="KS112" s="19"/>
      <c r="KT112" s="19"/>
      <c r="KU112" s="19"/>
      <c r="KV112" s="19"/>
      <c r="KX112" s="8"/>
      <c r="KY112" s="7"/>
      <c r="KZ112" s="19"/>
      <c r="LA112" s="19"/>
      <c r="LB112" s="19"/>
      <c r="LC112" s="19"/>
      <c r="LE112" s="8"/>
      <c r="LF112" s="7"/>
      <c r="LG112" s="19"/>
      <c r="LH112" s="19"/>
      <c r="LI112" s="19"/>
      <c r="LJ112" s="19"/>
      <c r="LL112" s="8"/>
      <c r="LM112" s="7"/>
      <c r="LN112" s="19"/>
      <c r="LO112" s="19"/>
      <c r="LP112" s="19"/>
      <c r="LQ112" s="19"/>
      <c r="LS112" s="8"/>
      <c r="LT112" s="7"/>
      <c r="LU112" s="19"/>
      <c r="LV112" s="19"/>
      <c r="LW112" s="19"/>
      <c r="LX112" s="19"/>
      <c r="LZ112" s="8"/>
      <c r="MA112" s="7"/>
      <c r="MB112" s="19"/>
      <c r="MC112" s="19"/>
      <c r="MD112" s="19"/>
      <c r="ME112" s="19"/>
      <c r="MG112" s="8"/>
      <c r="MH112" s="7"/>
      <c r="MI112" s="19"/>
      <c r="MJ112" s="19"/>
      <c r="MK112" s="19"/>
      <c r="ML112" s="19"/>
      <c r="MN112" s="8"/>
      <c r="MO112" s="7"/>
      <c r="MP112" s="19"/>
      <c r="MQ112" s="19"/>
      <c r="MR112" s="19"/>
      <c r="MS112" s="19"/>
      <c r="MU112" s="8"/>
      <c r="MV112" s="7"/>
      <c r="MW112" s="19"/>
      <c r="MX112" s="19"/>
      <c r="MY112" s="19"/>
      <c r="MZ112" s="19"/>
      <c r="NB112" s="8"/>
      <c r="NC112" s="7"/>
      <c r="ND112" s="19"/>
      <c r="NE112" s="19"/>
      <c r="NF112" s="19"/>
      <c r="NG112" s="19"/>
      <c r="NI112" s="8"/>
      <c r="NJ112" s="7"/>
      <c r="NK112" s="19"/>
      <c r="NL112" s="19"/>
      <c r="NM112" s="19"/>
      <c r="NN112" s="19"/>
      <c r="NP112" s="8"/>
      <c r="NQ112" s="7"/>
      <c r="NR112" s="19"/>
      <c r="NS112" s="19"/>
      <c r="NT112" s="19"/>
      <c r="NU112" s="19"/>
      <c r="NW112" s="8"/>
      <c r="NX112" s="7"/>
      <c r="NY112" s="19"/>
      <c r="NZ112" s="19"/>
      <c r="OA112" s="19"/>
      <c r="OB112" s="19"/>
      <c r="OD112" s="8"/>
      <c r="OE112" s="7"/>
      <c r="OF112" s="19"/>
      <c r="OG112" s="19"/>
      <c r="OH112" s="19"/>
      <c r="OI112" s="19"/>
      <c r="OK112" s="8"/>
      <c r="OL112" s="7"/>
      <c r="OM112" s="19"/>
      <c r="ON112" s="19"/>
      <c r="OO112" s="19"/>
      <c r="OP112" s="19"/>
      <c r="OR112" s="8"/>
      <c r="OS112" s="7"/>
      <c r="OT112" s="19"/>
      <c r="OU112" s="19"/>
      <c r="OV112" s="19"/>
      <c r="OW112" s="19"/>
      <c r="OY112" s="8"/>
      <c r="OZ112" s="7"/>
      <c r="PA112" s="19"/>
      <c r="PB112" s="19"/>
      <c r="PC112" s="19"/>
      <c r="PD112" s="19"/>
      <c r="PF112" s="8"/>
      <c r="PG112" s="7"/>
      <c r="PH112" s="19"/>
      <c r="PI112" s="19"/>
      <c r="PJ112" s="19"/>
      <c r="PK112" s="19"/>
      <c r="PM112" s="8"/>
    </row>
    <row r="113" spans="1:429" s="1" customFormat="1" ht="26" customHeight="1" outlineLevel="1">
      <c r="B113" s="471"/>
      <c r="C113" s="7"/>
      <c r="D113" s="19"/>
      <c r="E113" s="19"/>
      <c r="F113" s="19"/>
      <c r="G113" s="19"/>
      <c r="I113" s="8"/>
      <c r="J113" s="7"/>
      <c r="K113" s="19"/>
      <c r="L113" s="19"/>
      <c r="M113" s="19"/>
      <c r="N113" s="19"/>
      <c r="P113" s="8"/>
      <c r="Q113" s="7"/>
      <c r="R113" s="19"/>
      <c r="S113" s="19"/>
      <c r="T113" s="19"/>
      <c r="U113" s="19"/>
      <c r="W113" s="8"/>
      <c r="X113" s="7"/>
      <c r="Y113" s="19"/>
      <c r="Z113" s="19"/>
      <c r="AA113" s="19"/>
      <c r="AB113" s="19"/>
      <c r="AD113" s="8"/>
      <c r="AE113" s="7"/>
      <c r="AF113" s="19"/>
      <c r="AG113" s="19"/>
      <c r="AH113" s="19"/>
      <c r="AI113" s="19"/>
      <c r="AK113" s="8"/>
      <c r="AL113" s="7"/>
      <c r="AM113" s="19"/>
      <c r="AN113" s="19"/>
      <c r="AO113" s="19"/>
      <c r="AP113" s="19"/>
      <c r="AR113" s="8"/>
      <c r="AS113" s="7"/>
      <c r="AT113" s="19"/>
      <c r="AU113" s="19"/>
      <c r="AV113" s="19"/>
      <c r="AW113" s="19"/>
      <c r="AY113" s="8"/>
      <c r="AZ113" s="7"/>
      <c r="BA113" s="19"/>
      <c r="BB113" s="19"/>
      <c r="BC113" s="19"/>
      <c r="BD113" s="19"/>
      <c r="BF113" s="8"/>
      <c r="BG113" s="7"/>
      <c r="BH113" s="19"/>
      <c r="BI113" s="19"/>
      <c r="BJ113" s="19"/>
      <c r="BK113" s="19"/>
      <c r="BM113" s="8"/>
      <c r="BN113" s="7"/>
      <c r="BO113" s="19"/>
      <c r="BP113" s="19"/>
      <c r="BQ113" s="19"/>
      <c r="BR113" s="19"/>
      <c r="BT113" s="8"/>
      <c r="BU113" s="7" t="s">
        <v>110</v>
      </c>
      <c r="BV113" s="19" t="s">
        <v>55</v>
      </c>
      <c r="BW113" s="19"/>
      <c r="BX113" s="19"/>
      <c r="BY113" s="19"/>
      <c r="CA113" s="8">
        <v>8</v>
      </c>
      <c r="CB113" s="7"/>
      <c r="CC113" s="19"/>
      <c r="CD113" s="19"/>
      <c r="CE113" s="19"/>
      <c r="CF113" s="19"/>
      <c r="CH113" s="8"/>
      <c r="CI113" s="7"/>
      <c r="CJ113" s="19"/>
      <c r="CK113" s="19"/>
      <c r="CL113" s="19"/>
      <c r="CM113" s="19"/>
      <c r="CO113" s="8"/>
      <c r="CP113" s="7"/>
      <c r="CQ113" s="19"/>
      <c r="CR113" s="19"/>
      <c r="CS113" s="19"/>
      <c r="CT113" s="19"/>
      <c r="CV113" s="8"/>
      <c r="CW113" s="7"/>
      <c r="CX113" s="19"/>
      <c r="CY113" s="19"/>
      <c r="CZ113" s="19"/>
      <c r="DA113" s="19"/>
      <c r="DC113" s="8"/>
      <c r="DD113" s="7"/>
      <c r="DE113" s="19"/>
      <c r="DF113" s="19"/>
      <c r="DG113" s="19"/>
      <c r="DH113" s="19"/>
      <c r="DJ113" s="8"/>
      <c r="DK113" s="7" t="s">
        <v>110</v>
      </c>
      <c r="DL113" s="19" t="s">
        <v>200</v>
      </c>
      <c r="DM113" s="19"/>
      <c r="DN113" s="19"/>
      <c r="DO113" s="19"/>
      <c r="DQ113" s="8">
        <v>10</v>
      </c>
      <c r="DR113" s="7"/>
      <c r="DS113" s="19" t="s">
        <v>180</v>
      </c>
      <c r="DT113" s="19"/>
      <c r="DU113" s="19"/>
      <c r="DV113" s="19"/>
      <c r="DX113" s="8">
        <v>10</v>
      </c>
      <c r="DY113" s="7"/>
      <c r="DZ113" s="19" t="s">
        <v>180</v>
      </c>
      <c r="EA113" s="19"/>
      <c r="EB113" s="19"/>
      <c r="EC113" s="19"/>
      <c r="EE113" s="8">
        <v>10</v>
      </c>
      <c r="EF113" s="7" t="s">
        <v>110</v>
      </c>
      <c r="EG113" s="19" t="s">
        <v>475</v>
      </c>
      <c r="EH113" s="19"/>
      <c r="EI113" s="19"/>
      <c r="EJ113" s="19"/>
      <c r="EL113" s="8">
        <v>8</v>
      </c>
      <c r="EM113" s="7"/>
      <c r="EN113" s="19" t="s">
        <v>180</v>
      </c>
      <c r="EO113" s="19"/>
      <c r="EP113" s="19"/>
      <c r="EQ113" s="19"/>
      <c r="ES113" s="8">
        <v>8</v>
      </c>
      <c r="ET113" s="7"/>
      <c r="EU113" s="19" t="s">
        <v>180</v>
      </c>
      <c r="EV113" s="19"/>
      <c r="EW113" s="19"/>
      <c r="EX113" s="19"/>
      <c r="EZ113" s="8">
        <v>8</v>
      </c>
      <c r="FA113" s="7"/>
      <c r="FB113" s="19"/>
      <c r="FC113" s="19"/>
      <c r="FD113" s="19"/>
      <c r="FE113" s="19"/>
      <c r="FG113" s="8"/>
      <c r="FH113" s="7"/>
      <c r="FI113" s="19"/>
      <c r="FJ113" s="19"/>
      <c r="FK113" s="19"/>
      <c r="FL113" s="19"/>
      <c r="FN113" s="8"/>
      <c r="FO113" s="7"/>
      <c r="FP113" s="19"/>
      <c r="FQ113" s="19"/>
      <c r="FR113" s="19"/>
      <c r="FS113" s="19"/>
      <c r="FU113" s="8"/>
      <c r="FV113" s="7"/>
      <c r="FW113" s="19"/>
      <c r="FX113" s="19"/>
      <c r="FY113" s="19"/>
      <c r="FZ113" s="19"/>
      <c r="GB113" s="8"/>
      <c r="GC113" s="7"/>
      <c r="GD113" s="19"/>
      <c r="GE113" s="19"/>
      <c r="GF113" s="19"/>
      <c r="GG113" s="19"/>
      <c r="GI113" s="8"/>
      <c r="GJ113" s="7"/>
      <c r="GK113" s="19"/>
      <c r="GL113" s="19"/>
      <c r="GM113" s="19"/>
      <c r="GN113" s="19"/>
      <c r="GP113" s="8"/>
      <c r="GQ113" s="7"/>
      <c r="GR113" s="19"/>
      <c r="GS113" s="19"/>
      <c r="GT113" s="19"/>
      <c r="GU113" s="19"/>
      <c r="GW113" s="8"/>
      <c r="GX113" s="7"/>
      <c r="GY113" s="19"/>
      <c r="GZ113" s="19"/>
      <c r="HA113" s="19"/>
      <c r="HB113" s="19"/>
      <c r="HD113" s="8"/>
      <c r="HE113" s="7"/>
      <c r="HF113" s="19"/>
      <c r="HG113" s="19"/>
      <c r="HH113" s="19"/>
      <c r="HI113" s="19"/>
      <c r="HK113" s="8"/>
      <c r="HL113" s="7"/>
      <c r="HM113" s="19"/>
      <c r="HN113" s="19"/>
      <c r="HO113" s="19"/>
      <c r="HP113" s="19"/>
      <c r="HR113" s="8"/>
      <c r="HS113" s="7"/>
      <c r="HT113" s="19"/>
      <c r="HU113" s="19"/>
      <c r="HV113" s="19"/>
      <c r="HW113" s="19"/>
      <c r="HY113" s="8"/>
      <c r="HZ113" s="7"/>
      <c r="IA113" s="19"/>
      <c r="IB113" s="19"/>
      <c r="IC113" s="19"/>
      <c r="ID113" s="19"/>
      <c r="IF113" s="8"/>
      <c r="IG113" s="7"/>
      <c r="IH113" s="19"/>
      <c r="II113" s="19"/>
      <c r="IJ113" s="19"/>
      <c r="IK113" s="19"/>
      <c r="IM113" s="8"/>
      <c r="IN113" s="7"/>
      <c r="IO113" s="19"/>
      <c r="IP113" s="19"/>
      <c r="IQ113" s="19"/>
      <c r="IR113" s="19"/>
      <c r="IT113" s="8"/>
      <c r="IU113" s="7"/>
      <c r="IV113" s="19"/>
      <c r="IW113" s="19"/>
      <c r="IX113" s="19"/>
      <c r="IY113" s="19"/>
      <c r="JA113" s="8"/>
      <c r="JB113" s="7"/>
      <c r="JC113" s="19"/>
      <c r="JD113" s="19"/>
      <c r="JE113" s="19"/>
      <c r="JF113" s="19"/>
      <c r="JH113" s="8"/>
      <c r="JI113" s="7"/>
      <c r="JJ113" s="19"/>
      <c r="JK113" s="19"/>
      <c r="JL113" s="19"/>
      <c r="JM113" s="19"/>
      <c r="JO113" s="8"/>
      <c r="JP113" s="7"/>
      <c r="JQ113" s="19"/>
      <c r="JR113" s="19"/>
      <c r="JS113" s="19"/>
      <c r="JT113" s="19"/>
      <c r="JV113" s="8"/>
      <c r="JW113" s="7"/>
      <c r="JX113" s="19"/>
      <c r="JY113" s="19"/>
      <c r="JZ113" s="19"/>
      <c r="KA113" s="19"/>
      <c r="KC113" s="8"/>
      <c r="KD113" s="7"/>
      <c r="KE113" s="19"/>
      <c r="KF113" s="19"/>
      <c r="KG113" s="19"/>
      <c r="KH113" s="19"/>
      <c r="KJ113" s="8"/>
      <c r="KK113" s="7"/>
      <c r="KL113" s="19"/>
      <c r="KM113" s="19"/>
      <c r="KN113" s="19"/>
      <c r="KO113" s="19"/>
      <c r="KQ113" s="8"/>
      <c r="KR113" s="7"/>
      <c r="KS113" s="19"/>
      <c r="KT113" s="19"/>
      <c r="KU113" s="19"/>
      <c r="KV113" s="19"/>
      <c r="KX113" s="8"/>
      <c r="KY113" s="7"/>
      <c r="KZ113" s="19"/>
      <c r="LA113" s="19"/>
      <c r="LB113" s="19"/>
      <c r="LC113" s="19"/>
      <c r="LE113" s="8"/>
      <c r="LF113" s="7"/>
      <c r="LG113" s="19"/>
      <c r="LH113" s="19"/>
      <c r="LI113" s="19"/>
      <c r="LJ113" s="19"/>
      <c r="LL113" s="8"/>
      <c r="LM113" s="7"/>
      <c r="LN113" s="19"/>
      <c r="LO113" s="19"/>
      <c r="LP113" s="19"/>
      <c r="LQ113" s="19"/>
      <c r="LS113" s="8"/>
      <c r="LT113" s="7"/>
      <c r="LU113" s="19"/>
      <c r="LV113" s="19"/>
      <c r="LW113" s="19"/>
      <c r="LX113" s="19"/>
      <c r="LZ113" s="8"/>
      <c r="MA113" s="7"/>
      <c r="MB113" s="19"/>
      <c r="MC113" s="19"/>
      <c r="MD113" s="19"/>
      <c r="ME113" s="19"/>
      <c r="MG113" s="8"/>
      <c r="MH113" s="7"/>
      <c r="MI113" s="19"/>
      <c r="MJ113" s="19"/>
      <c r="MK113" s="19"/>
      <c r="ML113" s="19"/>
      <c r="MN113" s="8"/>
      <c r="MO113" s="7"/>
      <c r="MP113" s="19"/>
      <c r="MQ113" s="19"/>
      <c r="MR113" s="19"/>
      <c r="MS113" s="19"/>
      <c r="MU113" s="8"/>
      <c r="MV113" s="7"/>
      <c r="MW113" s="19"/>
      <c r="MX113" s="19"/>
      <c r="MY113" s="19"/>
      <c r="MZ113" s="19"/>
      <c r="NB113" s="8"/>
      <c r="NC113" s="7"/>
      <c r="ND113" s="19"/>
      <c r="NE113" s="19"/>
      <c r="NF113" s="19"/>
      <c r="NG113" s="19"/>
      <c r="NI113" s="8"/>
      <c r="NJ113" s="7"/>
      <c r="NK113" s="19"/>
      <c r="NL113" s="19"/>
      <c r="NM113" s="19"/>
      <c r="NN113" s="19"/>
      <c r="NP113" s="8"/>
      <c r="NQ113" s="7"/>
      <c r="NR113" s="19"/>
      <c r="NS113" s="19"/>
      <c r="NT113" s="19"/>
      <c r="NU113" s="19"/>
      <c r="NW113" s="8"/>
      <c r="NX113" s="7"/>
      <c r="NY113" s="19"/>
      <c r="NZ113" s="19"/>
      <c r="OA113" s="19"/>
      <c r="OB113" s="19"/>
      <c r="OD113" s="8"/>
      <c r="OE113" s="7"/>
      <c r="OF113" s="19"/>
      <c r="OG113" s="19"/>
      <c r="OH113" s="19"/>
      <c r="OI113" s="19"/>
      <c r="OK113" s="8"/>
      <c r="OL113" s="7"/>
      <c r="OM113" s="19"/>
      <c r="ON113" s="19"/>
      <c r="OO113" s="19"/>
      <c r="OP113" s="19"/>
      <c r="OR113" s="8"/>
      <c r="OS113" s="7"/>
      <c r="OT113" s="19"/>
      <c r="OU113" s="19"/>
      <c r="OV113" s="19"/>
      <c r="OW113" s="19"/>
      <c r="OY113" s="8"/>
      <c r="OZ113" s="7"/>
      <c r="PA113" s="19"/>
      <c r="PB113" s="19"/>
      <c r="PC113" s="19"/>
      <c r="PD113" s="19"/>
      <c r="PF113" s="8"/>
      <c r="PG113" s="7"/>
      <c r="PH113" s="19"/>
      <c r="PI113" s="19"/>
      <c r="PJ113" s="19"/>
      <c r="PK113" s="19"/>
      <c r="PM113" s="8"/>
    </row>
    <row r="114" spans="1:429" s="1" customFormat="1" ht="26" customHeight="1" outlineLevel="1">
      <c r="B114" s="471"/>
      <c r="C114" s="7"/>
      <c r="D114" s="19"/>
      <c r="E114" s="19"/>
      <c r="F114" s="19"/>
      <c r="G114" s="19"/>
      <c r="I114" s="8"/>
      <c r="J114" s="7"/>
      <c r="K114" s="19"/>
      <c r="L114" s="19"/>
      <c r="M114" s="19"/>
      <c r="N114" s="19"/>
      <c r="P114" s="8"/>
      <c r="Q114" s="7"/>
      <c r="R114" s="19"/>
      <c r="S114" s="19"/>
      <c r="T114" s="19"/>
      <c r="U114" s="19"/>
      <c r="W114" s="8"/>
      <c r="X114" s="7"/>
      <c r="Y114" s="19"/>
      <c r="Z114" s="19"/>
      <c r="AA114" s="19"/>
      <c r="AB114" s="19"/>
      <c r="AD114" s="8"/>
      <c r="AE114" s="7"/>
      <c r="AF114" s="19"/>
      <c r="AG114" s="19"/>
      <c r="AH114" s="19"/>
      <c r="AI114" s="19"/>
      <c r="AK114" s="8"/>
      <c r="AL114" s="7"/>
      <c r="AM114" s="19"/>
      <c r="AN114" s="19"/>
      <c r="AO114" s="19"/>
      <c r="AP114" s="19"/>
      <c r="AR114" s="8"/>
      <c r="AS114" s="7"/>
      <c r="AT114" s="19"/>
      <c r="AU114" s="19"/>
      <c r="AV114" s="19"/>
      <c r="AW114" s="19"/>
      <c r="AY114" s="8"/>
      <c r="AZ114" s="7"/>
      <c r="BA114" s="19"/>
      <c r="BB114" s="19"/>
      <c r="BC114" s="19"/>
      <c r="BD114" s="19"/>
      <c r="BF114" s="8"/>
      <c r="BG114" s="7"/>
      <c r="BH114" s="19"/>
      <c r="BI114" s="19"/>
      <c r="BJ114" s="19"/>
      <c r="BK114" s="19"/>
      <c r="BM114" s="8"/>
      <c r="BN114" s="7"/>
      <c r="BO114" s="19"/>
      <c r="BP114" s="19"/>
      <c r="BQ114" s="19"/>
      <c r="BR114" s="19"/>
      <c r="BT114" s="8"/>
      <c r="BU114" s="7" t="s">
        <v>111</v>
      </c>
      <c r="BV114" s="19" t="s">
        <v>159</v>
      </c>
      <c r="BW114" s="19"/>
      <c r="BX114" s="19"/>
      <c r="BY114" s="19"/>
      <c r="CA114" s="8">
        <v>8</v>
      </c>
      <c r="CB114" s="7"/>
      <c r="CC114" s="19"/>
      <c r="CD114" s="19"/>
      <c r="CE114" s="19"/>
      <c r="CF114" s="19"/>
      <c r="CH114" s="8"/>
      <c r="CI114" s="7"/>
      <c r="CJ114" s="19"/>
      <c r="CK114" s="19"/>
      <c r="CL114" s="19"/>
      <c r="CM114" s="19"/>
      <c r="CO114" s="8"/>
      <c r="CP114" s="7"/>
      <c r="CQ114" s="19"/>
      <c r="CR114" s="19"/>
      <c r="CS114" s="19"/>
      <c r="CT114" s="19"/>
      <c r="CV114" s="8"/>
      <c r="CW114" s="7"/>
      <c r="CX114" s="19"/>
      <c r="CY114" s="19"/>
      <c r="CZ114" s="19"/>
      <c r="DA114" s="19"/>
      <c r="DC114" s="8"/>
      <c r="DD114" s="7"/>
      <c r="DE114" s="19"/>
      <c r="DF114" s="19"/>
      <c r="DG114" s="19"/>
      <c r="DH114" s="19"/>
      <c r="DJ114" s="8"/>
      <c r="DK114" s="7" t="s">
        <v>111</v>
      </c>
      <c r="DL114" s="19" t="s">
        <v>201</v>
      </c>
      <c r="DM114" s="19"/>
      <c r="DN114" s="19"/>
      <c r="DO114" s="19"/>
      <c r="DQ114" s="8">
        <v>10</v>
      </c>
      <c r="DR114" s="7"/>
      <c r="DS114" s="19" t="s">
        <v>180</v>
      </c>
      <c r="DT114" s="19"/>
      <c r="DU114" s="19"/>
      <c r="DV114" s="19"/>
      <c r="DX114" s="8">
        <v>11</v>
      </c>
      <c r="DY114" s="7"/>
      <c r="DZ114" s="19" t="s">
        <v>180</v>
      </c>
      <c r="EA114" s="19"/>
      <c r="EB114" s="19"/>
      <c r="EC114" s="19"/>
      <c r="EE114" s="8">
        <v>12</v>
      </c>
      <c r="EF114" s="7" t="s">
        <v>111</v>
      </c>
      <c r="EG114" s="19" t="s">
        <v>479</v>
      </c>
      <c r="EH114" s="19"/>
      <c r="EI114" s="19"/>
      <c r="EJ114" s="19"/>
      <c r="EL114" s="8">
        <v>10</v>
      </c>
      <c r="EM114" s="7"/>
      <c r="EN114" s="19" t="s">
        <v>180</v>
      </c>
      <c r="EO114" s="19"/>
      <c r="EP114" s="19"/>
      <c r="EQ114" s="19"/>
      <c r="ES114" s="8">
        <v>10</v>
      </c>
      <c r="ET114" s="7"/>
      <c r="EU114" s="19" t="s">
        <v>180</v>
      </c>
      <c r="EV114" s="19"/>
      <c r="EW114" s="19"/>
      <c r="EX114" s="19"/>
      <c r="EZ114" s="8">
        <v>10</v>
      </c>
      <c r="FA114" s="7"/>
      <c r="FB114" s="19"/>
      <c r="FC114" s="19"/>
      <c r="FD114" s="19"/>
      <c r="FE114" s="19"/>
      <c r="FG114" s="8"/>
      <c r="FH114" s="7"/>
      <c r="FI114" s="19"/>
      <c r="FJ114" s="19"/>
      <c r="FK114" s="19"/>
      <c r="FL114" s="19"/>
      <c r="FN114" s="8"/>
      <c r="FO114" s="7"/>
      <c r="FP114" s="19"/>
      <c r="FQ114" s="19"/>
      <c r="FR114" s="19"/>
      <c r="FS114" s="19"/>
      <c r="FU114" s="8"/>
      <c r="FV114" s="7"/>
      <c r="FW114" s="19"/>
      <c r="FX114" s="19"/>
      <c r="FY114" s="19"/>
      <c r="FZ114" s="19"/>
      <c r="GB114" s="8"/>
      <c r="GC114" s="7"/>
      <c r="GD114" s="19"/>
      <c r="GE114" s="19"/>
      <c r="GF114" s="19"/>
      <c r="GG114" s="19"/>
      <c r="GI114" s="8"/>
      <c r="GJ114" s="7"/>
      <c r="GK114" s="19"/>
      <c r="GL114" s="19"/>
      <c r="GM114" s="19"/>
      <c r="GN114" s="19"/>
      <c r="GP114" s="8"/>
      <c r="GQ114" s="7"/>
      <c r="GR114" s="19"/>
      <c r="GS114" s="19"/>
      <c r="GT114" s="19"/>
      <c r="GU114" s="19"/>
      <c r="GW114" s="8"/>
      <c r="GX114" s="7"/>
      <c r="GY114" s="19"/>
      <c r="GZ114" s="19"/>
      <c r="HA114" s="19"/>
      <c r="HB114" s="19"/>
      <c r="HD114" s="8"/>
      <c r="HE114" s="7"/>
      <c r="HF114" s="19"/>
      <c r="HG114" s="19"/>
      <c r="HH114" s="19"/>
      <c r="HI114" s="19"/>
      <c r="HK114" s="8"/>
      <c r="HL114" s="7"/>
      <c r="HM114" s="19"/>
      <c r="HN114" s="19"/>
      <c r="HO114" s="19"/>
      <c r="HP114" s="19"/>
      <c r="HR114" s="8"/>
      <c r="HS114" s="7"/>
      <c r="HT114" s="19"/>
      <c r="HU114" s="19"/>
      <c r="HV114" s="19"/>
      <c r="HW114" s="19"/>
      <c r="HY114" s="8"/>
      <c r="HZ114" s="7"/>
      <c r="IA114" s="19"/>
      <c r="IB114" s="19"/>
      <c r="IC114" s="19"/>
      <c r="ID114" s="19"/>
      <c r="IF114" s="8"/>
      <c r="IG114" s="7"/>
      <c r="IH114" s="19"/>
      <c r="II114" s="19"/>
      <c r="IJ114" s="19"/>
      <c r="IK114" s="19"/>
      <c r="IM114" s="8"/>
      <c r="IN114" s="7"/>
      <c r="IO114" s="19"/>
      <c r="IP114" s="19"/>
      <c r="IQ114" s="19"/>
      <c r="IR114" s="19"/>
      <c r="IT114" s="8"/>
      <c r="IU114" s="7"/>
      <c r="IV114" s="19"/>
      <c r="IW114" s="19"/>
      <c r="IX114" s="19"/>
      <c r="IY114" s="19"/>
      <c r="JA114" s="8"/>
      <c r="JB114" s="7"/>
      <c r="JC114" s="19"/>
      <c r="JD114" s="19"/>
      <c r="JE114" s="19"/>
      <c r="JF114" s="19"/>
      <c r="JH114" s="8"/>
      <c r="JI114" s="7"/>
      <c r="JJ114" s="19"/>
      <c r="JK114" s="19"/>
      <c r="JL114" s="19"/>
      <c r="JM114" s="19"/>
      <c r="JO114" s="8"/>
      <c r="JP114" s="7"/>
      <c r="JQ114" s="19"/>
      <c r="JR114" s="19"/>
      <c r="JS114" s="19"/>
      <c r="JT114" s="19"/>
      <c r="JV114" s="8"/>
      <c r="JW114" s="7"/>
      <c r="JX114" s="19"/>
      <c r="JY114" s="19"/>
      <c r="JZ114" s="19"/>
      <c r="KA114" s="19"/>
      <c r="KC114" s="8"/>
      <c r="KD114" s="7"/>
      <c r="KE114" s="19"/>
      <c r="KF114" s="19"/>
      <c r="KG114" s="19"/>
      <c r="KH114" s="19"/>
      <c r="KJ114" s="8"/>
      <c r="KK114" s="7"/>
      <c r="KL114" s="19"/>
      <c r="KM114" s="19"/>
      <c r="KN114" s="19"/>
      <c r="KO114" s="19"/>
      <c r="KQ114" s="8"/>
      <c r="KR114" s="7"/>
      <c r="KS114" s="19"/>
      <c r="KT114" s="19"/>
      <c r="KU114" s="19"/>
      <c r="KV114" s="19"/>
      <c r="KX114" s="8"/>
      <c r="KY114" s="7"/>
      <c r="KZ114" s="19"/>
      <c r="LA114" s="19"/>
      <c r="LB114" s="19"/>
      <c r="LC114" s="19"/>
      <c r="LE114" s="8"/>
      <c r="LF114" s="7"/>
      <c r="LG114" s="19"/>
      <c r="LH114" s="19"/>
      <c r="LI114" s="19"/>
      <c r="LJ114" s="19"/>
      <c r="LL114" s="8"/>
      <c r="LM114" s="7"/>
      <c r="LN114" s="19"/>
      <c r="LO114" s="19"/>
      <c r="LP114" s="19"/>
      <c r="LQ114" s="19"/>
      <c r="LS114" s="8"/>
      <c r="LT114" s="7"/>
      <c r="LU114" s="19"/>
      <c r="LV114" s="19"/>
      <c r="LW114" s="19"/>
      <c r="LX114" s="19"/>
      <c r="LZ114" s="8"/>
      <c r="MA114" s="7"/>
      <c r="MB114" s="19"/>
      <c r="MC114" s="19"/>
      <c r="MD114" s="19"/>
      <c r="ME114" s="19"/>
      <c r="MG114" s="8"/>
      <c r="MH114" s="7"/>
      <c r="MI114" s="19"/>
      <c r="MJ114" s="19"/>
      <c r="MK114" s="19"/>
      <c r="ML114" s="19"/>
      <c r="MN114" s="8"/>
      <c r="MO114" s="7"/>
      <c r="MP114" s="19"/>
      <c r="MQ114" s="19"/>
      <c r="MR114" s="19"/>
      <c r="MS114" s="19"/>
      <c r="MU114" s="8"/>
      <c r="MV114" s="7"/>
      <c r="MW114" s="19"/>
      <c r="MX114" s="19"/>
      <c r="MY114" s="19"/>
      <c r="MZ114" s="19"/>
      <c r="NB114" s="8"/>
      <c r="NC114" s="7"/>
      <c r="ND114" s="19"/>
      <c r="NE114" s="19"/>
      <c r="NF114" s="19"/>
      <c r="NG114" s="19"/>
      <c r="NI114" s="8"/>
      <c r="NJ114" s="7"/>
      <c r="NK114" s="19"/>
      <c r="NL114" s="19"/>
      <c r="NM114" s="19"/>
      <c r="NN114" s="19"/>
      <c r="NP114" s="8"/>
      <c r="NQ114" s="7"/>
      <c r="NR114" s="19"/>
      <c r="NS114" s="19"/>
      <c r="NT114" s="19"/>
      <c r="NU114" s="19"/>
      <c r="NW114" s="8"/>
      <c r="NX114" s="7"/>
      <c r="NY114" s="19"/>
      <c r="NZ114" s="19"/>
      <c r="OA114" s="19"/>
      <c r="OB114" s="19"/>
      <c r="OD114" s="8"/>
      <c r="OE114" s="7"/>
      <c r="OF114" s="19"/>
      <c r="OG114" s="19"/>
      <c r="OH114" s="19"/>
      <c r="OI114" s="19"/>
      <c r="OK114" s="8"/>
      <c r="OL114" s="7"/>
      <c r="OM114" s="19"/>
      <c r="ON114" s="19"/>
      <c r="OO114" s="19"/>
      <c r="OP114" s="19"/>
      <c r="OR114" s="8"/>
      <c r="OS114" s="7"/>
      <c r="OT114" s="19"/>
      <c r="OU114" s="19"/>
      <c r="OV114" s="19"/>
      <c r="OW114" s="19"/>
      <c r="OY114" s="8"/>
      <c r="OZ114" s="7"/>
      <c r="PA114" s="19"/>
      <c r="PB114" s="19"/>
      <c r="PC114" s="19"/>
      <c r="PD114" s="19"/>
      <c r="PF114" s="8"/>
      <c r="PG114" s="7"/>
      <c r="PH114" s="19"/>
      <c r="PI114" s="19"/>
      <c r="PJ114" s="19"/>
      <c r="PK114" s="19"/>
      <c r="PM114" s="8"/>
    </row>
    <row r="115" spans="1:429" s="1" customFormat="1" ht="26" customHeight="1" outlineLevel="1">
      <c r="B115" s="471"/>
      <c r="C115" s="7"/>
      <c r="D115" s="19"/>
      <c r="E115" s="19"/>
      <c r="F115" s="19"/>
      <c r="G115" s="19"/>
      <c r="I115" s="8"/>
      <c r="J115" s="7"/>
      <c r="K115" s="19"/>
      <c r="L115" s="19"/>
      <c r="M115" s="19"/>
      <c r="N115" s="19"/>
      <c r="P115" s="8"/>
      <c r="Q115" s="7"/>
      <c r="R115" s="19"/>
      <c r="S115" s="19"/>
      <c r="T115" s="19"/>
      <c r="U115" s="19"/>
      <c r="W115" s="8"/>
      <c r="X115" s="7"/>
      <c r="Y115" s="19"/>
      <c r="Z115" s="19"/>
      <c r="AA115" s="19"/>
      <c r="AB115" s="19"/>
      <c r="AD115" s="8"/>
      <c r="AE115" s="7"/>
      <c r="AF115" s="19"/>
      <c r="AG115" s="19"/>
      <c r="AH115" s="19"/>
      <c r="AI115" s="19"/>
      <c r="AK115" s="8"/>
      <c r="AL115" s="7"/>
      <c r="AM115" s="19"/>
      <c r="AN115" s="19"/>
      <c r="AO115" s="19"/>
      <c r="AP115" s="19"/>
      <c r="AR115" s="8"/>
      <c r="AS115" s="7"/>
      <c r="AT115" s="19"/>
      <c r="AU115" s="19"/>
      <c r="AV115" s="19"/>
      <c r="AW115" s="19"/>
      <c r="AY115" s="8"/>
      <c r="AZ115" s="7"/>
      <c r="BA115" s="19"/>
      <c r="BB115" s="19"/>
      <c r="BC115" s="19"/>
      <c r="BD115" s="19"/>
      <c r="BF115" s="8"/>
      <c r="BG115" s="7"/>
      <c r="BH115" s="19"/>
      <c r="BI115" s="19"/>
      <c r="BJ115" s="19"/>
      <c r="BK115" s="19"/>
      <c r="BM115" s="8"/>
      <c r="BN115" s="7"/>
      <c r="BO115" s="19"/>
      <c r="BP115" s="19"/>
      <c r="BQ115" s="19"/>
      <c r="BR115" s="19"/>
      <c r="BT115" s="8"/>
      <c r="BU115" s="7" t="s">
        <v>112</v>
      </c>
      <c r="BV115" s="19" t="s">
        <v>160</v>
      </c>
      <c r="BW115" s="19"/>
      <c r="BX115" s="19"/>
      <c r="BY115" s="19"/>
      <c r="CA115" s="8">
        <v>20</v>
      </c>
      <c r="CB115" s="7"/>
      <c r="CC115" s="19"/>
      <c r="CD115" s="19"/>
      <c r="CE115" s="19"/>
      <c r="CF115" s="19"/>
      <c r="CH115" s="8"/>
      <c r="CI115" s="7"/>
      <c r="CJ115" s="19"/>
      <c r="CK115" s="19"/>
      <c r="CL115" s="19"/>
      <c r="CM115" s="19"/>
      <c r="CO115" s="8"/>
      <c r="CP115" s="7"/>
      <c r="CQ115" s="19"/>
      <c r="CR115" s="19"/>
      <c r="CS115" s="19"/>
      <c r="CT115" s="19"/>
      <c r="CV115" s="8"/>
      <c r="CW115" s="7"/>
      <c r="CX115" s="19"/>
      <c r="CY115" s="19"/>
      <c r="CZ115" s="19"/>
      <c r="DA115" s="19"/>
      <c r="DC115" s="8"/>
      <c r="DD115" s="7"/>
      <c r="DE115" s="19"/>
      <c r="DF115" s="19"/>
      <c r="DG115" s="19"/>
      <c r="DH115" s="19"/>
      <c r="DJ115" s="8"/>
      <c r="DK115" s="7" t="s">
        <v>112</v>
      </c>
      <c r="DL115" s="19" t="s">
        <v>202</v>
      </c>
      <c r="DM115" s="19"/>
      <c r="DN115" s="19"/>
      <c r="DO115" s="19"/>
      <c r="DP115" s="1" t="s">
        <v>118</v>
      </c>
      <c r="DQ115" s="8">
        <v>6</v>
      </c>
      <c r="DR115" s="7"/>
      <c r="DS115" s="19" t="s">
        <v>180</v>
      </c>
      <c r="DT115" s="19"/>
      <c r="DU115" s="19"/>
      <c r="DV115" s="19"/>
      <c r="DX115" s="8">
        <v>7</v>
      </c>
      <c r="DY115" s="7"/>
      <c r="DZ115" s="19" t="s">
        <v>180</v>
      </c>
      <c r="EA115" s="19"/>
      <c r="EB115" s="19"/>
      <c r="EC115" s="19"/>
      <c r="EE115" s="8">
        <v>8</v>
      </c>
      <c r="EF115" s="7" t="s">
        <v>112</v>
      </c>
      <c r="EG115" s="19" t="s">
        <v>478</v>
      </c>
      <c r="EH115" s="19"/>
      <c r="EI115" s="19"/>
      <c r="EJ115" s="19"/>
      <c r="EL115" s="8">
        <v>8</v>
      </c>
      <c r="EM115" s="7"/>
      <c r="EN115" s="19" t="s">
        <v>180</v>
      </c>
      <c r="EO115" s="19"/>
      <c r="EP115" s="19"/>
      <c r="EQ115" s="19"/>
      <c r="ES115" s="8">
        <v>9</v>
      </c>
      <c r="ET115" s="7"/>
      <c r="EU115" s="19" t="s">
        <v>180</v>
      </c>
      <c r="EV115" s="19"/>
      <c r="EW115" s="19"/>
      <c r="EX115" s="19"/>
      <c r="EZ115" s="8">
        <v>10</v>
      </c>
      <c r="FA115" s="7"/>
      <c r="FB115" s="19"/>
      <c r="FC115" s="19"/>
      <c r="FD115" s="19"/>
      <c r="FE115" s="19"/>
      <c r="FG115" s="8"/>
      <c r="FH115" s="7"/>
      <c r="FI115" s="19"/>
      <c r="FJ115" s="19"/>
      <c r="FK115" s="19"/>
      <c r="FL115" s="19"/>
      <c r="FN115" s="8"/>
      <c r="FO115" s="7"/>
      <c r="FP115" s="19"/>
      <c r="FQ115" s="19"/>
      <c r="FR115" s="19"/>
      <c r="FS115" s="19"/>
      <c r="FU115" s="8"/>
      <c r="FV115" s="7"/>
      <c r="FW115" s="19"/>
      <c r="FX115" s="19"/>
      <c r="FY115" s="19"/>
      <c r="FZ115" s="19"/>
      <c r="GB115" s="8"/>
      <c r="GC115" s="7"/>
      <c r="GD115" s="19"/>
      <c r="GE115" s="19"/>
      <c r="GF115" s="19"/>
      <c r="GG115" s="19"/>
      <c r="GI115" s="8"/>
      <c r="GJ115" s="7"/>
      <c r="GK115" s="19"/>
      <c r="GL115" s="19"/>
      <c r="GM115" s="19"/>
      <c r="GN115" s="19"/>
      <c r="GP115" s="8"/>
      <c r="GQ115" s="7"/>
      <c r="GR115" s="19"/>
      <c r="GS115" s="19"/>
      <c r="GT115" s="19"/>
      <c r="GU115" s="19"/>
      <c r="GW115" s="8"/>
      <c r="GX115" s="7"/>
      <c r="GY115" s="19"/>
      <c r="GZ115" s="19"/>
      <c r="HA115" s="19"/>
      <c r="HB115" s="19"/>
      <c r="HD115" s="8"/>
      <c r="HE115" s="7"/>
      <c r="HF115" s="19"/>
      <c r="HG115" s="19"/>
      <c r="HH115" s="19"/>
      <c r="HI115" s="19"/>
      <c r="HK115" s="8"/>
      <c r="HL115" s="7"/>
      <c r="HM115" s="19"/>
      <c r="HN115" s="19"/>
      <c r="HO115" s="19"/>
      <c r="HP115" s="19"/>
      <c r="HR115" s="8"/>
      <c r="HS115" s="7"/>
      <c r="HT115" s="19"/>
      <c r="HU115" s="19"/>
      <c r="HV115" s="19"/>
      <c r="HW115" s="19"/>
      <c r="HY115" s="8"/>
      <c r="HZ115" s="7"/>
      <c r="IA115" s="19"/>
      <c r="IB115" s="19"/>
      <c r="IC115" s="19"/>
      <c r="ID115" s="19"/>
      <c r="IF115" s="8"/>
      <c r="IG115" s="7"/>
      <c r="IH115" s="19"/>
      <c r="II115" s="19"/>
      <c r="IJ115" s="19"/>
      <c r="IK115" s="19"/>
      <c r="IM115" s="8"/>
      <c r="IN115" s="7"/>
      <c r="IO115" s="19"/>
      <c r="IP115" s="19"/>
      <c r="IQ115" s="19"/>
      <c r="IR115" s="19"/>
      <c r="IT115" s="8"/>
      <c r="IU115" s="7"/>
      <c r="IV115" s="19"/>
      <c r="IW115" s="19"/>
      <c r="IX115" s="19"/>
      <c r="IY115" s="19"/>
      <c r="JA115" s="8"/>
      <c r="JB115" s="7"/>
      <c r="JC115" s="19"/>
      <c r="JD115" s="19"/>
      <c r="JE115" s="19"/>
      <c r="JF115" s="19"/>
      <c r="JH115" s="8"/>
      <c r="JI115" s="7"/>
      <c r="JJ115" s="19"/>
      <c r="JK115" s="19"/>
      <c r="JL115" s="19"/>
      <c r="JM115" s="19"/>
      <c r="JO115" s="8"/>
      <c r="JP115" s="7"/>
      <c r="JQ115" s="19"/>
      <c r="JR115" s="19"/>
      <c r="JS115" s="19"/>
      <c r="JT115" s="19"/>
      <c r="JV115" s="8"/>
      <c r="JW115" s="7"/>
      <c r="JX115" s="19"/>
      <c r="JY115" s="19"/>
      <c r="JZ115" s="19"/>
      <c r="KA115" s="19"/>
      <c r="KC115" s="8"/>
      <c r="KD115" s="7"/>
      <c r="KE115" s="19"/>
      <c r="KF115" s="19"/>
      <c r="KG115" s="19"/>
      <c r="KH115" s="19"/>
      <c r="KJ115" s="8"/>
      <c r="KK115" s="7"/>
      <c r="KL115" s="19"/>
      <c r="KM115" s="19"/>
      <c r="KN115" s="19"/>
      <c r="KO115" s="19"/>
      <c r="KQ115" s="8"/>
      <c r="KR115" s="7"/>
      <c r="KS115" s="19"/>
      <c r="KT115" s="19"/>
      <c r="KU115" s="19"/>
      <c r="KV115" s="19"/>
      <c r="KX115" s="8"/>
      <c r="KY115" s="7"/>
      <c r="KZ115" s="19"/>
      <c r="LA115" s="19"/>
      <c r="LB115" s="19"/>
      <c r="LC115" s="19"/>
      <c r="LE115" s="8"/>
      <c r="LF115" s="7"/>
      <c r="LG115" s="19"/>
      <c r="LH115" s="19"/>
      <c r="LI115" s="19"/>
      <c r="LJ115" s="19"/>
      <c r="LL115" s="8"/>
      <c r="LM115" s="7"/>
      <c r="LN115" s="19"/>
      <c r="LO115" s="19"/>
      <c r="LP115" s="19"/>
      <c r="LQ115" s="19"/>
      <c r="LS115" s="8"/>
      <c r="LT115" s="7"/>
      <c r="LU115" s="19"/>
      <c r="LV115" s="19"/>
      <c r="LW115" s="19"/>
      <c r="LX115" s="19"/>
      <c r="LZ115" s="8"/>
      <c r="MA115" s="7"/>
      <c r="MB115" s="19"/>
      <c r="MC115" s="19"/>
      <c r="MD115" s="19"/>
      <c r="ME115" s="19"/>
      <c r="MG115" s="8"/>
      <c r="MH115" s="7"/>
      <c r="MI115" s="19"/>
      <c r="MJ115" s="19"/>
      <c r="MK115" s="19"/>
      <c r="ML115" s="19"/>
      <c r="MN115" s="8"/>
      <c r="MO115" s="7"/>
      <c r="MP115" s="19"/>
      <c r="MQ115" s="19"/>
      <c r="MR115" s="19"/>
      <c r="MS115" s="19"/>
      <c r="MU115" s="8"/>
      <c r="MV115" s="7"/>
      <c r="MW115" s="19"/>
      <c r="MX115" s="19"/>
      <c r="MY115" s="19"/>
      <c r="MZ115" s="19"/>
      <c r="NB115" s="8"/>
      <c r="NC115" s="7"/>
      <c r="ND115" s="19"/>
      <c r="NE115" s="19"/>
      <c r="NF115" s="19"/>
      <c r="NG115" s="19"/>
      <c r="NI115" s="8"/>
      <c r="NJ115" s="7"/>
      <c r="NK115" s="19"/>
      <c r="NL115" s="19"/>
      <c r="NM115" s="19"/>
      <c r="NN115" s="19"/>
      <c r="NP115" s="8"/>
      <c r="NQ115" s="7"/>
      <c r="NR115" s="19"/>
      <c r="NS115" s="19"/>
      <c r="NT115" s="19"/>
      <c r="NU115" s="19"/>
      <c r="NW115" s="8"/>
      <c r="NX115" s="7"/>
      <c r="NY115" s="19"/>
      <c r="NZ115" s="19"/>
      <c r="OA115" s="19"/>
      <c r="OB115" s="19"/>
      <c r="OD115" s="8"/>
      <c r="OE115" s="7"/>
      <c r="OF115" s="19"/>
      <c r="OG115" s="19"/>
      <c r="OH115" s="19"/>
      <c r="OI115" s="19"/>
      <c r="OK115" s="8"/>
      <c r="OL115" s="7"/>
      <c r="OM115" s="19"/>
      <c r="ON115" s="19"/>
      <c r="OO115" s="19"/>
      <c r="OP115" s="19"/>
      <c r="OR115" s="8"/>
      <c r="OS115" s="7"/>
      <c r="OT115" s="19"/>
      <c r="OU115" s="19"/>
      <c r="OV115" s="19"/>
      <c r="OW115" s="19"/>
      <c r="OY115" s="8"/>
      <c r="OZ115" s="7"/>
      <c r="PA115" s="19"/>
      <c r="PB115" s="19"/>
      <c r="PC115" s="19"/>
      <c r="PD115" s="19"/>
      <c r="PF115" s="8"/>
      <c r="PG115" s="7"/>
      <c r="PH115" s="19"/>
      <c r="PI115" s="19"/>
      <c r="PJ115" s="19"/>
      <c r="PK115" s="19"/>
      <c r="PM115" s="8"/>
    </row>
    <row r="116" spans="1:429" s="1" customFormat="1" ht="26" customHeight="1" outlineLevel="1">
      <c r="B116" s="471"/>
      <c r="C116" s="7"/>
      <c r="D116" s="19"/>
      <c r="E116" s="19"/>
      <c r="F116" s="19"/>
      <c r="G116" s="19"/>
      <c r="I116" s="8"/>
      <c r="J116" s="7"/>
      <c r="K116" s="19"/>
      <c r="L116" s="19"/>
      <c r="M116" s="19"/>
      <c r="N116" s="19"/>
      <c r="P116" s="8"/>
      <c r="Q116" s="7"/>
      <c r="R116" s="19"/>
      <c r="S116" s="19"/>
      <c r="T116" s="19"/>
      <c r="U116" s="19"/>
      <c r="W116" s="8"/>
      <c r="X116" s="7"/>
      <c r="Y116" s="19"/>
      <c r="Z116" s="19"/>
      <c r="AA116" s="19"/>
      <c r="AB116" s="19"/>
      <c r="AD116" s="8"/>
      <c r="AE116" s="7"/>
      <c r="AF116" s="19"/>
      <c r="AG116" s="19"/>
      <c r="AH116" s="19"/>
      <c r="AI116" s="19"/>
      <c r="AK116" s="8"/>
      <c r="AL116" s="7"/>
      <c r="AM116" s="19"/>
      <c r="AN116" s="19"/>
      <c r="AO116" s="19"/>
      <c r="AP116" s="19"/>
      <c r="AR116" s="8"/>
      <c r="AS116" s="7"/>
      <c r="AT116" s="19"/>
      <c r="AU116" s="19"/>
      <c r="AV116" s="19"/>
      <c r="AW116" s="19"/>
      <c r="AY116" s="8"/>
      <c r="AZ116" s="7"/>
      <c r="BA116" s="19"/>
      <c r="BB116" s="19"/>
      <c r="BC116" s="19"/>
      <c r="BD116" s="19"/>
      <c r="BF116" s="8"/>
      <c r="BG116" s="7"/>
      <c r="BH116" s="19"/>
      <c r="BI116" s="19"/>
      <c r="BJ116" s="19"/>
      <c r="BK116" s="19"/>
      <c r="BM116" s="8"/>
      <c r="BN116" s="7"/>
      <c r="BO116" s="19"/>
      <c r="BP116" s="19"/>
      <c r="BQ116" s="19"/>
      <c r="BR116" s="19"/>
      <c r="BT116" s="8"/>
      <c r="BU116" s="7" t="s">
        <v>113</v>
      </c>
      <c r="BV116" s="19" t="s">
        <v>161</v>
      </c>
      <c r="BW116" s="19"/>
      <c r="BX116" s="19"/>
      <c r="BY116" s="19"/>
      <c r="CA116" s="8">
        <v>8</v>
      </c>
      <c r="CB116" s="7"/>
      <c r="CC116" s="19"/>
      <c r="CD116" s="19"/>
      <c r="CE116" s="19"/>
      <c r="CF116" s="19"/>
      <c r="CH116" s="8"/>
      <c r="CI116" s="7"/>
      <c r="CJ116" s="19"/>
      <c r="CK116" s="19"/>
      <c r="CL116" s="19"/>
      <c r="CM116" s="19"/>
      <c r="CO116" s="8"/>
      <c r="CP116" s="7"/>
      <c r="CQ116" s="19"/>
      <c r="CR116" s="19"/>
      <c r="CS116" s="19"/>
      <c r="CT116" s="19"/>
      <c r="CV116" s="8"/>
      <c r="CW116" s="7"/>
      <c r="CX116" s="19"/>
      <c r="CY116" s="19"/>
      <c r="CZ116" s="19"/>
      <c r="DA116" s="19"/>
      <c r="DC116" s="8"/>
      <c r="DD116" s="7"/>
      <c r="DE116" s="19"/>
      <c r="DF116" s="19"/>
      <c r="DG116" s="19"/>
      <c r="DH116" s="19"/>
      <c r="DJ116" s="8"/>
      <c r="DK116" s="7"/>
      <c r="DL116" s="19"/>
      <c r="DM116" s="19"/>
      <c r="DN116" s="19"/>
      <c r="DO116" s="19"/>
      <c r="DQ116" s="8"/>
      <c r="DR116" s="7"/>
      <c r="DS116" s="19"/>
      <c r="DT116" s="19"/>
      <c r="DU116" s="19"/>
      <c r="DV116" s="19"/>
      <c r="DX116" s="8"/>
      <c r="DY116" s="7"/>
      <c r="DZ116" s="19"/>
      <c r="EA116" s="19"/>
      <c r="EB116" s="19"/>
      <c r="EC116" s="19"/>
      <c r="EE116" s="8"/>
      <c r="EF116" s="7"/>
      <c r="EG116" s="19"/>
      <c r="EH116" s="19"/>
      <c r="EI116" s="19"/>
      <c r="EJ116" s="19"/>
      <c r="EL116" s="8"/>
      <c r="EM116" s="7"/>
      <c r="EN116" s="19"/>
      <c r="EO116" s="19"/>
      <c r="EP116" s="19"/>
      <c r="EQ116" s="19"/>
      <c r="ES116" s="8"/>
      <c r="ET116" s="7"/>
      <c r="EU116" s="19"/>
      <c r="EV116" s="19"/>
      <c r="EW116" s="19"/>
      <c r="EX116" s="19"/>
      <c r="EZ116" s="8"/>
      <c r="FA116" s="7"/>
      <c r="FB116" s="19"/>
      <c r="FC116" s="19"/>
      <c r="FD116" s="19"/>
      <c r="FE116" s="19"/>
      <c r="FG116" s="8"/>
      <c r="FH116" s="7"/>
      <c r="FI116" s="19"/>
      <c r="FJ116" s="19"/>
      <c r="FK116" s="19"/>
      <c r="FL116" s="19"/>
      <c r="FN116" s="8"/>
      <c r="FO116" s="7"/>
      <c r="FP116" s="19"/>
      <c r="FQ116" s="19"/>
      <c r="FR116" s="19"/>
      <c r="FS116" s="19"/>
      <c r="FU116" s="8"/>
      <c r="FV116" s="7"/>
      <c r="FW116" s="19"/>
      <c r="FX116" s="19"/>
      <c r="FY116" s="19"/>
      <c r="FZ116" s="19"/>
      <c r="GB116" s="8"/>
      <c r="GC116" s="7"/>
      <c r="GD116" s="19"/>
      <c r="GE116" s="19"/>
      <c r="GF116" s="19"/>
      <c r="GG116" s="19"/>
      <c r="GI116" s="8"/>
      <c r="GJ116" s="7"/>
      <c r="GK116" s="19"/>
      <c r="GL116" s="19"/>
      <c r="GM116" s="19"/>
      <c r="GN116" s="19"/>
      <c r="GP116" s="8"/>
      <c r="GQ116" s="7"/>
      <c r="GR116" s="19"/>
      <c r="GS116" s="19"/>
      <c r="GT116" s="19"/>
      <c r="GU116" s="19"/>
      <c r="GW116" s="8"/>
      <c r="GX116" s="7"/>
      <c r="GY116" s="19"/>
      <c r="GZ116" s="19"/>
      <c r="HA116" s="19"/>
      <c r="HB116" s="19"/>
      <c r="HD116" s="8"/>
      <c r="HE116" s="7"/>
      <c r="HF116" s="19"/>
      <c r="HG116" s="19"/>
      <c r="HH116" s="19"/>
      <c r="HI116" s="19"/>
      <c r="HK116" s="8"/>
      <c r="HL116" s="7"/>
      <c r="HM116" s="19"/>
      <c r="HN116" s="19"/>
      <c r="HO116" s="19"/>
      <c r="HP116" s="19"/>
      <c r="HR116" s="8"/>
      <c r="HS116" s="7"/>
      <c r="HT116" s="19"/>
      <c r="HU116" s="19"/>
      <c r="HV116" s="19"/>
      <c r="HW116" s="19"/>
      <c r="HY116" s="8"/>
      <c r="HZ116" s="7"/>
      <c r="IA116" s="19"/>
      <c r="IB116" s="19"/>
      <c r="IC116" s="19"/>
      <c r="ID116" s="19"/>
      <c r="IF116" s="8"/>
      <c r="IG116" s="7"/>
      <c r="IH116" s="19"/>
      <c r="II116" s="19"/>
      <c r="IJ116" s="19"/>
      <c r="IK116" s="19"/>
      <c r="IM116" s="8"/>
      <c r="IN116" s="7"/>
      <c r="IO116" s="19"/>
      <c r="IP116" s="19"/>
      <c r="IQ116" s="19"/>
      <c r="IR116" s="19"/>
      <c r="IT116" s="8"/>
      <c r="IU116" s="7"/>
      <c r="IV116" s="19"/>
      <c r="IW116" s="19"/>
      <c r="IX116" s="19"/>
      <c r="IY116" s="19"/>
      <c r="JA116" s="8"/>
      <c r="JB116" s="7"/>
      <c r="JC116" s="19"/>
      <c r="JD116" s="19"/>
      <c r="JE116" s="19"/>
      <c r="JF116" s="19"/>
      <c r="JH116" s="8"/>
      <c r="JI116" s="7"/>
      <c r="JJ116" s="19"/>
      <c r="JK116" s="19"/>
      <c r="JL116" s="19"/>
      <c r="JM116" s="19"/>
      <c r="JO116" s="8"/>
      <c r="JP116" s="7"/>
      <c r="JQ116" s="19"/>
      <c r="JR116" s="19"/>
      <c r="JS116" s="19"/>
      <c r="JT116" s="19"/>
      <c r="JV116" s="8"/>
      <c r="JW116" s="7"/>
      <c r="JX116" s="19"/>
      <c r="JY116" s="19"/>
      <c r="JZ116" s="19"/>
      <c r="KA116" s="19"/>
      <c r="KC116" s="8"/>
      <c r="KD116" s="7"/>
      <c r="KE116" s="19"/>
      <c r="KF116" s="19"/>
      <c r="KG116" s="19"/>
      <c r="KH116" s="19"/>
      <c r="KJ116" s="8"/>
      <c r="KK116" s="7"/>
      <c r="KL116" s="19"/>
      <c r="KM116" s="19"/>
      <c r="KN116" s="19"/>
      <c r="KO116" s="19"/>
      <c r="KQ116" s="8"/>
      <c r="KR116" s="7"/>
      <c r="KS116" s="19"/>
      <c r="KT116" s="19"/>
      <c r="KU116" s="19"/>
      <c r="KV116" s="19"/>
      <c r="KX116" s="8"/>
      <c r="KY116" s="7"/>
      <c r="KZ116" s="19"/>
      <c r="LA116" s="19"/>
      <c r="LB116" s="19"/>
      <c r="LC116" s="19"/>
      <c r="LE116" s="8"/>
      <c r="LF116" s="7"/>
      <c r="LG116" s="19"/>
      <c r="LH116" s="19"/>
      <c r="LI116" s="19"/>
      <c r="LJ116" s="19"/>
      <c r="LL116" s="8"/>
      <c r="LM116" s="7"/>
      <c r="LN116" s="19"/>
      <c r="LO116" s="19"/>
      <c r="LP116" s="19"/>
      <c r="LQ116" s="19"/>
      <c r="LS116" s="8"/>
      <c r="LT116" s="7"/>
      <c r="LU116" s="19"/>
      <c r="LV116" s="19"/>
      <c r="LW116" s="19"/>
      <c r="LX116" s="19"/>
      <c r="LZ116" s="8"/>
      <c r="MA116" s="7"/>
      <c r="MB116" s="19"/>
      <c r="MC116" s="19"/>
      <c r="MD116" s="19"/>
      <c r="ME116" s="19"/>
      <c r="MG116" s="8"/>
      <c r="MH116" s="7"/>
      <c r="MI116" s="19"/>
      <c r="MJ116" s="19"/>
      <c r="MK116" s="19"/>
      <c r="ML116" s="19"/>
      <c r="MN116" s="8"/>
      <c r="MO116" s="7"/>
      <c r="MP116" s="19"/>
      <c r="MQ116" s="19"/>
      <c r="MR116" s="19"/>
      <c r="MS116" s="19"/>
      <c r="MU116" s="8"/>
      <c r="MV116" s="7"/>
      <c r="MW116" s="19"/>
      <c r="MX116" s="19"/>
      <c r="MY116" s="19"/>
      <c r="MZ116" s="19"/>
      <c r="NB116" s="8"/>
      <c r="NC116" s="7"/>
      <c r="ND116" s="19"/>
      <c r="NE116" s="19"/>
      <c r="NF116" s="19"/>
      <c r="NG116" s="19"/>
      <c r="NI116" s="8"/>
      <c r="NJ116" s="7"/>
      <c r="NK116" s="19"/>
      <c r="NL116" s="19"/>
      <c r="NM116" s="19"/>
      <c r="NN116" s="19"/>
      <c r="NP116" s="8"/>
      <c r="NQ116" s="7"/>
      <c r="NR116" s="19"/>
      <c r="NS116" s="19"/>
      <c r="NT116" s="19"/>
      <c r="NU116" s="19"/>
      <c r="NW116" s="8"/>
      <c r="NX116" s="7"/>
      <c r="NY116" s="19"/>
      <c r="NZ116" s="19"/>
      <c r="OA116" s="19"/>
      <c r="OB116" s="19"/>
      <c r="OD116" s="8"/>
      <c r="OE116" s="7"/>
      <c r="OF116" s="19"/>
      <c r="OG116" s="19"/>
      <c r="OH116" s="19"/>
      <c r="OI116" s="19"/>
      <c r="OK116" s="8"/>
      <c r="OL116" s="7"/>
      <c r="OM116" s="19"/>
      <c r="ON116" s="19"/>
      <c r="OO116" s="19"/>
      <c r="OP116" s="19"/>
      <c r="OR116" s="8"/>
      <c r="OS116" s="7"/>
      <c r="OT116" s="19"/>
      <c r="OU116" s="19"/>
      <c r="OV116" s="19"/>
      <c r="OW116" s="19"/>
      <c r="OY116" s="8"/>
      <c r="OZ116" s="7"/>
      <c r="PA116" s="19"/>
      <c r="PB116" s="19"/>
      <c r="PC116" s="19"/>
      <c r="PD116" s="19"/>
      <c r="PF116" s="8"/>
      <c r="PG116" s="7"/>
      <c r="PH116" s="19"/>
      <c r="PI116" s="19"/>
      <c r="PJ116" s="19"/>
      <c r="PK116" s="19"/>
      <c r="PM116" s="8"/>
    </row>
    <row r="117" spans="1:429" s="1" customFormat="1" ht="26" customHeight="1" outlineLevel="1">
      <c r="B117" s="471"/>
      <c r="C117" s="7"/>
      <c r="D117" s="19"/>
      <c r="E117" s="19"/>
      <c r="F117" s="19"/>
      <c r="G117" s="19"/>
      <c r="I117" s="8"/>
      <c r="J117" s="7"/>
      <c r="K117" s="19"/>
      <c r="L117" s="19"/>
      <c r="M117" s="19"/>
      <c r="N117" s="19"/>
      <c r="P117" s="8"/>
      <c r="Q117" s="7"/>
      <c r="R117" s="19"/>
      <c r="S117" s="19"/>
      <c r="T117" s="19"/>
      <c r="U117" s="19"/>
      <c r="W117" s="8"/>
      <c r="X117" s="7"/>
      <c r="Y117" s="19"/>
      <c r="Z117" s="19"/>
      <c r="AA117" s="19"/>
      <c r="AB117" s="19"/>
      <c r="AD117" s="8"/>
      <c r="AE117" s="7"/>
      <c r="AF117" s="19"/>
      <c r="AG117" s="19"/>
      <c r="AH117" s="19"/>
      <c r="AI117" s="19"/>
      <c r="AK117" s="8"/>
      <c r="AL117" s="7"/>
      <c r="AM117" s="19"/>
      <c r="AN117" s="19"/>
      <c r="AO117" s="19"/>
      <c r="AP117" s="19"/>
      <c r="AR117" s="8"/>
      <c r="AS117" s="7"/>
      <c r="AT117" s="19"/>
      <c r="AU117" s="19"/>
      <c r="AV117" s="19"/>
      <c r="AW117" s="19"/>
      <c r="AY117" s="8"/>
      <c r="AZ117" s="7"/>
      <c r="BA117" s="19"/>
      <c r="BB117" s="19"/>
      <c r="BC117" s="19"/>
      <c r="BD117" s="19"/>
      <c r="BF117" s="8"/>
      <c r="BG117" s="7"/>
      <c r="BH117" s="19"/>
      <c r="BI117" s="19"/>
      <c r="BJ117" s="19"/>
      <c r="BK117" s="19"/>
      <c r="BM117" s="8"/>
      <c r="BN117" s="7"/>
      <c r="BO117" s="19"/>
      <c r="BP117" s="19"/>
      <c r="BQ117" s="19"/>
      <c r="BR117" s="19"/>
      <c r="BT117" s="8"/>
      <c r="BU117" s="7" t="s">
        <v>114</v>
      </c>
      <c r="BV117" s="19" t="s">
        <v>89</v>
      </c>
      <c r="BW117" s="19"/>
      <c r="BX117" s="19"/>
      <c r="BY117" s="19"/>
      <c r="CA117" s="8">
        <v>20</v>
      </c>
      <c r="CB117" s="7"/>
      <c r="CC117" s="19"/>
      <c r="CD117" s="19"/>
      <c r="CE117" s="19"/>
      <c r="CF117" s="19"/>
      <c r="CH117" s="8"/>
      <c r="CI117" s="7"/>
      <c r="CJ117" s="19"/>
      <c r="CK117" s="19"/>
      <c r="CL117" s="19"/>
      <c r="CM117" s="19"/>
      <c r="CO117" s="8"/>
      <c r="CP117" s="7"/>
      <c r="CQ117" s="19"/>
      <c r="CR117" s="19"/>
      <c r="CS117" s="19"/>
      <c r="CT117" s="19"/>
      <c r="CV117" s="8"/>
      <c r="CW117" s="7"/>
      <c r="CX117" s="19"/>
      <c r="CY117" s="19"/>
      <c r="CZ117" s="19"/>
      <c r="DA117" s="19"/>
      <c r="DC117" s="8"/>
      <c r="DD117" s="7"/>
      <c r="DE117" s="19"/>
      <c r="DF117" s="19"/>
      <c r="DG117" s="19"/>
      <c r="DH117" s="19"/>
      <c r="DJ117" s="8"/>
      <c r="DK117" s="7"/>
      <c r="DL117" s="19"/>
      <c r="DM117" s="19"/>
      <c r="DN117" s="19"/>
      <c r="DO117" s="19"/>
      <c r="DQ117" s="8"/>
      <c r="DR117" s="7"/>
      <c r="DS117" s="19"/>
      <c r="DT117" s="19"/>
      <c r="DU117" s="19"/>
      <c r="DV117" s="19"/>
      <c r="DX117" s="8"/>
      <c r="DY117" s="7"/>
      <c r="DZ117" s="19"/>
      <c r="EA117" s="19"/>
      <c r="EB117" s="19"/>
      <c r="EC117" s="19"/>
      <c r="EE117" s="8"/>
      <c r="EF117" s="7"/>
      <c r="EL117" s="8"/>
      <c r="EM117" s="7"/>
      <c r="EN117" s="19"/>
      <c r="EO117" s="19"/>
      <c r="EP117" s="19"/>
      <c r="EQ117" s="19"/>
      <c r="ES117" s="8"/>
      <c r="ET117" s="7"/>
      <c r="EU117" s="19"/>
      <c r="EV117" s="19"/>
      <c r="EW117" s="19"/>
      <c r="EX117" s="19"/>
      <c r="EZ117" s="8"/>
      <c r="FA117" s="7"/>
      <c r="FB117" s="19"/>
      <c r="FC117" s="19"/>
      <c r="FD117" s="19"/>
      <c r="FE117" s="19"/>
      <c r="FG117" s="8"/>
      <c r="FH117" s="7"/>
      <c r="FI117" s="19"/>
      <c r="FJ117" s="19"/>
      <c r="FK117" s="19"/>
      <c r="FL117" s="19"/>
      <c r="FN117" s="8"/>
      <c r="FO117" s="7"/>
      <c r="FP117" s="19"/>
      <c r="FQ117" s="19"/>
      <c r="FR117" s="19"/>
      <c r="FS117" s="19"/>
      <c r="FU117" s="8"/>
      <c r="FV117" s="7"/>
      <c r="FW117" s="19"/>
      <c r="FX117" s="19"/>
      <c r="FY117" s="19"/>
      <c r="FZ117" s="19"/>
      <c r="GB117" s="8"/>
      <c r="GC117" s="7"/>
      <c r="GD117" s="19"/>
      <c r="GE117" s="19"/>
      <c r="GF117" s="19"/>
      <c r="GG117" s="19"/>
      <c r="GI117" s="8"/>
      <c r="GJ117" s="7"/>
      <c r="GK117" s="19"/>
      <c r="GL117" s="19"/>
      <c r="GM117" s="19"/>
      <c r="GN117" s="19"/>
      <c r="GP117" s="8"/>
      <c r="GQ117" s="7"/>
      <c r="GR117" s="19"/>
      <c r="GS117" s="19"/>
      <c r="GT117" s="19"/>
      <c r="GU117" s="19"/>
      <c r="GW117" s="8"/>
      <c r="GX117" s="7"/>
      <c r="GY117" s="19"/>
      <c r="GZ117" s="19"/>
      <c r="HA117" s="19"/>
      <c r="HB117" s="19"/>
      <c r="HD117" s="8"/>
      <c r="HE117" s="7"/>
      <c r="HF117" s="19"/>
      <c r="HG117" s="19"/>
      <c r="HH117" s="19"/>
      <c r="HI117" s="19"/>
      <c r="HK117" s="8"/>
      <c r="HL117" s="7"/>
      <c r="HM117" s="19"/>
      <c r="HN117" s="19"/>
      <c r="HO117" s="19"/>
      <c r="HP117" s="19"/>
      <c r="HR117" s="8"/>
      <c r="HS117" s="7"/>
      <c r="HT117" s="19"/>
      <c r="HU117" s="19"/>
      <c r="HV117" s="19"/>
      <c r="HW117" s="19"/>
      <c r="HY117" s="8"/>
      <c r="HZ117" s="7"/>
      <c r="IA117" s="19"/>
      <c r="IB117" s="19"/>
      <c r="IC117" s="19"/>
      <c r="ID117" s="19"/>
      <c r="IF117" s="8"/>
      <c r="IG117" s="7"/>
      <c r="IH117" s="19"/>
      <c r="II117" s="19"/>
      <c r="IJ117" s="19"/>
      <c r="IK117" s="19"/>
      <c r="IM117" s="8"/>
      <c r="IN117" s="7"/>
      <c r="IO117" s="19"/>
      <c r="IP117" s="19"/>
      <c r="IQ117" s="19"/>
      <c r="IR117" s="19"/>
      <c r="IT117" s="8"/>
      <c r="IU117" s="7"/>
      <c r="IV117" s="19"/>
      <c r="IW117" s="19"/>
      <c r="IX117" s="19"/>
      <c r="IY117" s="19"/>
      <c r="JA117" s="8"/>
      <c r="JB117" s="7"/>
      <c r="JC117" s="19"/>
      <c r="JD117" s="19"/>
      <c r="JE117" s="19"/>
      <c r="JF117" s="19"/>
      <c r="JH117" s="8"/>
      <c r="JI117" s="7"/>
      <c r="JJ117" s="19"/>
      <c r="JK117" s="19"/>
      <c r="JL117" s="19"/>
      <c r="JM117" s="19"/>
      <c r="JO117" s="8"/>
      <c r="JP117" s="7"/>
      <c r="JQ117" s="19"/>
      <c r="JR117" s="19"/>
      <c r="JS117" s="19"/>
      <c r="JT117" s="19"/>
      <c r="JV117" s="8"/>
      <c r="JW117" s="7"/>
      <c r="JX117" s="19"/>
      <c r="JY117" s="19"/>
      <c r="JZ117" s="19"/>
      <c r="KA117" s="19"/>
      <c r="KC117" s="8"/>
      <c r="KD117" s="7"/>
      <c r="KE117" s="19"/>
      <c r="KF117" s="19"/>
      <c r="KG117" s="19"/>
      <c r="KH117" s="19"/>
      <c r="KJ117" s="8"/>
      <c r="KK117" s="7"/>
      <c r="KL117" s="19"/>
      <c r="KM117" s="19"/>
      <c r="KN117" s="19"/>
      <c r="KO117" s="19"/>
      <c r="KQ117" s="8"/>
      <c r="KR117" s="7"/>
      <c r="KS117" s="19"/>
      <c r="KT117" s="19"/>
      <c r="KU117" s="19"/>
      <c r="KV117" s="19"/>
      <c r="KX117" s="8"/>
      <c r="KY117" s="7"/>
      <c r="KZ117" s="19"/>
      <c r="LA117" s="19"/>
      <c r="LB117" s="19"/>
      <c r="LC117" s="19"/>
      <c r="LE117" s="8"/>
      <c r="LF117" s="7"/>
      <c r="LG117" s="19"/>
      <c r="LH117" s="19"/>
      <c r="LI117" s="19"/>
      <c r="LJ117" s="19"/>
      <c r="LL117" s="8"/>
      <c r="LM117" s="7"/>
      <c r="LN117" s="19"/>
      <c r="LO117" s="19"/>
      <c r="LP117" s="19"/>
      <c r="LQ117" s="19"/>
      <c r="LS117" s="8"/>
      <c r="LT117" s="7"/>
      <c r="LU117" s="19"/>
      <c r="LV117" s="19"/>
      <c r="LW117" s="19"/>
      <c r="LX117" s="19"/>
      <c r="LZ117" s="8"/>
      <c r="MA117" s="7"/>
      <c r="MB117" s="19"/>
      <c r="MC117" s="19"/>
      <c r="MD117" s="19"/>
      <c r="ME117" s="19"/>
      <c r="MG117" s="8"/>
      <c r="MH117" s="7"/>
      <c r="MI117" s="19"/>
      <c r="MJ117" s="19"/>
      <c r="MK117" s="19"/>
      <c r="ML117" s="19"/>
      <c r="MN117" s="8"/>
      <c r="MO117" s="7"/>
      <c r="MP117" s="19"/>
      <c r="MQ117" s="19"/>
      <c r="MR117" s="19"/>
      <c r="MS117" s="19"/>
      <c r="MU117" s="8"/>
      <c r="MV117" s="7"/>
      <c r="MW117" s="19"/>
      <c r="MX117" s="19"/>
      <c r="MY117" s="19"/>
      <c r="MZ117" s="19"/>
      <c r="NB117" s="8"/>
      <c r="NC117" s="7"/>
      <c r="ND117" s="19"/>
      <c r="NE117" s="19"/>
      <c r="NF117" s="19"/>
      <c r="NG117" s="19"/>
      <c r="NI117" s="8"/>
      <c r="NJ117" s="7"/>
      <c r="NK117" s="19"/>
      <c r="NL117" s="19"/>
      <c r="NM117" s="19"/>
      <c r="NN117" s="19"/>
      <c r="NP117" s="8"/>
      <c r="NQ117" s="7"/>
      <c r="NR117" s="19"/>
      <c r="NS117" s="19"/>
      <c r="NT117" s="19"/>
      <c r="NU117" s="19"/>
      <c r="NW117" s="8"/>
      <c r="NX117" s="7"/>
      <c r="NY117" s="19"/>
      <c r="NZ117" s="19"/>
      <c r="OA117" s="19"/>
      <c r="OB117" s="19"/>
      <c r="OD117" s="8"/>
      <c r="OE117" s="7"/>
      <c r="OF117" s="19"/>
      <c r="OG117" s="19"/>
      <c r="OH117" s="19"/>
      <c r="OI117" s="19"/>
      <c r="OK117" s="8"/>
      <c r="OL117" s="7"/>
      <c r="OM117" s="19"/>
      <c r="ON117" s="19"/>
      <c r="OO117" s="19"/>
      <c r="OP117" s="19"/>
      <c r="OR117" s="8"/>
      <c r="OS117" s="7"/>
      <c r="OT117" s="19"/>
      <c r="OU117" s="19"/>
      <c r="OV117" s="19"/>
      <c r="OW117" s="19"/>
      <c r="OY117" s="8"/>
      <c r="OZ117" s="7"/>
      <c r="PA117" s="19"/>
      <c r="PB117" s="19"/>
      <c r="PC117" s="19"/>
      <c r="PD117" s="19"/>
      <c r="PF117" s="8"/>
      <c r="PG117" s="7"/>
      <c r="PH117" s="19"/>
      <c r="PI117" s="19"/>
      <c r="PJ117" s="19"/>
      <c r="PK117" s="19"/>
      <c r="PM117" s="8"/>
    </row>
    <row r="118" spans="1:429" s="1" customFormat="1" ht="26" customHeight="1" outlineLevel="1">
      <c r="B118" s="471"/>
      <c r="C118" s="7"/>
      <c r="D118" s="19"/>
      <c r="E118" s="19"/>
      <c r="F118" s="19"/>
      <c r="G118" s="19"/>
      <c r="I118" s="8"/>
      <c r="J118" s="7"/>
      <c r="K118" s="19"/>
      <c r="L118" s="19"/>
      <c r="M118" s="19"/>
      <c r="N118" s="19"/>
      <c r="P118" s="8"/>
      <c r="Q118" s="7"/>
      <c r="R118" s="19"/>
      <c r="S118" s="19"/>
      <c r="T118" s="19"/>
      <c r="U118" s="19"/>
      <c r="W118" s="8"/>
      <c r="X118" s="7"/>
      <c r="Y118" s="19"/>
      <c r="Z118" s="19"/>
      <c r="AA118" s="19"/>
      <c r="AB118" s="19"/>
      <c r="AD118" s="8"/>
      <c r="AE118" s="7"/>
      <c r="AF118" s="19"/>
      <c r="AG118" s="19"/>
      <c r="AH118" s="19"/>
      <c r="AI118" s="19"/>
      <c r="AK118" s="8"/>
      <c r="AL118" s="7"/>
      <c r="AM118" s="19"/>
      <c r="AN118" s="19"/>
      <c r="AO118" s="19"/>
      <c r="AP118" s="19"/>
      <c r="AR118" s="8"/>
      <c r="AS118" s="7"/>
      <c r="AT118" s="19"/>
      <c r="AU118" s="19"/>
      <c r="AV118" s="19"/>
      <c r="AW118" s="19"/>
      <c r="AY118" s="8"/>
      <c r="AZ118" s="7"/>
      <c r="BA118" s="19"/>
      <c r="BB118" s="19"/>
      <c r="BC118" s="19"/>
      <c r="BD118" s="19"/>
      <c r="BF118" s="8"/>
      <c r="BG118" s="7"/>
      <c r="BH118" s="19"/>
      <c r="BI118" s="19"/>
      <c r="BJ118" s="19"/>
      <c r="BK118" s="19"/>
      <c r="BM118" s="8"/>
      <c r="BN118" s="7"/>
      <c r="BO118" s="19"/>
      <c r="BP118" s="19"/>
      <c r="BQ118" s="19"/>
      <c r="BR118" s="19"/>
      <c r="BT118" s="8"/>
      <c r="BU118" s="7" t="s">
        <v>115</v>
      </c>
      <c r="BV118" s="19" t="s">
        <v>162</v>
      </c>
      <c r="BW118" s="19"/>
      <c r="BX118" s="19"/>
      <c r="BY118" s="19"/>
      <c r="CA118" s="8">
        <v>20</v>
      </c>
      <c r="CB118" s="7"/>
      <c r="CC118" s="19"/>
      <c r="CD118" s="19"/>
      <c r="CE118" s="19"/>
      <c r="CF118" s="19"/>
      <c r="CH118" s="8"/>
      <c r="CI118" s="7"/>
      <c r="CJ118" s="19"/>
      <c r="CK118" s="19"/>
      <c r="CL118" s="19"/>
      <c r="CM118" s="19"/>
      <c r="CO118" s="8"/>
      <c r="CP118" s="7"/>
      <c r="CQ118" s="19"/>
      <c r="CR118" s="19"/>
      <c r="CS118" s="19"/>
      <c r="CT118" s="19"/>
      <c r="CV118" s="8"/>
      <c r="CW118" s="7"/>
      <c r="CX118" s="19"/>
      <c r="CY118" s="19"/>
      <c r="CZ118" s="19"/>
      <c r="DA118" s="19"/>
      <c r="DC118" s="8"/>
      <c r="DD118" s="7"/>
      <c r="DE118" s="19"/>
      <c r="DF118" s="19"/>
      <c r="DG118" s="19"/>
      <c r="DH118" s="19"/>
      <c r="DJ118" s="8"/>
      <c r="DK118" s="7"/>
      <c r="DL118" s="19"/>
      <c r="DM118" s="19"/>
      <c r="DN118" s="19"/>
      <c r="DO118" s="19"/>
      <c r="DQ118" s="8"/>
      <c r="DR118" s="7"/>
      <c r="DS118" s="19"/>
      <c r="DT118" s="19"/>
      <c r="DU118" s="19"/>
      <c r="DV118" s="19"/>
      <c r="DX118" s="8"/>
      <c r="DY118" s="7"/>
      <c r="DZ118" s="19"/>
      <c r="EA118" s="19"/>
      <c r="EB118" s="19"/>
      <c r="EC118" s="19"/>
      <c r="EE118" s="8"/>
      <c r="EF118" s="7"/>
      <c r="EG118" s="19"/>
      <c r="EH118" s="19"/>
      <c r="EI118" s="19"/>
      <c r="EJ118" s="19"/>
      <c r="EL118" s="8"/>
      <c r="EM118" s="7"/>
      <c r="EN118" s="19"/>
      <c r="EO118" s="19"/>
      <c r="EP118" s="19"/>
      <c r="EQ118" s="19"/>
      <c r="ES118" s="8"/>
      <c r="ET118" s="7"/>
      <c r="EU118" s="19"/>
      <c r="EV118" s="19"/>
      <c r="EW118" s="19"/>
      <c r="EX118" s="19"/>
      <c r="EZ118" s="8"/>
      <c r="FA118" s="7"/>
      <c r="FB118" s="19"/>
      <c r="FC118" s="19"/>
      <c r="FD118" s="19"/>
      <c r="FE118" s="19"/>
      <c r="FG118" s="8"/>
      <c r="FH118" s="7"/>
      <c r="FI118" s="19"/>
      <c r="FJ118" s="19"/>
      <c r="FK118" s="19"/>
      <c r="FL118" s="19"/>
      <c r="FN118" s="8"/>
      <c r="FO118" s="7"/>
      <c r="FP118" s="19"/>
      <c r="FQ118" s="19"/>
      <c r="FR118" s="19"/>
      <c r="FS118" s="19"/>
      <c r="FU118" s="8"/>
      <c r="FV118" s="7"/>
      <c r="FW118" s="19"/>
      <c r="FX118" s="19"/>
      <c r="FY118" s="19"/>
      <c r="FZ118" s="19"/>
      <c r="GB118" s="8"/>
      <c r="GC118" s="7"/>
      <c r="GD118" s="19"/>
      <c r="GE118" s="19"/>
      <c r="GF118" s="19"/>
      <c r="GG118" s="19"/>
      <c r="GI118" s="8"/>
      <c r="GJ118" s="7"/>
      <c r="GK118" s="19"/>
      <c r="GL118" s="19"/>
      <c r="GM118" s="19"/>
      <c r="GN118" s="19"/>
      <c r="GP118" s="8"/>
      <c r="GQ118" s="7"/>
      <c r="GR118" s="19"/>
      <c r="GS118" s="19"/>
      <c r="GT118" s="19"/>
      <c r="GU118" s="19"/>
      <c r="GW118" s="8"/>
      <c r="GX118" s="7"/>
      <c r="GY118" s="19"/>
      <c r="GZ118" s="19"/>
      <c r="HA118" s="19"/>
      <c r="HB118" s="19"/>
      <c r="HD118" s="8"/>
      <c r="HE118" s="7"/>
      <c r="HF118" s="19"/>
      <c r="HG118" s="19"/>
      <c r="HH118" s="19"/>
      <c r="HI118" s="19"/>
      <c r="HK118" s="8"/>
      <c r="HL118" s="7"/>
      <c r="HM118" s="19"/>
      <c r="HN118" s="19"/>
      <c r="HO118" s="19"/>
      <c r="HP118" s="19"/>
      <c r="HR118" s="8"/>
      <c r="HS118" s="7"/>
      <c r="HT118" s="19"/>
      <c r="HU118" s="19"/>
      <c r="HV118" s="19"/>
      <c r="HW118" s="19"/>
      <c r="HY118" s="8"/>
      <c r="HZ118" s="7"/>
      <c r="IA118" s="19"/>
      <c r="IB118" s="19"/>
      <c r="IC118" s="19"/>
      <c r="ID118" s="19"/>
      <c r="IF118" s="8"/>
      <c r="IG118" s="7"/>
      <c r="IH118" s="19"/>
      <c r="II118" s="19"/>
      <c r="IJ118" s="19"/>
      <c r="IK118" s="19"/>
      <c r="IM118" s="8"/>
      <c r="IN118" s="7"/>
      <c r="IO118" s="19"/>
      <c r="IP118" s="19"/>
      <c r="IQ118" s="19"/>
      <c r="IR118" s="19"/>
      <c r="IT118" s="8"/>
      <c r="IU118" s="7"/>
      <c r="IV118" s="19"/>
      <c r="IW118" s="19"/>
      <c r="IX118" s="19"/>
      <c r="IY118" s="19"/>
      <c r="JA118" s="8"/>
      <c r="JB118" s="7"/>
      <c r="JC118" s="19"/>
      <c r="JD118" s="19"/>
      <c r="JE118" s="19"/>
      <c r="JF118" s="19"/>
      <c r="JH118" s="8"/>
      <c r="JI118" s="7"/>
      <c r="JJ118" s="19"/>
      <c r="JK118" s="19"/>
      <c r="JL118" s="19"/>
      <c r="JM118" s="19"/>
      <c r="JO118" s="8"/>
      <c r="JP118" s="7"/>
      <c r="JQ118" s="19"/>
      <c r="JR118" s="19"/>
      <c r="JS118" s="19"/>
      <c r="JT118" s="19"/>
      <c r="JV118" s="8"/>
      <c r="JW118" s="7"/>
      <c r="JX118" s="19"/>
      <c r="JY118" s="19"/>
      <c r="JZ118" s="19"/>
      <c r="KA118" s="19"/>
      <c r="KC118" s="8"/>
      <c r="KD118" s="7"/>
      <c r="KE118" s="19"/>
      <c r="KF118" s="19"/>
      <c r="KG118" s="19"/>
      <c r="KH118" s="19"/>
      <c r="KJ118" s="8"/>
      <c r="KK118" s="7"/>
      <c r="KL118" s="19"/>
      <c r="KM118" s="19"/>
      <c r="KN118" s="19"/>
      <c r="KO118" s="19"/>
      <c r="KQ118" s="8"/>
      <c r="KR118" s="7"/>
      <c r="KS118" s="19"/>
      <c r="KT118" s="19"/>
      <c r="KU118" s="19"/>
      <c r="KV118" s="19"/>
      <c r="KX118" s="8"/>
      <c r="KY118" s="7"/>
      <c r="KZ118" s="19"/>
      <c r="LA118" s="19"/>
      <c r="LB118" s="19"/>
      <c r="LC118" s="19"/>
      <c r="LE118" s="8"/>
      <c r="LF118" s="7"/>
      <c r="LG118" s="19"/>
      <c r="LH118" s="19"/>
      <c r="LI118" s="19"/>
      <c r="LJ118" s="19"/>
      <c r="LL118" s="8"/>
      <c r="LM118" s="7"/>
      <c r="LN118" s="19"/>
      <c r="LO118" s="19"/>
      <c r="LP118" s="19"/>
      <c r="LQ118" s="19"/>
      <c r="LS118" s="8"/>
      <c r="LT118" s="7"/>
      <c r="LU118" s="19"/>
      <c r="LV118" s="19"/>
      <c r="LW118" s="19"/>
      <c r="LX118" s="19"/>
      <c r="LZ118" s="8"/>
      <c r="MA118" s="7"/>
      <c r="MB118" s="19"/>
      <c r="MC118" s="19"/>
      <c r="MD118" s="19"/>
      <c r="ME118" s="19"/>
      <c r="MG118" s="8"/>
      <c r="MH118" s="7"/>
      <c r="MI118" s="19"/>
      <c r="MJ118" s="19"/>
      <c r="MK118" s="19"/>
      <c r="ML118" s="19"/>
      <c r="MN118" s="8"/>
      <c r="MO118" s="7"/>
      <c r="MP118" s="19"/>
      <c r="MQ118" s="19"/>
      <c r="MR118" s="19"/>
      <c r="MS118" s="19"/>
      <c r="MU118" s="8"/>
      <c r="MV118" s="7"/>
      <c r="MW118" s="19"/>
      <c r="MX118" s="19"/>
      <c r="MY118" s="19"/>
      <c r="MZ118" s="19"/>
      <c r="NB118" s="8"/>
      <c r="NC118" s="7"/>
      <c r="ND118" s="19"/>
      <c r="NE118" s="19"/>
      <c r="NF118" s="19"/>
      <c r="NG118" s="19"/>
      <c r="NI118" s="8"/>
      <c r="NJ118" s="7"/>
      <c r="NK118" s="19"/>
      <c r="NL118" s="19"/>
      <c r="NM118" s="19"/>
      <c r="NN118" s="19"/>
      <c r="NP118" s="8"/>
      <c r="NQ118" s="7"/>
      <c r="NR118" s="19"/>
      <c r="NS118" s="19"/>
      <c r="NT118" s="19"/>
      <c r="NU118" s="19"/>
      <c r="NW118" s="8"/>
      <c r="NX118" s="7"/>
      <c r="NY118" s="19"/>
      <c r="NZ118" s="19"/>
      <c r="OA118" s="19"/>
      <c r="OB118" s="19"/>
      <c r="OD118" s="8"/>
      <c r="OE118" s="7"/>
      <c r="OF118" s="19"/>
      <c r="OG118" s="19"/>
      <c r="OH118" s="19"/>
      <c r="OI118" s="19"/>
      <c r="OK118" s="8"/>
      <c r="OL118" s="7"/>
      <c r="OM118" s="19"/>
      <c r="ON118" s="19"/>
      <c r="OO118" s="19"/>
      <c r="OP118" s="19"/>
      <c r="OR118" s="8"/>
      <c r="OS118" s="7"/>
      <c r="OT118" s="19"/>
      <c r="OU118" s="19"/>
      <c r="OV118" s="19"/>
      <c r="OW118" s="19"/>
      <c r="OY118" s="8"/>
      <c r="OZ118" s="7"/>
      <c r="PA118" s="19"/>
      <c r="PB118" s="19"/>
      <c r="PC118" s="19"/>
      <c r="PD118" s="19"/>
      <c r="PF118" s="8"/>
      <c r="PG118" s="7"/>
      <c r="PH118" s="19"/>
      <c r="PI118" s="19"/>
      <c r="PJ118" s="19"/>
      <c r="PK118" s="19"/>
      <c r="PM118" s="8"/>
    </row>
    <row r="119" spans="1:429" s="1" customFormat="1" ht="26" customHeight="1" outlineLevel="1">
      <c r="B119" s="471"/>
      <c r="C119" s="7"/>
      <c r="D119" s="19"/>
      <c r="E119" s="19"/>
      <c r="F119" s="19"/>
      <c r="G119" s="19"/>
      <c r="I119" s="8"/>
      <c r="J119" s="7"/>
      <c r="K119" s="19"/>
      <c r="L119" s="19"/>
      <c r="M119" s="19"/>
      <c r="N119" s="19"/>
      <c r="P119" s="8"/>
      <c r="Q119" s="7"/>
      <c r="R119" s="19"/>
      <c r="S119" s="19"/>
      <c r="T119" s="19"/>
      <c r="U119" s="19"/>
      <c r="W119" s="8"/>
      <c r="X119" s="7"/>
      <c r="Y119" s="19"/>
      <c r="Z119" s="19"/>
      <c r="AA119" s="19"/>
      <c r="AB119" s="19"/>
      <c r="AD119" s="8"/>
      <c r="AE119" s="7"/>
      <c r="AF119" s="19"/>
      <c r="AG119" s="19"/>
      <c r="AH119" s="19"/>
      <c r="AI119" s="19"/>
      <c r="AK119" s="8"/>
      <c r="AL119" s="7"/>
      <c r="AM119" s="19"/>
      <c r="AN119" s="19"/>
      <c r="AO119" s="19"/>
      <c r="AP119" s="19"/>
      <c r="AR119" s="8"/>
      <c r="AS119" s="7"/>
      <c r="AT119" s="19"/>
      <c r="AU119" s="19"/>
      <c r="AV119" s="19"/>
      <c r="AW119" s="19"/>
      <c r="AY119" s="8"/>
      <c r="AZ119" s="7"/>
      <c r="BA119" s="19"/>
      <c r="BB119" s="19"/>
      <c r="BC119" s="19"/>
      <c r="BD119" s="19"/>
      <c r="BF119" s="8"/>
      <c r="BG119" s="7"/>
      <c r="BH119" s="19"/>
      <c r="BI119" s="19"/>
      <c r="BJ119" s="19"/>
      <c r="BK119" s="19"/>
      <c r="BM119" s="8"/>
      <c r="BN119" s="7"/>
      <c r="BO119" s="19"/>
      <c r="BP119" s="19"/>
      <c r="BQ119" s="19"/>
      <c r="BR119" s="19"/>
      <c r="BT119" s="8"/>
      <c r="BU119" s="7"/>
      <c r="BV119" s="19"/>
      <c r="BW119" s="19"/>
      <c r="BX119" s="19"/>
      <c r="BY119" s="19"/>
      <c r="CA119" s="8"/>
      <c r="CB119" s="7"/>
      <c r="CC119" s="19"/>
      <c r="CD119" s="19"/>
      <c r="CE119" s="19"/>
      <c r="CF119" s="19"/>
      <c r="CH119" s="8"/>
      <c r="CI119" s="7"/>
      <c r="CJ119" s="19"/>
      <c r="CK119" s="19"/>
      <c r="CL119" s="19"/>
      <c r="CM119" s="19"/>
      <c r="CO119" s="8"/>
      <c r="CP119" s="7"/>
      <c r="CQ119" s="19"/>
      <c r="CR119" s="19"/>
      <c r="CS119" s="19"/>
      <c r="CT119" s="19"/>
      <c r="CV119" s="8"/>
      <c r="CW119" s="7"/>
      <c r="CX119" s="19"/>
      <c r="CY119" s="19"/>
      <c r="CZ119" s="19"/>
      <c r="DA119" s="19"/>
      <c r="DC119" s="8"/>
      <c r="DD119" s="7"/>
      <c r="DE119" s="19"/>
      <c r="DF119" s="19"/>
      <c r="DG119" s="19"/>
      <c r="DH119" s="19"/>
      <c r="DJ119" s="8"/>
      <c r="DK119" s="7"/>
      <c r="DL119" s="19"/>
      <c r="DM119" s="19"/>
      <c r="DN119" s="19"/>
      <c r="DO119" s="19"/>
      <c r="DQ119" s="8"/>
      <c r="DR119" s="7"/>
      <c r="DS119" s="19"/>
      <c r="DT119" s="19"/>
      <c r="DU119" s="19"/>
      <c r="DV119" s="19"/>
      <c r="DX119" s="8"/>
      <c r="DY119" s="7"/>
      <c r="DZ119" s="19"/>
      <c r="EA119" s="19"/>
      <c r="EB119" s="19"/>
      <c r="EC119" s="19"/>
      <c r="EE119" s="8"/>
      <c r="EF119" s="7"/>
      <c r="EG119" s="19"/>
      <c r="EH119" s="19"/>
      <c r="EI119" s="19"/>
      <c r="EJ119" s="19"/>
      <c r="EL119" s="8"/>
      <c r="EM119" s="7"/>
      <c r="EN119" s="19"/>
      <c r="EO119" s="19"/>
      <c r="EP119" s="19"/>
      <c r="EQ119" s="19"/>
      <c r="ES119" s="8"/>
      <c r="ET119" s="7"/>
      <c r="EU119" s="19"/>
      <c r="EV119" s="19"/>
      <c r="EW119" s="19"/>
      <c r="EX119" s="19"/>
      <c r="EZ119" s="8"/>
      <c r="FA119" s="7"/>
      <c r="FB119" s="19"/>
      <c r="FC119" s="19"/>
      <c r="FD119" s="19"/>
      <c r="FE119" s="19"/>
      <c r="FG119" s="8"/>
      <c r="FH119" s="7"/>
      <c r="FI119" s="19"/>
      <c r="FJ119" s="19"/>
      <c r="FK119" s="19"/>
      <c r="FL119" s="19"/>
      <c r="FN119" s="8"/>
      <c r="FO119" s="7"/>
      <c r="FP119" s="19"/>
      <c r="FQ119" s="19"/>
      <c r="FR119" s="19"/>
      <c r="FS119" s="19"/>
      <c r="FU119" s="8"/>
      <c r="FV119" s="7"/>
      <c r="FW119" s="19"/>
      <c r="FX119" s="19"/>
      <c r="FY119" s="19"/>
      <c r="FZ119" s="19"/>
      <c r="GB119" s="8"/>
      <c r="GC119" s="7"/>
      <c r="GD119" s="19"/>
      <c r="GE119" s="19"/>
      <c r="GF119" s="19"/>
      <c r="GG119" s="19"/>
      <c r="GI119" s="8"/>
      <c r="GJ119" s="7"/>
      <c r="GK119" s="19"/>
      <c r="GL119" s="19"/>
      <c r="GM119" s="19"/>
      <c r="GN119" s="19"/>
      <c r="GP119" s="8"/>
      <c r="GQ119" s="7"/>
      <c r="GR119" s="19"/>
      <c r="GS119" s="19"/>
      <c r="GT119" s="19"/>
      <c r="GU119" s="19"/>
      <c r="GW119" s="8"/>
      <c r="GX119" s="7"/>
      <c r="GY119" s="19"/>
      <c r="GZ119" s="19"/>
      <c r="HA119" s="19"/>
      <c r="HB119" s="19"/>
      <c r="HD119" s="8"/>
      <c r="HE119" s="7"/>
      <c r="HF119" s="19"/>
      <c r="HG119" s="19"/>
      <c r="HH119" s="19"/>
      <c r="HI119" s="19"/>
      <c r="HK119" s="8"/>
      <c r="HL119" s="7"/>
      <c r="HM119" s="19"/>
      <c r="HN119" s="19"/>
      <c r="HO119" s="19"/>
      <c r="HP119" s="19"/>
      <c r="HR119" s="8"/>
      <c r="HS119" s="7"/>
      <c r="HT119" s="19"/>
      <c r="HU119" s="19"/>
      <c r="HV119" s="19"/>
      <c r="HW119" s="19"/>
      <c r="HY119" s="8"/>
      <c r="HZ119" s="7"/>
      <c r="IA119" s="19"/>
      <c r="IB119" s="19"/>
      <c r="IC119" s="19"/>
      <c r="ID119" s="19"/>
      <c r="IF119" s="8"/>
      <c r="IG119" s="7"/>
      <c r="IH119" s="19"/>
      <c r="II119" s="19"/>
      <c r="IJ119" s="19"/>
      <c r="IK119" s="19"/>
      <c r="IM119" s="8"/>
      <c r="IN119" s="7"/>
      <c r="IO119" s="19"/>
      <c r="IP119" s="19"/>
      <c r="IQ119" s="19"/>
      <c r="IR119" s="19"/>
      <c r="IT119" s="8"/>
      <c r="IU119" s="7"/>
      <c r="IV119" s="19"/>
      <c r="IW119" s="19"/>
      <c r="IX119" s="19"/>
      <c r="IY119" s="19"/>
      <c r="JA119" s="8"/>
      <c r="JB119" s="7"/>
      <c r="JC119" s="19"/>
      <c r="JD119" s="19"/>
      <c r="JE119" s="19"/>
      <c r="JF119" s="19"/>
      <c r="JH119" s="8"/>
      <c r="JI119" s="7"/>
      <c r="JJ119" s="19"/>
      <c r="JK119" s="19"/>
      <c r="JL119" s="19"/>
      <c r="JM119" s="19"/>
      <c r="JO119" s="8"/>
      <c r="JP119" s="7"/>
      <c r="JQ119" s="19"/>
      <c r="JR119" s="19"/>
      <c r="JS119" s="19"/>
      <c r="JT119" s="19"/>
      <c r="JV119" s="8"/>
      <c r="JW119" s="7"/>
      <c r="JX119" s="19"/>
      <c r="JY119" s="19"/>
      <c r="JZ119" s="19"/>
      <c r="KA119" s="19"/>
      <c r="KC119" s="8"/>
      <c r="KD119" s="7"/>
      <c r="KE119" s="19"/>
      <c r="KF119" s="19"/>
      <c r="KG119" s="19"/>
      <c r="KH119" s="19"/>
      <c r="KJ119" s="8"/>
      <c r="KK119" s="7"/>
      <c r="KL119" s="19"/>
      <c r="KM119" s="19"/>
      <c r="KN119" s="19"/>
      <c r="KO119" s="19"/>
      <c r="KQ119" s="8"/>
      <c r="KR119" s="7"/>
      <c r="KS119" s="19"/>
      <c r="KT119" s="19"/>
      <c r="KU119" s="19"/>
      <c r="KV119" s="19"/>
      <c r="KX119" s="8"/>
      <c r="KY119" s="7"/>
      <c r="KZ119" s="19"/>
      <c r="LA119" s="19"/>
      <c r="LB119" s="19"/>
      <c r="LC119" s="19"/>
      <c r="LE119" s="8"/>
      <c r="LF119" s="7"/>
      <c r="LG119" s="19"/>
      <c r="LH119" s="19"/>
      <c r="LI119" s="19"/>
      <c r="LJ119" s="19"/>
      <c r="LL119" s="8"/>
      <c r="LM119" s="7"/>
      <c r="LN119" s="19"/>
      <c r="LO119" s="19"/>
      <c r="LP119" s="19"/>
      <c r="LQ119" s="19"/>
      <c r="LS119" s="8"/>
      <c r="LT119" s="7"/>
      <c r="LU119" s="19"/>
      <c r="LV119" s="19"/>
      <c r="LW119" s="19"/>
      <c r="LX119" s="19"/>
      <c r="LZ119" s="8"/>
      <c r="MA119" s="7"/>
      <c r="MB119" s="19"/>
      <c r="MC119" s="19"/>
      <c r="MD119" s="19"/>
      <c r="ME119" s="19"/>
      <c r="MG119" s="8"/>
      <c r="MH119" s="7"/>
      <c r="MI119" s="19"/>
      <c r="MJ119" s="19"/>
      <c r="MK119" s="19"/>
      <c r="ML119" s="19"/>
      <c r="MN119" s="8"/>
      <c r="MO119" s="7"/>
      <c r="MP119" s="19"/>
      <c r="MQ119" s="19"/>
      <c r="MR119" s="19"/>
      <c r="MS119" s="19"/>
      <c r="MU119" s="8"/>
      <c r="MV119" s="7"/>
      <c r="MW119" s="19"/>
      <c r="MX119" s="19"/>
      <c r="MY119" s="19"/>
      <c r="MZ119" s="19"/>
      <c r="NB119" s="8"/>
      <c r="NC119" s="7"/>
      <c r="ND119" s="19"/>
      <c r="NE119" s="19"/>
      <c r="NF119" s="19"/>
      <c r="NG119" s="19"/>
      <c r="NI119" s="8"/>
      <c r="NJ119" s="7"/>
      <c r="NK119" s="19"/>
      <c r="NL119" s="19"/>
      <c r="NM119" s="19"/>
      <c r="NN119" s="19"/>
      <c r="NP119" s="8"/>
      <c r="NQ119" s="7"/>
      <c r="NR119" s="19"/>
      <c r="NS119" s="19"/>
      <c r="NT119" s="19"/>
      <c r="NU119" s="19"/>
      <c r="NW119" s="8"/>
      <c r="NX119" s="7"/>
      <c r="NY119" s="19"/>
      <c r="NZ119" s="19"/>
      <c r="OA119" s="19"/>
      <c r="OB119" s="19"/>
      <c r="OD119" s="8"/>
      <c r="OE119" s="7"/>
      <c r="OF119" s="19"/>
      <c r="OG119" s="19"/>
      <c r="OH119" s="19"/>
      <c r="OI119" s="19"/>
      <c r="OK119" s="8"/>
      <c r="OL119" s="7"/>
      <c r="OM119" s="19"/>
      <c r="ON119" s="19"/>
      <c r="OO119" s="19"/>
      <c r="OP119" s="19"/>
      <c r="OR119" s="8"/>
      <c r="OS119" s="7"/>
      <c r="OT119" s="19"/>
      <c r="OU119" s="19"/>
      <c r="OV119" s="19"/>
      <c r="OW119" s="19"/>
      <c r="OY119" s="8"/>
      <c r="OZ119" s="7"/>
      <c r="PA119" s="19"/>
      <c r="PB119" s="19"/>
      <c r="PC119" s="19"/>
      <c r="PD119" s="19"/>
      <c r="PF119" s="8"/>
      <c r="PG119" s="7"/>
      <c r="PH119" s="19"/>
      <c r="PI119" s="19"/>
      <c r="PJ119" s="19"/>
      <c r="PK119" s="19"/>
      <c r="PM119" s="8"/>
    </row>
    <row r="120" spans="1:429" s="475" customFormat="1" ht="19" customHeight="1">
      <c r="A120" s="6" t="s">
        <v>88</v>
      </c>
      <c r="B120" s="472"/>
      <c r="C120" s="10"/>
      <c r="D120" s="20"/>
      <c r="E120" s="20"/>
      <c r="F120" s="20"/>
      <c r="G120" s="20"/>
      <c r="H120" s="10"/>
      <c r="I120" s="10"/>
      <c r="J120" s="10"/>
      <c r="K120" s="20"/>
      <c r="L120" s="20"/>
      <c r="M120" s="20"/>
      <c r="N120" s="20"/>
      <c r="O120" s="10"/>
      <c r="P120" s="10"/>
      <c r="Q120" s="10"/>
      <c r="R120" s="20"/>
      <c r="S120" s="20"/>
      <c r="T120" s="20"/>
      <c r="U120" s="20"/>
      <c r="V120" s="10"/>
      <c r="W120" s="10"/>
      <c r="X120" s="10"/>
      <c r="Y120" s="20"/>
      <c r="Z120" s="20"/>
      <c r="AA120" s="20"/>
      <c r="AB120" s="20"/>
      <c r="AC120" s="10"/>
      <c r="AD120" s="10"/>
      <c r="AE120" s="10"/>
      <c r="AF120" s="20"/>
      <c r="AG120" s="20"/>
      <c r="AH120" s="20"/>
      <c r="AI120" s="20"/>
      <c r="AJ120" s="10"/>
      <c r="AK120" s="10"/>
      <c r="AL120" s="10"/>
      <c r="AM120" s="20"/>
      <c r="AN120" s="20"/>
      <c r="AO120" s="20"/>
      <c r="AP120" s="20"/>
      <c r="AQ120" s="10"/>
      <c r="AR120" s="10"/>
      <c r="AS120" s="10"/>
      <c r="AT120" s="20"/>
      <c r="AU120" s="20"/>
      <c r="AV120" s="20"/>
      <c r="AW120" s="20"/>
      <c r="AX120" s="10"/>
      <c r="AY120" s="10"/>
      <c r="AZ120" s="10"/>
      <c r="BA120" s="20"/>
      <c r="BB120" s="20"/>
      <c r="BC120" s="20"/>
      <c r="BD120" s="20"/>
      <c r="BE120" s="10"/>
      <c r="BF120" s="10"/>
      <c r="BG120" s="10"/>
      <c r="BH120" s="20"/>
      <c r="BI120" s="20"/>
      <c r="BJ120" s="20"/>
      <c r="BK120" s="20"/>
      <c r="BL120" s="10"/>
      <c r="BM120" s="10"/>
      <c r="BN120" s="10"/>
      <c r="BO120" s="20"/>
      <c r="BP120" s="20"/>
      <c r="BQ120" s="20"/>
      <c r="BR120" s="20"/>
      <c r="BS120" s="10"/>
      <c r="BT120" s="10"/>
      <c r="BU120" s="26"/>
      <c r="BV120" s="26"/>
      <c r="BW120" s="26"/>
      <c r="BX120" s="26"/>
      <c r="BY120" s="26"/>
      <c r="BZ120" s="26"/>
      <c r="CA120" s="26"/>
      <c r="CB120" s="10"/>
      <c r="CC120" s="20"/>
      <c r="CD120" s="20"/>
      <c r="CE120" s="20"/>
      <c r="CF120" s="20"/>
      <c r="CG120" s="10"/>
      <c r="CH120" s="10"/>
      <c r="CI120" s="10"/>
      <c r="CJ120" s="20"/>
      <c r="CK120" s="20"/>
      <c r="CL120" s="20"/>
      <c r="CM120" s="20"/>
      <c r="CN120" s="10"/>
      <c r="CO120" s="10"/>
      <c r="CP120" s="10"/>
      <c r="CQ120" s="20"/>
      <c r="CR120" s="20"/>
      <c r="CS120" s="20"/>
      <c r="CT120" s="20"/>
      <c r="CU120" s="10"/>
      <c r="CV120" s="10"/>
      <c r="CW120" s="10"/>
      <c r="CX120" s="20"/>
      <c r="CY120" s="20"/>
      <c r="CZ120" s="20"/>
      <c r="DA120" s="20"/>
      <c r="DB120" s="10"/>
      <c r="DC120" s="10"/>
      <c r="DD120" s="10"/>
      <c r="DE120" s="20"/>
      <c r="DF120" s="20"/>
      <c r="DG120" s="20"/>
      <c r="DH120" s="20"/>
      <c r="DI120" s="10"/>
      <c r="DJ120" s="10"/>
      <c r="DK120" s="10"/>
      <c r="DL120" s="20"/>
      <c r="DM120" s="20"/>
      <c r="DN120" s="20"/>
      <c r="DO120" s="20"/>
      <c r="DP120" s="10"/>
      <c r="DQ120" s="10"/>
      <c r="DR120" s="10"/>
      <c r="DS120" s="20"/>
      <c r="DT120" s="20"/>
      <c r="DU120" s="20"/>
      <c r="DV120" s="20"/>
      <c r="DW120" s="10"/>
      <c r="DX120" s="10"/>
      <c r="DY120" s="10"/>
      <c r="DZ120" s="20"/>
      <c r="EA120" s="20"/>
      <c r="EB120" s="20"/>
      <c r="EC120" s="20"/>
      <c r="ED120" s="10"/>
      <c r="EE120" s="10"/>
      <c r="EF120" s="10"/>
      <c r="EG120" s="20"/>
      <c r="EH120" s="20"/>
      <c r="EI120" s="20"/>
      <c r="EJ120" s="20"/>
      <c r="EK120" s="10"/>
      <c r="EL120" s="10"/>
      <c r="EM120" s="10"/>
      <c r="EN120" s="20"/>
      <c r="EO120" s="20"/>
      <c r="EP120" s="20"/>
      <c r="EQ120" s="20"/>
      <c r="ER120" s="10"/>
      <c r="ES120" s="10"/>
      <c r="ET120" s="10"/>
      <c r="EU120" s="20"/>
      <c r="EV120" s="20"/>
      <c r="EW120" s="20"/>
      <c r="EX120" s="20"/>
      <c r="EY120" s="10"/>
      <c r="EZ120" s="10"/>
      <c r="FA120" s="10"/>
      <c r="FB120" s="20"/>
      <c r="FC120" s="20"/>
      <c r="FD120" s="20"/>
      <c r="FE120" s="20"/>
      <c r="FF120" s="10"/>
      <c r="FG120" s="10"/>
      <c r="FH120" s="10"/>
      <c r="FI120" s="20"/>
      <c r="FJ120" s="20"/>
      <c r="FK120" s="20"/>
      <c r="FL120" s="20"/>
      <c r="FM120" s="10"/>
      <c r="FN120" s="10"/>
      <c r="FO120" s="10"/>
      <c r="FP120" s="20"/>
      <c r="FQ120" s="20"/>
      <c r="FR120" s="20"/>
      <c r="FS120" s="20"/>
      <c r="FT120" s="10"/>
      <c r="FU120" s="10"/>
      <c r="FV120" s="10"/>
      <c r="FW120" s="20"/>
      <c r="FX120" s="20"/>
      <c r="FY120" s="20"/>
      <c r="FZ120" s="20"/>
      <c r="GA120" s="10"/>
      <c r="GB120" s="10"/>
      <c r="GC120" s="10"/>
      <c r="GD120" s="20"/>
      <c r="GE120" s="20"/>
      <c r="GF120" s="20"/>
      <c r="GG120" s="20"/>
      <c r="GH120" s="10"/>
      <c r="GI120" s="10"/>
      <c r="GJ120" s="10"/>
      <c r="GK120" s="20"/>
      <c r="GL120" s="20"/>
      <c r="GM120" s="20"/>
      <c r="GN120" s="20"/>
      <c r="GO120" s="10"/>
      <c r="GP120" s="10"/>
      <c r="GQ120" s="10"/>
      <c r="GR120" s="20"/>
      <c r="GS120" s="20"/>
      <c r="GT120" s="20"/>
      <c r="GU120" s="20"/>
      <c r="GV120" s="10"/>
      <c r="GW120" s="10"/>
      <c r="GX120" s="10"/>
      <c r="GY120" s="20"/>
      <c r="GZ120" s="20"/>
      <c r="HA120" s="20"/>
      <c r="HB120" s="20"/>
      <c r="HC120" s="10"/>
      <c r="HD120" s="10"/>
      <c r="HE120" s="10"/>
      <c r="HF120" s="20"/>
      <c r="HG120" s="20"/>
      <c r="HH120" s="20"/>
      <c r="HI120" s="20"/>
      <c r="HJ120" s="10"/>
      <c r="HK120" s="10"/>
      <c r="HL120" s="10"/>
      <c r="HM120" s="20"/>
      <c r="HN120" s="20"/>
      <c r="HO120" s="20"/>
      <c r="HP120" s="20"/>
      <c r="HQ120" s="10"/>
      <c r="HR120" s="10"/>
      <c r="HS120" s="10"/>
      <c r="HT120" s="20"/>
      <c r="HU120" s="20"/>
      <c r="HV120" s="20"/>
      <c r="HW120" s="20"/>
      <c r="HX120" s="10"/>
      <c r="HY120" s="10"/>
      <c r="HZ120" s="10"/>
      <c r="IA120" s="20"/>
      <c r="IB120" s="20"/>
      <c r="IC120" s="20"/>
      <c r="ID120" s="20"/>
      <c r="IE120" s="10"/>
      <c r="IF120" s="10"/>
      <c r="IG120" s="10"/>
      <c r="IH120" s="20"/>
      <c r="II120" s="20"/>
      <c r="IJ120" s="20"/>
      <c r="IK120" s="20"/>
      <c r="IL120" s="10"/>
      <c r="IM120" s="10"/>
      <c r="IN120" s="10"/>
      <c r="IO120" s="20"/>
      <c r="IP120" s="20"/>
      <c r="IQ120" s="20"/>
      <c r="IR120" s="20"/>
      <c r="IS120" s="10"/>
      <c r="IT120" s="10"/>
      <c r="IU120" s="10"/>
      <c r="IV120" s="20"/>
      <c r="IW120" s="20"/>
      <c r="IX120" s="20"/>
      <c r="IY120" s="20"/>
      <c r="IZ120" s="10"/>
      <c r="JA120" s="10"/>
      <c r="JB120" s="10"/>
      <c r="JC120" s="20"/>
      <c r="JD120" s="20"/>
      <c r="JE120" s="20"/>
      <c r="JF120" s="20"/>
      <c r="JG120" s="10"/>
      <c r="JH120" s="10"/>
      <c r="JI120" s="10"/>
      <c r="JJ120" s="20"/>
      <c r="JK120" s="20"/>
      <c r="JL120" s="20"/>
      <c r="JM120" s="20"/>
      <c r="JN120" s="10"/>
      <c r="JO120" s="10"/>
      <c r="JP120" s="10"/>
      <c r="JQ120" s="20"/>
      <c r="JR120" s="20"/>
      <c r="JS120" s="20"/>
      <c r="JT120" s="20"/>
      <c r="JU120" s="10"/>
      <c r="JV120" s="10"/>
      <c r="JW120" s="10"/>
      <c r="JX120" s="20"/>
      <c r="JY120" s="20"/>
      <c r="JZ120" s="20"/>
      <c r="KA120" s="20"/>
      <c r="KB120" s="10"/>
      <c r="KC120" s="10"/>
      <c r="KD120" s="10"/>
      <c r="KE120" s="20"/>
      <c r="KF120" s="20"/>
      <c r="KG120" s="20"/>
      <c r="KH120" s="20"/>
      <c r="KI120" s="10"/>
      <c r="KJ120" s="10"/>
      <c r="KK120" s="10"/>
      <c r="KL120" s="20"/>
      <c r="KM120" s="20"/>
      <c r="KN120" s="20"/>
      <c r="KO120" s="20"/>
      <c r="KP120" s="10"/>
      <c r="KQ120" s="10"/>
      <c r="KR120" s="10"/>
      <c r="KS120" s="20"/>
      <c r="KT120" s="20"/>
      <c r="KU120" s="20"/>
      <c r="KV120" s="20"/>
      <c r="KW120" s="10"/>
      <c r="KX120" s="10"/>
      <c r="KY120" s="10"/>
      <c r="KZ120" s="20"/>
      <c r="LA120" s="20"/>
      <c r="LB120" s="20"/>
      <c r="LC120" s="20"/>
      <c r="LD120" s="10"/>
      <c r="LE120" s="10"/>
      <c r="LF120" s="10"/>
      <c r="LG120" s="20"/>
      <c r="LH120" s="20"/>
      <c r="LI120" s="20"/>
      <c r="LJ120" s="20"/>
      <c r="LK120" s="10"/>
      <c r="LL120" s="10"/>
      <c r="LM120" s="10"/>
      <c r="LN120" s="20"/>
      <c r="LO120" s="20"/>
      <c r="LP120" s="20"/>
      <c r="LQ120" s="20"/>
      <c r="LR120" s="10"/>
      <c r="LS120" s="10"/>
      <c r="LT120" s="10"/>
      <c r="LU120" s="20"/>
      <c r="LV120" s="20"/>
      <c r="LW120" s="20"/>
      <c r="LX120" s="20"/>
      <c r="LY120" s="10"/>
      <c r="LZ120" s="10"/>
      <c r="MA120" s="10"/>
      <c r="MB120" s="20"/>
      <c r="MC120" s="20"/>
      <c r="MD120" s="20"/>
      <c r="ME120" s="20"/>
      <c r="MF120" s="10"/>
      <c r="MG120" s="10"/>
      <c r="MH120" s="10"/>
      <c r="MI120" s="20"/>
      <c r="MJ120" s="20"/>
      <c r="MK120" s="20"/>
      <c r="ML120" s="20"/>
      <c r="MM120" s="10"/>
      <c r="MN120" s="10"/>
      <c r="MO120" s="10"/>
      <c r="MP120" s="20"/>
      <c r="MQ120" s="20"/>
      <c r="MR120" s="20"/>
      <c r="MS120" s="20"/>
      <c r="MT120" s="10"/>
      <c r="MU120" s="10"/>
      <c r="MV120" s="10"/>
      <c r="MW120" s="20"/>
      <c r="MX120" s="20"/>
      <c r="MY120" s="20"/>
      <c r="MZ120" s="20"/>
      <c r="NA120" s="10"/>
      <c r="NB120" s="10"/>
      <c r="NC120" s="10"/>
      <c r="ND120" s="20"/>
      <c r="NE120" s="20"/>
      <c r="NF120" s="20"/>
      <c r="NG120" s="20"/>
      <c r="NH120" s="10"/>
      <c r="NI120" s="10"/>
      <c r="NJ120" s="10"/>
      <c r="NK120" s="20"/>
      <c r="NL120" s="20"/>
      <c r="NM120" s="20"/>
      <c r="NN120" s="20"/>
      <c r="NO120" s="10"/>
      <c r="NP120" s="10"/>
      <c r="NQ120" s="10"/>
      <c r="NR120" s="20"/>
      <c r="NS120" s="20"/>
      <c r="NT120" s="20"/>
      <c r="NU120" s="20"/>
      <c r="NV120" s="10"/>
      <c r="NW120" s="10"/>
      <c r="NX120" s="10"/>
      <c r="NY120" s="20"/>
      <c r="NZ120" s="20"/>
      <c r="OA120" s="20"/>
      <c r="OB120" s="20"/>
      <c r="OC120" s="10"/>
      <c r="OD120" s="10"/>
      <c r="OE120" s="10"/>
      <c r="OF120" s="20"/>
      <c r="OG120" s="20"/>
      <c r="OH120" s="20"/>
      <c r="OI120" s="20"/>
      <c r="OJ120" s="10"/>
      <c r="OK120" s="10"/>
      <c r="OL120" s="10"/>
      <c r="OM120" s="20"/>
      <c r="ON120" s="20"/>
      <c r="OO120" s="20"/>
      <c r="OP120" s="20"/>
      <c r="OQ120" s="10"/>
      <c r="OR120" s="10"/>
      <c r="OS120" s="10"/>
      <c r="OT120" s="20"/>
      <c r="OU120" s="20"/>
      <c r="OV120" s="20"/>
      <c r="OW120" s="20"/>
      <c r="OX120" s="10"/>
      <c r="OY120" s="10"/>
      <c r="OZ120" s="10"/>
      <c r="PA120" s="20"/>
      <c r="PB120" s="20"/>
      <c r="PC120" s="20"/>
      <c r="PD120" s="20"/>
      <c r="PE120" s="10"/>
      <c r="PF120" s="10"/>
      <c r="PG120" s="10"/>
      <c r="PH120" s="20"/>
      <c r="PI120" s="20"/>
      <c r="PJ120" s="20"/>
      <c r="PK120" s="20"/>
      <c r="PL120" s="10"/>
      <c r="PM120" s="10"/>
    </row>
    <row r="121" spans="1:429" s="1" customFormat="1" ht="26" customHeight="1" outlineLevel="1">
      <c r="B121" s="471"/>
      <c r="C121" s="7"/>
      <c r="D121" s="19"/>
      <c r="E121" s="19"/>
      <c r="F121" s="19"/>
      <c r="G121" s="19"/>
      <c r="I121" s="8"/>
      <c r="J121" s="7"/>
      <c r="K121" s="19"/>
      <c r="L121" s="19"/>
      <c r="M121" s="19"/>
      <c r="N121" s="19"/>
      <c r="P121" s="8"/>
      <c r="Q121" s="7"/>
      <c r="R121" s="19"/>
      <c r="S121" s="19"/>
      <c r="T121" s="19"/>
      <c r="U121" s="19"/>
      <c r="W121" s="8"/>
      <c r="X121" s="7"/>
      <c r="Y121" s="19"/>
      <c r="Z121" s="19"/>
      <c r="AA121" s="19"/>
      <c r="AB121" s="19"/>
      <c r="AD121" s="8"/>
      <c r="AE121" s="7"/>
      <c r="AF121" s="19"/>
      <c r="AG121" s="19"/>
      <c r="AH121" s="19"/>
      <c r="AI121" s="19"/>
      <c r="AK121" s="8"/>
      <c r="AL121" s="7"/>
      <c r="AM121" s="19"/>
      <c r="AN121" s="19"/>
      <c r="AO121" s="19"/>
      <c r="AP121" s="19"/>
      <c r="AR121" s="8"/>
      <c r="AS121" s="7"/>
      <c r="AT121" s="19"/>
      <c r="AU121" s="19"/>
      <c r="AV121" s="19"/>
      <c r="AW121" s="19"/>
      <c r="AY121" s="8"/>
      <c r="AZ121" s="7"/>
      <c r="BA121" s="19"/>
      <c r="BB121" s="19"/>
      <c r="BC121" s="19"/>
      <c r="BD121" s="19"/>
      <c r="BF121" s="8"/>
      <c r="BG121" s="7"/>
      <c r="BH121" s="19"/>
      <c r="BI121" s="19"/>
      <c r="BJ121" s="19"/>
      <c r="BK121" s="19"/>
      <c r="BM121" s="8"/>
      <c r="BN121" s="7"/>
      <c r="BO121" s="19"/>
      <c r="BP121" s="19"/>
      <c r="BQ121" s="19"/>
      <c r="BR121" s="19"/>
      <c r="BT121" s="8"/>
      <c r="BU121" s="7"/>
      <c r="BV121" s="19"/>
      <c r="BW121" s="19"/>
      <c r="BX121" s="19"/>
      <c r="BY121" s="19"/>
      <c r="CA121" s="8"/>
      <c r="CB121" s="7"/>
      <c r="CC121" s="19"/>
      <c r="CD121" s="19"/>
      <c r="CE121" s="19"/>
      <c r="CF121" s="19"/>
      <c r="CH121" s="8"/>
      <c r="CI121" s="7"/>
      <c r="CJ121" s="19"/>
      <c r="CK121" s="19"/>
      <c r="CL121" s="19"/>
      <c r="CM121" s="19"/>
      <c r="CO121" s="8"/>
      <c r="CP121" s="7"/>
      <c r="CQ121" s="19"/>
      <c r="CR121" s="19"/>
      <c r="CS121" s="19"/>
      <c r="CT121" s="19"/>
      <c r="CV121" s="8"/>
      <c r="CW121" s="7"/>
      <c r="CX121" s="19"/>
      <c r="CY121" s="19"/>
      <c r="CZ121" s="19"/>
      <c r="DA121" s="19"/>
      <c r="DC121" s="8"/>
      <c r="DD121" s="7"/>
      <c r="DE121" s="19"/>
      <c r="DF121" s="19"/>
      <c r="DG121" s="19"/>
      <c r="DH121" s="19"/>
      <c r="DJ121" s="8"/>
      <c r="DK121" s="7"/>
      <c r="DL121" s="19"/>
      <c r="DM121" s="19"/>
      <c r="DN121" s="19"/>
      <c r="DO121" s="19"/>
      <c r="DQ121" s="8"/>
      <c r="DR121" s="7"/>
      <c r="DS121" s="19"/>
      <c r="DT121" s="19"/>
      <c r="DU121" s="19"/>
      <c r="DV121" s="19"/>
      <c r="DX121" s="8"/>
      <c r="DY121" s="7"/>
      <c r="DZ121" s="19"/>
      <c r="EA121" s="19"/>
      <c r="EB121" s="19"/>
      <c r="EC121" s="19"/>
      <c r="EE121" s="8"/>
      <c r="EF121" s="7"/>
      <c r="EG121" s="19"/>
      <c r="EH121" s="19"/>
      <c r="EI121" s="19"/>
      <c r="EJ121" s="19"/>
      <c r="EL121" s="8"/>
      <c r="EM121" s="7"/>
      <c r="EN121" s="19"/>
      <c r="EO121" s="19"/>
      <c r="EP121" s="19"/>
      <c r="EQ121" s="19"/>
      <c r="ES121" s="8"/>
      <c r="ET121" s="7"/>
      <c r="EU121" s="19"/>
      <c r="EV121" s="19"/>
      <c r="EW121" s="19"/>
      <c r="EX121" s="19"/>
      <c r="EZ121" s="8"/>
      <c r="FA121" s="7"/>
      <c r="FB121" s="19"/>
      <c r="FC121" s="19"/>
      <c r="FD121" s="19"/>
      <c r="FE121" s="19"/>
      <c r="FG121" s="8"/>
      <c r="FH121" s="7"/>
      <c r="FI121" s="19"/>
      <c r="FJ121" s="19"/>
      <c r="FK121" s="19"/>
      <c r="FL121" s="19"/>
      <c r="FN121" s="8"/>
      <c r="FO121" s="7"/>
      <c r="FP121" s="19"/>
      <c r="FQ121" s="19"/>
      <c r="FR121" s="19"/>
      <c r="FS121" s="19"/>
      <c r="FU121" s="8"/>
      <c r="FV121" s="7"/>
      <c r="FW121" s="19"/>
      <c r="FX121" s="19"/>
      <c r="FY121" s="19"/>
      <c r="FZ121" s="19"/>
      <c r="GB121" s="8"/>
      <c r="GC121" s="7"/>
      <c r="GD121" s="19"/>
      <c r="GE121" s="19"/>
      <c r="GF121" s="19"/>
      <c r="GG121" s="19"/>
      <c r="GI121" s="8"/>
      <c r="GJ121" s="7"/>
      <c r="GK121" s="19"/>
      <c r="GL121" s="19"/>
      <c r="GM121" s="19"/>
      <c r="GN121" s="19"/>
      <c r="GP121" s="8"/>
      <c r="GQ121" s="7"/>
      <c r="GR121" s="19"/>
      <c r="GS121" s="19"/>
      <c r="GT121" s="19"/>
      <c r="GU121" s="19"/>
      <c r="GW121" s="8"/>
      <c r="GX121" s="7"/>
      <c r="GY121" s="19"/>
      <c r="GZ121" s="19"/>
      <c r="HA121" s="19"/>
      <c r="HB121" s="19"/>
      <c r="HD121" s="8"/>
      <c r="HE121" s="7"/>
      <c r="HF121" s="19"/>
      <c r="HG121" s="19"/>
      <c r="HH121" s="19"/>
      <c r="HI121" s="19"/>
      <c r="HK121" s="8"/>
      <c r="HL121" s="7"/>
      <c r="HM121" s="19"/>
      <c r="HN121" s="19"/>
      <c r="HO121" s="19"/>
      <c r="HP121" s="19"/>
      <c r="HR121" s="8"/>
      <c r="HS121" s="7"/>
      <c r="HT121" s="19"/>
      <c r="HU121" s="19"/>
      <c r="HV121" s="19"/>
      <c r="HW121" s="19"/>
      <c r="HY121" s="8"/>
      <c r="HZ121" s="7"/>
      <c r="IA121" s="19"/>
      <c r="IB121" s="19"/>
      <c r="IC121" s="19"/>
      <c r="ID121" s="19"/>
      <c r="IF121" s="8"/>
      <c r="IG121" s="7"/>
      <c r="IH121" s="19"/>
      <c r="II121" s="19"/>
      <c r="IJ121" s="19"/>
      <c r="IK121" s="19"/>
      <c r="IM121" s="8"/>
      <c r="IN121" s="7"/>
      <c r="IO121" s="19"/>
      <c r="IP121" s="19"/>
      <c r="IQ121" s="19"/>
      <c r="IR121" s="19"/>
      <c r="IT121" s="8"/>
      <c r="IU121" s="7"/>
      <c r="IV121" s="19"/>
      <c r="IW121" s="19"/>
      <c r="IX121" s="19"/>
      <c r="IY121" s="19"/>
      <c r="JA121" s="8"/>
      <c r="JB121" s="7"/>
      <c r="JC121" s="19"/>
      <c r="JD121" s="19"/>
      <c r="JE121" s="19"/>
      <c r="JF121" s="19"/>
      <c r="JH121" s="8"/>
      <c r="JI121" s="7"/>
      <c r="JJ121" s="19"/>
      <c r="JK121" s="19"/>
      <c r="JL121" s="19"/>
      <c r="JM121" s="19"/>
      <c r="JO121" s="8"/>
      <c r="JP121" s="7"/>
      <c r="JQ121" s="19"/>
      <c r="JR121" s="19"/>
      <c r="JS121" s="19"/>
      <c r="JT121" s="19"/>
      <c r="JV121" s="8"/>
      <c r="JW121" s="7"/>
      <c r="JX121" s="19"/>
      <c r="JY121" s="19"/>
      <c r="JZ121" s="19"/>
      <c r="KA121" s="19"/>
      <c r="KC121" s="8"/>
      <c r="KD121" s="7"/>
      <c r="KE121" s="19"/>
      <c r="KF121" s="19"/>
      <c r="KG121" s="19"/>
      <c r="KH121" s="19"/>
      <c r="KJ121" s="8"/>
      <c r="KK121" s="7"/>
      <c r="KL121" s="19"/>
      <c r="KM121" s="19"/>
      <c r="KN121" s="19"/>
      <c r="KO121" s="19"/>
      <c r="KQ121" s="8"/>
      <c r="KR121" s="7"/>
      <c r="KS121" s="19"/>
      <c r="KT121" s="19"/>
      <c r="KU121" s="19"/>
      <c r="KV121" s="19"/>
      <c r="KX121" s="8"/>
      <c r="KY121" s="7"/>
      <c r="KZ121" s="19"/>
      <c r="LA121" s="19"/>
      <c r="LB121" s="19"/>
      <c r="LC121" s="19"/>
      <c r="LE121" s="8"/>
      <c r="LF121" s="7"/>
      <c r="LG121" s="19"/>
      <c r="LH121" s="19"/>
      <c r="LI121" s="19"/>
      <c r="LJ121" s="19"/>
      <c r="LL121" s="8"/>
      <c r="LM121" s="7"/>
      <c r="LN121" s="19"/>
      <c r="LO121" s="19"/>
      <c r="LP121" s="19"/>
      <c r="LQ121" s="19"/>
      <c r="LS121" s="8"/>
      <c r="LT121" s="7"/>
      <c r="LU121" s="19"/>
      <c r="LV121" s="19"/>
      <c r="LW121" s="19"/>
      <c r="LX121" s="19"/>
      <c r="LZ121" s="8"/>
      <c r="MA121" s="7"/>
      <c r="MB121" s="19"/>
      <c r="MC121" s="19"/>
      <c r="MD121" s="19"/>
      <c r="ME121" s="19"/>
      <c r="MG121" s="8"/>
      <c r="MH121" s="7"/>
      <c r="MI121" s="19"/>
      <c r="MJ121" s="19"/>
      <c r="MK121" s="19"/>
      <c r="ML121" s="19"/>
      <c r="MN121" s="8"/>
      <c r="MO121" s="7"/>
      <c r="MP121" s="19"/>
      <c r="MQ121" s="19"/>
      <c r="MR121" s="19"/>
      <c r="MS121" s="19"/>
      <c r="MU121" s="8"/>
      <c r="MV121" s="7"/>
      <c r="MW121" s="19"/>
      <c r="MX121" s="19"/>
      <c r="MY121" s="19"/>
      <c r="MZ121" s="19"/>
      <c r="NB121" s="8"/>
      <c r="NC121" s="7"/>
      <c r="ND121" s="19"/>
      <c r="NE121" s="19"/>
      <c r="NF121" s="19"/>
      <c r="NG121" s="19"/>
      <c r="NI121" s="8"/>
      <c r="NJ121" s="7"/>
      <c r="NK121" s="19"/>
      <c r="NL121" s="19"/>
      <c r="NM121" s="19"/>
      <c r="NN121" s="19"/>
      <c r="NP121" s="8"/>
      <c r="NQ121" s="7"/>
      <c r="NR121" s="19"/>
      <c r="NS121" s="19"/>
      <c r="NT121" s="19"/>
      <c r="NU121" s="19"/>
      <c r="NW121" s="8"/>
      <c r="NX121" s="7"/>
      <c r="NY121" s="19"/>
      <c r="NZ121" s="19"/>
      <c r="OA121" s="19"/>
      <c r="OB121" s="19"/>
      <c r="OD121" s="8"/>
      <c r="OE121" s="7"/>
      <c r="OF121" s="19"/>
      <c r="OG121" s="19"/>
      <c r="OH121" s="19"/>
      <c r="OI121" s="19"/>
      <c r="OK121" s="8"/>
      <c r="OL121" s="7"/>
      <c r="OM121" s="19"/>
      <c r="ON121" s="19"/>
      <c r="OO121" s="19"/>
      <c r="OP121" s="19"/>
      <c r="OR121" s="8"/>
      <c r="OS121" s="7"/>
      <c r="OT121" s="19"/>
      <c r="OU121" s="19"/>
      <c r="OV121" s="19"/>
      <c r="OW121" s="19"/>
      <c r="OY121" s="8"/>
      <c r="OZ121" s="7"/>
      <c r="PA121" s="19"/>
      <c r="PB121" s="19"/>
      <c r="PC121" s="19"/>
      <c r="PD121" s="19"/>
      <c r="PF121" s="8"/>
      <c r="PG121" s="7"/>
      <c r="PH121" s="19"/>
      <c r="PI121" s="19"/>
      <c r="PJ121" s="19"/>
      <c r="PK121" s="19"/>
      <c r="PM121" s="8"/>
    </row>
    <row r="122" spans="1:429" s="1" customFormat="1" ht="26" customHeight="1" outlineLevel="1">
      <c r="B122" s="471"/>
      <c r="C122" s="7"/>
      <c r="D122" s="19"/>
      <c r="E122" s="19"/>
      <c r="F122" s="19"/>
      <c r="G122" s="19"/>
      <c r="I122" s="8"/>
      <c r="J122" s="7"/>
      <c r="K122" s="19"/>
      <c r="L122" s="19"/>
      <c r="M122" s="19"/>
      <c r="N122" s="19"/>
      <c r="P122" s="8"/>
      <c r="Q122" s="7"/>
      <c r="R122" s="19"/>
      <c r="S122" s="19"/>
      <c r="T122" s="19"/>
      <c r="U122" s="19"/>
      <c r="W122" s="8"/>
      <c r="X122" s="7"/>
      <c r="Y122" s="19"/>
      <c r="Z122" s="19"/>
      <c r="AA122" s="19"/>
      <c r="AB122" s="19"/>
      <c r="AD122" s="8"/>
      <c r="AE122" s="7"/>
      <c r="AF122" s="19"/>
      <c r="AG122" s="19"/>
      <c r="AH122" s="19"/>
      <c r="AI122" s="19"/>
      <c r="AK122" s="8"/>
      <c r="AL122" s="7"/>
      <c r="AM122" s="19"/>
      <c r="AN122" s="19"/>
      <c r="AO122" s="19"/>
      <c r="AP122" s="19"/>
      <c r="AR122" s="8"/>
      <c r="AS122" s="7"/>
      <c r="AT122" s="19"/>
      <c r="AU122" s="19"/>
      <c r="AV122" s="19"/>
      <c r="AW122" s="19"/>
      <c r="AY122" s="8"/>
      <c r="AZ122" s="7"/>
      <c r="BA122" s="19"/>
      <c r="BB122" s="19"/>
      <c r="BC122" s="19"/>
      <c r="BD122" s="19"/>
      <c r="BF122" s="8"/>
      <c r="BG122" s="7"/>
      <c r="BH122" s="19"/>
      <c r="BI122" s="19"/>
      <c r="BJ122" s="19"/>
      <c r="BK122" s="19"/>
      <c r="BM122" s="8"/>
      <c r="BN122" s="7"/>
      <c r="BO122" s="19"/>
      <c r="BP122" s="19"/>
      <c r="BQ122" s="19"/>
      <c r="BR122" s="19"/>
      <c r="BT122" s="8"/>
      <c r="BU122" s="7"/>
      <c r="BV122" s="19"/>
      <c r="BW122" s="19"/>
      <c r="BX122" s="19"/>
      <c r="BY122" s="19"/>
      <c r="CA122" s="8"/>
      <c r="CB122" s="7"/>
      <c r="CC122" s="19"/>
      <c r="CD122" s="19"/>
      <c r="CE122" s="19"/>
      <c r="CF122" s="19"/>
      <c r="CH122" s="8"/>
      <c r="CI122" s="7"/>
      <c r="CJ122" s="19"/>
      <c r="CK122" s="19"/>
      <c r="CL122" s="19"/>
      <c r="CM122" s="19"/>
      <c r="CO122" s="8"/>
      <c r="CP122" s="7"/>
      <c r="CQ122" s="19"/>
      <c r="CR122" s="19"/>
      <c r="CS122" s="19"/>
      <c r="CT122" s="19"/>
      <c r="CV122" s="8"/>
      <c r="CW122" s="7"/>
      <c r="CX122" s="19"/>
      <c r="CY122" s="19"/>
      <c r="CZ122" s="19"/>
      <c r="DA122" s="19"/>
      <c r="DC122" s="8"/>
      <c r="DD122" s="7"/>
      <c r="DE122" s="19"/>
      <c r="DF122" s="19"/>
      <c r="DG122" s="19"/>
      <c r="DH122" s="19"/>
      <c r="DJ122" s="8"/>
      <c r="DK122" s="7"/>
      <c r="DL122" s="19"/>
      <c r="DM122" s="19"/>
      <c r="DN122" s="19"/>
      <c r="DO122" s="19"/>
      <c r="DQ122" s="8"/>
      <c r="DR122" s="7"/>
      <c r="DS122" s="19"/>
      <c r="DT122" s="19"/>
      <c r="DU122" s="19"/>
      <c r="DV122" s="19"/>
      <c r="DX122" s="8"/>
      <c r="DY122" s="7"/>
      <c r="DZ122" s="19"/>
      <c r="EA122" s="19"/>
      <c r="EB122" s="19"/>
      <c r="EC122" s="19"/>
      <c r="EE122" s="8"/>
      <c r="EF122" s="7"/>
      <c r="EG122" s="19"/>
      <c r="EH122" s="19"/>
      <c r="EI122" s="19"/>
      <c r="EJ122" s="19"/>
      <c r="EL122" s="8"/>
      <c r="EM122" s="7"/>
      <c r="EN122" s="19"/>
      <c r="EO122" s="19"/>
      <c r="EP122" s="19"/>
      <c r="EQ122" s="19"/>
      <c r="ES122" s="8"/>
      <c r="ET122" s="7"/>
      <c r="EU122" s="19"/>
      <c r="EV122" s="19"/>
      <c r="EW122" s="19"/>
      <c r="EX122" s="19"/>
      <c r="EZ122" s="8"/>
      <c r="FA122" s="7"/>
      <c r="FB122" s="19"/>
      <c r="FC122" s="19"/>
      <c r="FD122" s="19"/>
      <c r="FE122" s="19"/>
      <c r="FG122" s="8"/>
      <c r="FH122" s="7"/>
      <c r="FI122" s="19"/>
      <c r="FJ122" s="19"/>
      <c r="FK122" s="19"/>
      <c r="FL122" s="19"/>
      <c r="FN122" s="8"/>
      <c r="FO122" s="7"/>
      <c r="FP122" s="19"/>
      <c r="FQ122" s="19"/>
      <c r="FR122" s="19"/>
      <c r="FS122" s="19"/>
      <c r="FU122" s="8"/>
      <c r="FV122" s="7"/>
      <c r="FW122" s="19"/>
      <c r="FX122" s="19"/>
      <c r="FY122" s="19"/>
      <c r="FZ122" s="19"/>
      <c r="GB122" s="8"/>
      <c r="GC122" s="7"/>
      <c r="GD122" s="19"/>
      <c r="GE122" s="19"/>
      <c r="GF122" s="19"/>
      <c r="GG122" s="19"/>
      <c r="GI122" s="8"/>
      <c r="GJ122" s="7"/>
      <c r="GK122" s="19"/>
      <c r="GL122" s="19"/>
      <c r="GM122" s="19"/>
      <c r="GN122" s="19"/>
      <c r="GP122" s="8"/>
      <c r="GQ122" s="7"/>
      <c r="GR122" s="19"/>
      <c r="GS122" s="19"/>
      <c r="GT122" s="19"/>
      <c r="GU122" s="19"/>
      <c r="GW122" s="8"/>
      <c r="GX122" s="7"/>
      <c r="GY122" s="19"/>
      <c r="GZ122" s="19"/>
      <c r="HA122" s="19"/>
      <c r="HB122" s="19"/>
      <c r="HD122" s="8"/>
      <c r="HE122" s="7"/>
      <c r="HF122" s="19"/>
      <c r="HG122" s="19"/>
      <c r="HH122" s="19"/>
      <c r="HI122" s="19"/>
      <c r="HK122" s="8"/>
      <c r="HL122" s="7"/>
      <c r="HM122" s="19"/>
      <c r="HN122" s="19"/>
      <c r="HO122" s="19"/>
      <c r="HP122" s="19"/>
      <c r="HR122" s="8"/>
      <c r="HS122" s="7"/>
      <c r="HT122" s="19"/>
      <c r="HU122" s="19"/>
      <c r="HV122" s="19"/>
      <c r="HW122" s="19"/>
      <c r="HY122" s="8"/>
      <c r="HZ122" s="7"/>
      <c r="IA122" s="19"/>
      <c r="IB122" s="19"/>
      <c r="IC122" s="19"/>
      <c r="ID122" s="19"/>
      <c r="IF122" s="8"/>
      <c r="IG122" s="7"/>
      <c r="IH122" s="19"/>
      <c r="II122" s="19"/>
      <c r="IJ122" s="19"/>
      <c r="IK122" s="19"/>
      <c r="IM122" s="8"/>
      <c r="IN122" s="7"/>
      <c r="IO122" s="19"/>
      <c r="IP122" s="19"/>
      <c r="IQ122" s="19"/>
      <c r="IR122" s="19"/>
      <c r="IT122" s="8"/>
      <c r="IU122" s="7"/>
      <c r="IV122" s="19"/>
      <c r="IW122" s="19"/>
      <c r="IX122" s="19"/>
      <c r="IY122" s="19"/>
      <c r="JA122" s="8"/>
      <c r="JB122" s="7"/>
      <c r="JC122" s="19"/>
      <c r="JD122" s="19"/>
      <c r="JE122" s="19"/>
      <c r="JF122" s="19"/>
      <c r="JH122" s="8"/>
      <c r="JI122" s="7"/>
      <c r="JJ122" s="19"/>
      <c r="JK122" s="19"/>
      <c r="JL122" s="19"/>
      <c r="JM122" s="19"/>
      <c r="JO122" s="8"/>
      <c r="JP122" s="7"/>
      <c r="JQ122" s="19"/>
      <c r="JR122" s="19"/>
      <c r="JS122" s="19"/>
      <c r="JT122" s="19"/>
      <c r="JV122" s="8"/>
      <c r="JW122" s="7"/>
      <c r="JX122" s="19"/>
      <c r="JY122" s="19"/>
      <c r="JZ122" s="19"/>
      <c r="KA122" s="19"/>
      <c r="KC122" s="8"/>
      <c r="KD122" s="7"/>
      <c r="KE122" s="19"/>
      <c r="KF122" s="19"/>
      <c r="KG122" s="19"/>
      <c r="KH122" s="19"/>
      <c r="KJ122" s="8"/>
      <c r="KK122" s="7"/>
      <c r="KL122" s="19"/>
      <c r="KM122" s="19"/>
      <c r="KN122" s="19"/>
      <c r="KO122" s="19"/>
      <c r="KQ122" s="8"/>
      <c r="KR122" s="7"/>
      <c r="KS122" s="19"/>
      <c r="KT122" s="19"/>
      <c r="KU122" s="19"/>
      <c r="KV122" s="19"/>
      <c r="KX122" s="8"/>
      <c r="KY122" s="7"/>
      <c r="KZ122" s="19"/>
      <c r="LA122" s="19"/>
      <c r="LB122" s="19"/>
      <c r="LC122" s="19"/>
      <c r="LE122" s="8"/>
      <c r="LF122" s="7"/>
      <c r="LG122" s="19"/>
      <c r="LH122" s="19"/>
      <c r="LI122" s="19"/>
      <c r="LJ122" s="19"/>
      <c r="LL122" s="8"/>
      <c r="LM122" s="7"/>
      <c r="LN122" s="19"/>
      <c r="LO122" s="19"/>
      <c r="LP122" s="19"/>
      <c r="LQ122" s="19"/>
      <c r="LS122" s="8"/>
      <c r="LT122" s="7"/>
      <c r="LU122" s="19"/>
      <c r="LV122" s="19"/>
      <c r="LW122" s="19"/>
      <c r="LX122" s="19"/>
      <c r="LZ122" s="8"/>
      <c r="MA122" s="7"/>
      <c r="MB122" s="19"/>
      <c r="MC122" s="19"/>
      <c r="MD122" s="19"/>
      <c r="ME122" s="19"/>
      <c r="MG122" s="8"/>
      <c r="MH122" s="7"/>
      <c r="MI122" s="19"/>
      <c r="MJ122" s="19"/>
      <c r="MK122" s="19"/>
      <c r="ML122" s="19"/>
      <c r="MN122" s="8"/>
      <c r="MO122" s="7"/>
      <c r="MP122" s="19"/>
      <c r="MQ122" s="19"/>
      <c r="MR122" s="19"/>
      <c r="MS122" s="19"/>
      <c r="MU122" s="8"/>
      <c r="MV122" s="7"/>
      <c r="MW122" s="19"/>
      <c r="MX122" s="19"/>
      <c r="MY122" s="19"/>
      <c r="MZ122" s="19"/>
      <c r="NB122" s="8"/>
      <c r="NC122" s="7"/>
      <c r="ND122" s="19"/>
      <c r="NE122" s="19"/>
      <c r="NF122" s="19"/>
      <c r="NG122" s="19"/>
      <c r="NI122" s="8"/>
      <c r="NJ122" s="7"/>
      <c r="NK122" s="19"/>
      <c r="NL122" s="19"/>
      <c r="NM122" s="19"/>
      <c r="NN122" s="19"/>
      <c r="NP122" s="8"/>
      <c r="NQ122" s="7"/>
      <c r="NR122" s="19"/>
      <c r="NS122" s="19"/>
      <c r="NT122" s="19"/>
      <c r="NU122" s="19"/>
      <c r="NW122" s="8"/>
      <c r="NX122" s="7"/>
      <c r="NY122" s="19"/>
      <c r="NZ122" s="19"/>
      <c r="OA122" s="19"/>
      <c r="OB122" s="19"/>
      <c r="OD122" s="8"/>
      <c r="OE122" s="7"/>
      <c r="OF122" s="19"/>
      <c r="OG122" s="19"/>
      <c r="OH122" s="19"/>
      <c r="OI122" s="19"/>
      <c r="OK122" s="8"/>
      <c r="OL122" s="7"/>
      <c r="OM122" s="19"/>
      <c r="ON122" s="19"/>
      <c r="OO122" s="19"/>
      <c r="OP122" s="19"/>
      <c r="OR122" s="8"/>
      <c r="OS122" s="7"/>
      <c r="OT122" s="19"/>
      <c r="OU122" s="19"/>
      <c r="OV122" s="19"/>
      <c r="OW122" s="19"/>
      <c r="OY122" s="8"/>
      <c r="OZ122" s="7"/>
      <c r="PA122" s="19"/>
      <c r="PB122" s="19"/>
      <c r="PC122" s="19"/>
      <c r="PD122" s="19"/>
      <c r="PF122" s="8"/>
      <c r="PG122" s="7"/>
      <c r="PH122" s="19"/>
      <c r="PI122" s="19"/>
      <c r="PJ122" s="19"/>
      <c r="PK122" s="19"/>
      <c r="PM122" s="8"/>
    </row>
    <row r="123" spans="1:429" s="1" customFormat="1" ht="26" customHeight="1" outlineLevel="1">
      <c r="B123" s="471"/>
      <c r="C123" s="7"/>
      <c r="D123" s="19"/>
      <c r="E123" s="19"/>
      <c r="F123" s="19"/>
      <c r="G123" s="19"/>
      <c r="I123" s="8"/>
      <c r="J123" s="7"/>
      <c r="K123" s="19"/>
      <c r="L123" s="19"/>
      <c r="M123" s="19"/>
      <c r="N123" s="19"/>
      <c r="P123" s="8"/>
      <c r="Q123" s="7"/>
      <c r="R123" s="19"/>
      <c r="S123" s="19"/>
      <c r="T123" s="19"/>
      <c r="U123" s="19"/>
      <c r="W123" s="8"/>
      <c r="X123" s="7"/>
      <c r="Y123" s="19"/>
      <c r="Z123" s="19"/>
      <c r="AA123" s="19"/>
      <c r="AB123" s="19"/>
      <c r="AD123" s="8"/>
      <c r="AE123" s="7"/>
      <c r="AF123" s="19"/>
      <c r="AG123" s="19"/>
      <c r="AH123" s="19"/>
      <c r="AI123" s="19"/>
      <c r="AK123" s="8"/>
      <c r="AL123" s="7"/>
      <c r="AM123" s="19"/>
      <c r="AN123" s="19"/>
      <c r="AO123" s="19"/>
      <c r="AP123" s="19"/>
      <c r="AR123" s="8"/>
      <c r="AS123" s="7"/>
      <c r="AT123" s="19"/>
      <c r="AU123" s="19"/>
      <c r="AV123" s="19"/>
      <c r="AW123" s="19"/>
      <c r="AY123" s="8"/>
      <c r="AZ123" s="7"/>
      <c r="BA123" s="19"/>
      <c r="BB123" s="19"/>
      <c r="BC123" s="19"/>
      <c r="BD123" s="19"/>
      <c r="BF123" s="8"/>
      <c r="BG123" s="7"/>
      <c r="BH123" s="19"/>
      <c r="BI123" s="19"/>
      <c r="BJ123" s="19"/>
      <c r="BK123" s="19"/>
      <c r="BM123" s="8"/>
      <c r="BN123" s="7"/>
      <c r="BO123" s="19"/>
      <c r="BP123" s="19"/>
      <c r="BQ123" s="19"/>
      <c r="BR123" s="19"/>
      <c r="BT123" s="8"/>
      <c r="BU123" s="7"/>
      <c r="BV123" s="19"/>
      <c r="BW123" s="19"/>
      <c r="BX123" s="19"/>
      <c r="BY123" s="19"/>
      <c r="CA123" s="8"/>
      <c r="CB123" s="7"/>
      <c r="CC123" s="19"/>
      <c r="CD123" s="19"/>
      <c r="CE123" s="19"/>
      <c r="CF123" s="19"/>
      <c r="CH123" s="8"/>
      <c r="CI123" s="7"/>
      <c r="CJ123" s="19"/>
      <c r="CK123" s="19"/>
      <c r="CL123" s="19"/>
      <c r="CM123" s="19"/>
      <c r="CO123" s="8"/>
      <c r="CP123" s="7"/>
      <c r="CQ123" s="19"/>
      <c r="CR123" s="19"/>
      <c r="CS123" s="19"/>
      <c r="CT123" s="19"/>
      <c r="CV123" s="8"/>
      <c r="CW123" s="7"/>
      <c r="CX123" s="19"/>
      <c r="CY123" s="19"/>
      <c r="CZ123" s="19"/>
      <c r="DA123" s="19"/>
      <c r="DC123" s="8"/>
      <c r="DD123" s="7"/>
      <c r="DE123" s="19"/>
      <c r="DF123" s="19"/>
      <c r="DG123" s="19"/>
      <c r="DH123" s="19"/>
      <c r="DJ123" s="8"/>
      <c r="DK123" s="7"/>
      <c r="DL123" s="19"/>
      <c r="DM123" s="19"/>
      <c r="DN123" s="19"/>
      <c r="DO123" s="19"/>
      <c r="DQ123" s="8"/>
      <c r="DR123" s="7"/>
      <c r="DS123" s="19"/>
      <c r="DT123" s="19"/>
      <c r="DU123" s="19"/>
      <c r="DV123" s="19"/>
      <c r="DX123" s="8"/>
      <c r="DY123" s="7"/>
      <c r="DZ123" s="19"/>
      <c r="EA123" s="19"/>
      <c r="EB123" s="19"/>
      <c r="EC123" s="19"/>
      <c r="EE123" s="8"/>
      <c r="EF123" s="7"/>
      <c r="EG123" s="19"/>
      <c r="EH123" s="19"/>
      <c r="EI123" s="19"/>
      <c r="EJ123" s="19"/>
      <c r="EL123" s="8"/>
      <c r="EM123" s="7"/>
      <c r="EN123" s="19"/>
      <c r="EO123" s="19"/>
      <c r="EP123" s="19"/>
      <c r="EQ123" s="19"/>
      <c r="ES123" s="8"/>
      <c r="ET123" s="7"/>
      <c r="EU123" s="19"/>
      <c r="EV123" s="19"/>
      <c r="EW123" s="19"/>
      <c r="EX123" s="19"/>
      <c r="EZ123" s="8"/>
      <c r="FA123" s="7"/>
      <c r="FB123" s="19"/>
      <c r="FC123" s="19"/>
      <c r="FD123" s="19"/>
      <c r="FE123" s="19"/>
      <c r="FG123" s="8"/>
      <c r="FH123" s="7"/>
      <c r="FI123" s="19"/>
      <c r="FJ123" s="19"/>
      <c r="FK123" s="19"/>
      <c r="FL123" s="19"/>
      <c r="FN123" s="8"/>
      <c r="FO123" s="7"/>
      <c r="FP123" s="19"/>
      <c r="FQ123" s="19"/>
      <c r="FR123" s="19"/>
      <c r="FS123" s="19"/>
      <c r="FU123" s="8"/>
      <c r="FV123" s="7"/>
      <c r="FW123" s="19"/>
      <c r="FX123" s="19"/>
      <c r="FY123" s="19"/>
      <c r="FZ123" s="19"/>
      <c r="GB123" s="8"/>
      <c r="GC123" s="7"/>
      <c r="GD123" s="19"/>
      <c r="GE123" s="19"/>
      <c r="GF123" s="19"/>
      <c r="GG123" s="19"/>
      <c r="GI123" s="8"/>
      <c r="GJ123" s="7"/>
      <c r="GK123" s="19"/>
      <c r="GL123" s="19"/>
      <c r="GM123" s="19"/>
      <c r="GN123" s="19"/>
      <c r="GP123" s="8"/>
      <c r="GQ123" s="7"/>
      <c r="GR123" s="19"/>
      <c r="GS123" s="19"/>
      <c r="GT123" s="19"/>
      <c r="GU123" s="19"/>
      <c r="GW123" s="8"/>
      <c r="GX123" s="7"/>
      <c r="GY123" s="19"/>
      <c r="GZ123" s="19"/>
      <c r="HA123" s="19"/>
      <c r="HB123" s="19"/>
      <c r="HD123" s="8"/>
      <c r="HE123" s="7"/>
      <c r="HF123" s="19"/>
      <c r="HG123" s="19"/>
      <c r="HH123" s="19"/>
      <c r="HI123" s="19"/>
      <c r="HK123" s="8"/>
      <c r="HL123" s="7"/>
      <c r="HM123" s="19"/>
      <c r="HN123" s="19"/>
      <c r="HO123" s="19"/>
      <c r="HP123" s="19"/>
      <c r="HR123" s="8"/>
      <c r="HS123" s="7"/>
      <c r="HT123" s="19"/>
      <c r="HU123" s="19"/>
      <c r="HV123" s="19"/>
      <c r="HW123" s="19"/>
      <c r="HY123" s="8"/>
      <c r="HZ123" s="7"/>
      <c r="IA123" s="19"/>
      <c r="IB123" s="19"/>
      <c r="IC123" s="19"/>
      <c r="ID123" s="19"/>
      <c r="IF123" s="8"/>
      <c r="IG123" s="7"/>
      <c r="IH123" s="19"/>
      <c r="II123" s="19"/>
      <c r="IJ123" s="19"/>
      <c r="IK123" s="19"/>
      <c r="IM123" s="8"/>
      <c r="IN123" s="7"/>
      <c r="IO123" s="19"/>
      <c r="IP123" s="19"/>
      <c r="IQ123" s="19"/>
      <c r="IR123" s="19"/>
      <c r="IT123" s="8"/>
      <c r="IU123" s="7"/>
      <c r="IV123" s="19"/>
      <c r="IW123" s="19"/>
      <c r="IX123" s="19"/>
      <c r="IY123" s="19"/>
      <c r="JA123" s="8"/>
      <c r="JB123" s="7"/>
      <c r="JC123" s="19"/>
      <c r="JD123" s="19"/>
      <c r="JE123" s="19"/>
      <c r="JF123" s="19"/>
      <c r="JH123" s="8"/>
      <c r="JI123" s="7"/>
      <c r="JJ123" s="19"/>
      <c r="JK123" s="19"/>
      <c r="JL123" s="19"/>
      <c r="JM123" s="19"/>
      <c r="JO123" s="8"/>
      <c r="JP123" s="7"/>
      <c r="JQ123" s="19"/>
      <c r="JR123" s="19"/>
      <c r="JS123" s="19"/>
      <c r="JT123" s="19"/>
      <c r="JV123" s="8"/>
      <c r="JW123" s="7"/>
      <c r="JX123" s="19"/>
      <c r="JY123" s="19"/>
      <c r="JZ123" s="19"/>
      <c r="KA123" s="19"/>
      <c r="KC123" s="8"/>
      <c r="KD123" s="7"/>
      <c r="KE123" s="19"/>
      <c r="KF123" s="19"/>
      <c r="KG123" s="19"/>
      <c r="KH123" s="19"/>
      <c r="KJ123" s="8"/>
      <c r="KK123" s="7"/>
      <c r="KL123" s="19"/>
      <c r="KM123" s="19"/>
      <c r="KN123" s="19"/>
      <c r="KO123" s="19"/>
      <c r="KQ123" s="8"/>
      <c r="KR123" s="7"/>
      <c r="KS123" s="19"/>
      <c r="KT123" s="19"/>
      <c r="KU123" s="19"/>
      <c r="KV123" s="19"/>
      <c r="KX123" s="8"/>
      <c r="KY123" s="7"/>
      <c r="KZ123" s="19"/>
      <c r="LA123" s="19"/>
      <c r="LB123" s="19"/>
      <c r="LC123" s="19"/>
      <c r="LE123" s="8"/>
      <c r="LF123" s="7"/>
      <c r="LG123" s="19"/>
      <c r="LH123" s="19"/>
      <c r="LI123" s="19"/>
      <c r="LJ123" s="19"/>
      <c r="LL123" s="8"/>
      <c r="LM123" s="7"/>
      <c r="LN123" s="19"/>
      <c r="LO123" s="19"/>
      <c r="LP123" s="19"/>
      <c r="LQ123" s="19"/>
      <c r="LS123" s="8"/>
      <c r="LT123" s="7"/>
      <c r="LU123" s="19"/>
      <c r="LV123" s="19"/>
      <c r="LW123" s="19"/>
      <c r="LX123" s="19"/>
      <c r="LZ123" s="8"/>
      <c r="MA123" s="7"/>
      <c r="MB123" s="19"/>
      <c r="MC123" s="19"/>
      <c r="MD123" s="19"/>
      <c r="ME123" s="19"/>
      <c r="MG123" s="8"/>
      <c r="MH123" s="7"/>
      <c r="MI123" s="19"/>
      <c r="MJ123" s="19"/>
      <c r="MK123" s="19"/>
      <c r="ML123" s="19"/>
      <c r="MN123" s="8"/>
      <c r="MO123" s="7"/>
      <c r="MP123" s="19"/>
      <c r="MQ123" s="19"/>
      <c r="MR123" s="19"/>
      <c r="MS123" s="19"/>
      <c r="MU123" s="8"/>
      <c r="MV123" s="7"/>
      <c r="MW123" s="19"/>
      <c r="MX123" s="19"/>
      <c r="MY123" s="19"/>
      <c r="MZ123" s="19"/>
      <c r="NB123" s="8"/>
      <c r="NC123" s="7"/>
      <c r="ND123" s="19"/>
      <c r="NE123" s="19"/>
      <c r="NF123" s="19"/>
      <c r="NG123" s="19"/>
      <c r="NI123" s="8"/>
      <c r="NJ123" s="7"/>
      <c r="NK123" s="19"/>
      <c r="NL123" s="19"/>
      <c r="NM123" s="19"/>
      <c r="NN123" s="19"/>
      <c r="NP123" s="8"/>
      <c r="NQ123" s="7"/>
      <c r="NR123" s="19"/>
      <c r="NS123" s="19"/>
      <c r="NT123" s="19"/>
      <c r="NU123" s="19"/>
      <c r="NW123" s="8"/>
      <c r="NX123" s="7"/>
      <c r="NY123" s="19"/>
      <c r="NZ123" s="19"/>
      <c r="OA123" s="19"/>
      <c r="OB123" s="19"/>
      <c r="OD123" s="8"/>
      <c r="OE123" s="7"/>
      <c r="OF123" s="19"/>
      <c r="OG123" s="19"/>
      <c r="OH123" s="19"/>
      <c r="OI123" s="19"/>
      <c r="OK123" s="8"/>
      <c r="OL123" s="7"/>
      <c r="OM123" s="19"/>
      <c r="ON123" s="19"/>
      <c r="OO123" s="19"/>
      <c r="OP123" s="19"/>
      <c r="OR123" s="8"/>
      <c r="OS123" s="7"/>
      <c r="OT123" s="19"/>
      <c r="OU123" s="19"/>
      <c r="OV123" s="19"/>
      <c r="OW123" s="19"/>
      <c r="OY123" s="8"/>
      <c r="OZ123" s="7"/>
      <c r="PA123" s="19"/>
      <c r="PB123" s="19"/>
      <c r="PC123" s="19"/>
      <c r="PD123" s="19"/>
      <c r="PF123" s="8"/>
      <c r="PG123" s="7"/>
      <c r="PH123" s="19"/>
      <c r="PI123" s="19"/>
      <c r="PJ123" s="19"/>
      <c r="PK123" s="19"/>
      <c r="PM123" s="8"/>
    </row>
    <row r="124" spans="1:429" s="1" customFormat="1" ht="26" customHeight="1" outlineLevel="1">
      <c r="B124" s="471"/>
      <c r="C124" s="7"/>
      <c r="D124" s="19"/>
      <c r="E124" s="19"/>
      <c r="F124" s="19"/>
      <c r="G124" s="19"/>
      <c r="I124" s="8"/>
      <c r="J124" s="7"/>
      <c r="K124" s="19"/>
      <c r="L124" s="19"/>
      <c r="M124" s="19"/>
      <c r="N124" s="19"/>
      <c r="P124" s="8"/>
      <c r="Q124" s="7"/>
      <c r="R124" s="19"/>
      <c r="S124" s="19"/>
      <c r="T124" s="19"/>
      <c r="U124" s="19"/>
      <c r="W124" s="8"/>
      <c r="X124" s="7"/>
      <c r="Y124" s="19"/>
      <c r="Z124" s="19"/>
      <c r="AA124" s="19"/>
      <c r="AB124" s="19"/>
      <c r="AD124" s="8"/>
      <c r="AE124" s="7"/>
      <c r="AF124" s="19"/>
      <c r="AG124" s="19"/>
      <c r="AH124" s="19"/>
      <c r="AI124" s="19"/>
      <c r="AK124" s="8"/>
      <c r="AL124" s="7"/>
      <c r="AM124" s="19"/>
      <c r="AN124" s="19"/>
      <c r="AO124" s="19"/>
      <c r="AP124" s="19"/>
      <c r="AR124" s="8"/>
      <c r="AS124" s="7"/>
      <c r="AT124" s="19"/>
      <c r="AU124" s="19"/>
      <c r="AV124" s="19"/>
      <c r="AW124" s="19"/>
      <c r="AY124" s="8"/>
      <c r="AZ124" s="7"/>
      <c r="BA124" s="19"/>
      <c r="BB124" s="19"/>
      <c r="BC124" s="19"/>
      <c r="BD124" s="19"/>
      <c r="BF124" s="8"/>
      <c r="BG124" s="7"/>
      <c r="BH124" s="19"/>
      <c r="BI124" s="19"/>
      <c r="BJ124" s="19"/>
      <c r="BK124" s="19"/>
      <c r="BM124" s="8"/>
      <c r="BN124" s="7"/>
      <c r="BO124" s="19"/>
      <c r="BP124" s="19"/>
      <c r="BQ124" s="19"/>
      <c r="BR124" s="19"/>
      <c r="BT124" s="8"/>
      <c r="BU124" s="7"/>
      <c r="BV124" s="19"/>
      <c r="BW124" s="19"/>
      <c r="BX124" s="19"/>
      <c r="BY124" s="19"/>
      <c r="CA124" s="8"/>
      <c r="CB124" s="7"/>
      <c r="CC124" s="19"/>
      <c r="CD124" s="19"/>
      <c r="CE124" s="19"/>
      <c r="CF124" s="19"/>
      <c r="CH124" s="8"/>
      <c r="CI124" s="7"/>
      <c r="CJ124" s="19"/>
      <c r="CK124" s="19"/>
      <c r="CL124" s="19"/>
      <c r="CM124" s="19"/>
      <c r="CO124" s="8"/>
      <c r="CP124" s="7"/>
      <c r="CQ124" s="19"/>
      <c r="CR124" s="19"/>
      <c r="CS124" s="19"/>
      <c r="CT124" s="19"/>
      <c r="CV124" s="8"/>
      <c r="CW124" s="7"/>
      <c r="CX124" s="19"/>
      <c r="CY124" s="19"/>
      <c r="CZ124" s="19"/>
      <c r="DA124" s="19"/>
      <c r="DC124" s="8"/>
      <c r="DD124" s="7"/>
      <c r="DE124" s="19"/>
      <c r="DF124" s="19"/>
      <c r="DG124" s="19"/>
      <c r="DH124" s="19"/>
      <c r="DJ124" s="8"/>
      <c r="DK124" s="7"/>
      <c r="DL124" s="19"/>
      <c r="DM124" s="19"/>
      <c r="DN124" s="19"/>
      <c r="DO124" s="19"/>
      <c r="DQ124" s="8"/>
      <c r="DR124" s="7"/>
      <c r="DS124" s="19"/>
      <c r="DT124" s="19"/>
      <c r="DU124" s="19"/>
      <c r="DV124" s="19"/>
      <c r="DX124" s="8"/>
      <c r="DY124" s="7"/>
      <c r="DZ124" s="19"/>
      <c r="EA124" s="19"/>
      <c r="EB124" s="19"/>
      <c r="EC124" s="19"/>
      <c r="EE124" s="8"/>
      <c r="EF124" s="7"/>
      <c r="EG124" s="19"/>
      <c r="EH124" s="19"/>
      <c r="EI124" s="19"/>
      <c r="EJ124" s="19"/>
      <c r="EL124" s="8"/>
      <c r="EM124" s="7"/>
      <c r="EN124" s="19"/>
      <c r="EO124" s="19"/>
      <c r="EP124" s="19"/>
      <c r="EQ124" s="19"/>
      <c r="ES124" s="8"/>
      <c r="ET124" s="7"/>
      <c r="EU124" s="19"/>
      <c r="EV124" s="19"/>
      <c r="EW124" s="19"/>
      <c r="EX124" s="19"/>
      <c r="EZ124" s="8"/>
      <c r="FA124" s="7"/>
      <c r="FB124" s="19"/>
      <c r="FC124" s="19"/>
      <c r="FD124" s="19"/>
      <c r="FE124" s="19"/>
      <c r="FG124" s="8"/>
      <c r="FH124" s="7"/>
      <c r="FI124" s="19"/>
      <c r="FJ124" s="19"/>
      <c r="FK124" s="19"/>
      <c r="FL124" s="19"/>
      <c r="FN124" s="8"/>
      <c r="FO124" s="7"/>
      <c r="FP124" s="19"/>
      <c r="FQ124" s="19"/>
      <c r="FR124" s="19"/>
      <c r="FS124" s="19"/>
      <c r="FU124" s="8"/>
      <c r="FV124" s="7"/>
      <c r="FW124" s="19"/>
      <c r="FX124" s="19"/>
      <c r="FY124" s="19"/>
      <c r="FZ124" s="19"/>
      <c r="GB124" s="8"/>
      <c r="GC124" s="7"/>
      <c r="GD124" s="19"/>
      <c r="GE124" s="19"/>
      <c r="GF124" s="19"/>
      <c r="GG124" s="19"/>
      <c r="GI124" s="8"/>
      <c r="GJ124" s="7"/>
      <c r="GK124" s="19"/>
      <c r="GL124" s="19"/>
      <c r="GM124" s="19"/>
      <c r="GN124" s="19"/>
      <c r="GP124" s="8"/>
      <c r="GQ124" s="7"/>
      <c r="GR124" s="19"/>
      <c r="GS124" s="19"/>
      <c r="GT124" s="19"/>
      <c r="GU124" s="19"/>
      <c r="GW124" s="8"/>
      <c r="GX124" s="7"/>
      <c r="GY124" s="19"/>
      <c r="GZ124" s="19"/>
      <c r="HA124" s="19"/>
      <c r="HB124" s="19"/>
      <c r="HD124" s="8"/>
      <c r="HE124" s="7"/>
      <c r="HF124" s="19"/>
      <c r="HG124" s="19"/>
      <c r="HH124" s="19"/>
      <c r="HI124" s="19"/>
      <c r="HK124" s="8"/>
      <c r="HL124" s="7"/>
      <c r="HM124" s="19"/>
      <c r="HN124" s="19"/>
      <c r="HO124" s="19"/>
      <c r="HP124" s="19"/>
      <c r="HR124" s="8"/>
      <c r="HS124" s="7"/>
      <c r="HT124" s="19"/>
      <c r="HU124" s="19"/>
      <c r="HV124" s="19"/>
      <c r="HW124" s="19"/>
      <c r="HY124" s="8"/>
      <c r="HZ124" s="7"/>
      <c r="IA124" s="19"/>
      <c r="IB124" s="19"/>
      <c r="IC124" s="19"/>
      <c r="ID124" s="19"/>
      <c r="IF124" s="8"/>
      <c r="IG124" s="7"/>
      <c r="IH124" s="19"/>
      <c r="II124" s="19"/>
      <c r="IJ124" s="19"/>
      <c r="IK124" s="19"/>
      <c r="IM124" s="8"/>
      <c r="IN124" s="7"/>
      <c r="IO124" s="19"/>
      <c r="IP124" s="19"/>
      <c r="IQ124" s="19"/>
      <c r="IR124" s="19"/>
      <c r="IT124" s="8"/>
      <c r="IU124" s="7"/>
      <c r="IV124" s="19"/>
      <c r="IW124" s="19"/>
      <c r="IX124" s="19"/>
      <c r="IY124" s="19"/>
      <c r="JA124" s="8"/>
      <c r="JB124" s="7"/>
      <c r="JC124" s="19"/>
      <c r="JD124" s="19"/>
      <c r="JE124" s="19"/>
      <c r="JF124" s="19"/>
      <c r="JH124" s="8"/>
      <c r="JI124" s="7"/>
      <c r="JJ124" s="19"/>
      <c r="JK124" s="19"/>
      <c r="JL124" s="19"/>
      <c r="JM124" s="19"/>
      <c r="JO124" s="8"/>
      <c r="JP124" s="7"/>
      <c r="JQ124" s="19"/>
      <c r="JR124" s="19"/>
      <c r="JS124" s="19"/>
      <c r="JT124" s="19"/>
      <c r="JV124" s="8"/>
      <c r="JW124" s="7"/>
      <c r="JX124" s="19"/>
      <c r="JY124" s="19"/>
      <c r="JZ124" s="19"/>
      <c r="KA124" s="19"/>
      <c r="KC124" s="8"/>
      <c r="KD124" s="7"/>
      <c r="KE124" s="19"/>
      <c r="KF124" s="19"/>
      <c r="KG124" s="19"/>
      <c r="KH124" s="19"/>
      <c r="KJ124" s="8"/>
      <c r="KK124" s="7"/>
      <c r="KL124" s="19"/>
      <c r="KM124" s="19"/>
      <c r="KN124" s="19"/>
      <c r="KO124" s="19"/>
      <c r="KQ124" s="8"/>
      <c r="KR124" s="7"/>
      <c r="KS124" s="19"/>
      <c r="KT124" s="19"/>
      <c r="KU124" s="19"/>
      <c r="KV124" s="19"/>
      <c r="KX124" s="8"/>
      <c r="KY124" s="7"/>
      <c r="KZ124" s="19"/>
      <c r="LA124" s="19"/>
      <c r="LB124" s="19"/>
      <c r="LC124" s="19"/>
      <c r="LE124" s="8"/>
      <c r="LF124" s="7"/>
      <c r="LG124" s="19"/>
      <c r="LH124" s="19"/>
      <c r="LI124" s="19"/>
      <c r="LJ124" s="19"/>
      <c r="LL124" s="8"/>
      <c r="LM124" s="7"/>
      <c r="LN124" s="19"/>
      <c r="LO124" s="19"/>
      <c r="LP124" s="19"/>
      <c r="LQ124" s="19"/>
      <c r="LS124" s="8"/>
      <c r="LT124" s="7"/>
      <c r="LU124" s="19"/>
      <c r="LV124" s="19"/>
      <c r="LW124" s="19"/>
      <c r="LX124" s="19"/>
      <c r="LZ124" s="8"/>
      <c r="MA124" s="7"/>
      <c r="MB124" s="19"/>
      <c r="MC124" s="19"/>
      <c r="MD124" s="19"/>
      <c r="ME124" s="19"/>
      <c r="MG124" s="8"/>
      <c r="MH124" s="7"/>
      <c r="MI124" s="19"/>
      <c r="MJ124" s="19"/>
      <c r="MK124" s="19"/>
      <c r="ML124" s="19"/>
      <c r="MN124" s="8"/>
      <c r="MO124" s="7"/>
      <c r="MP124" s="19"/>
      <c r="MQ124" s="19"/>
      <c r="MR124" s="19"/>
      <c r="MS124" s="19"/>
      <c r="MU124" s="8"/>
      <c r="MV124" s="7"/>
      <c r="MW124" s="19"/>
      <c r="MX124" s="19"/>
      <c r="MY124" s="19"/>
      <c r="MZ124" s="19"/>
      <c r="NB124" s="8"/>
      <c r="NC124" s="7"/>
      <c r="ND124" s="19"/>
      <c r="NE124" s="19"/>
      <c r="NF124" s="19"/>
      <c r="NG124" s="19"/>
      <c r="NI124" s="8"/>
      <c r="NJ124" s="7"/>
      <c r="NK124" s="19"/>
      <c r="NL124" s="19"/>
      <c r="NM124" s="19"/>
      <c r="NN124" s="19"/>
      <c r="NP124" s="8"/>
      <c r="NQ124" s="7"/>
      <c r="NR124" s="19"/>
      <c r="NS124" s="19"/>
      <c r="NT124" s="19"/>
      <c r="NU124" s="19"/>
      <c r="NW124" s="8"/>
      <c r="NX124" s="7"/>
      <c r="NY124" s="19"/>
      <c r="NZ124" s="19"/>
      <c r="OA124" s="19"/>
      <c r="OB124" s="19"/>
      <c r="OD124" s="8"/>
      <c r="OE124" s="7"/>
      <c r="OF124" s="19"/>
      <c r="OG124" s="19"/>
      <c r="OH124" s="19"/>
      <c r="OI124" s="19"/>
      <c r="OK124" s="8"/>
      <c r="OL124" s="7"/>
      <c r="OM124" s="19"/>
      <c r="ON124" s="19"/>
      <c r="OO124" s="19"/>
      <c r="OP124" s="19"/>
      <c r="OR124" s="8"/>
      <c r="OS124" s="7"/>
      <c r="OT124" s="19"/>
      <c r="OU124" s="19"/>
      <c r="OV124" s="19"/>
      <c r="OW124" s="19"/>
      <c r="OY124" s="8"/>
      <c r="OZ124" s="7"/>
      <c r="PA124" s="19"/>
      <c r="PB124" s="19"/>
      <c r="PC124" s="19"/>
      <c r="PD124" s="19"/>
      <c r="PF124" s="8"/>
      <c r="PG124" s="7"/>
      <c r="PH124" s="19"/>
      <c r="PI124" s="19"/>
      <c r="PJ124" s="19"/>
      <c r="PK124" s="19"/>
      <c r="PM124" s="8"/>
    </row>
    <row r="125" spans="1:429" s="1" customFormat="1" ht="26" customHeight="1" outlineLevel="1">
      <c r="B125" s="471"/>
      <c r="C125" s="7"/>
      <c r="D125" s="19"/>
      <c r="E125" s="19"/>
      <c r="F125" s="19"/>
      <c r="G125" s="19"/>
      <c r="I125" s="8"/>
      <c r="J125" s="7"/>
      <c r="K125" s="19"/>
      <c r="L125" s="19"/>
      <c r="M125" s="19"/>
      <c r="N125" s="19"/>
      <c r="P125" s="8"/>
      <c r="Q125" s="7"/>
      <c r="R125" s="19"/>
      <c r="S125" s="19"/>
      <c r="T125" s="19"/>
      <c r="U125" s="19"/>
      <c r="W125" s="8"/>
      <c r="X125" s="7"/>
      <c r="Y125" s="19"/>
      <c r="Z125" s="19"/>
      <c r="AA125" s="19"/>
      <c r="AB125" s="19"/>
      <c r="AD125" s="8"/>
      <c r="AE125" s="7"/>
      <c r="AF125" s="19"/>
      <c r="AG125" s="19"/>
      <c r="AH125" s="19"/>
      <c r="AI125" s="19"/>
      <c r="AK125" s="8"/>
      <c r="AL125" s="7"/>
      <c r="AM125" s="19"/>
      <c r="AN125" s="19"/>
      <c r="AO125" s="19"/>
      <c r="AP125" s="19"/>
      <c r="AR125" s="8"/>
      <c r="AS125" s="7"/>
      <c r="AT125" s="19"/>
      <c r="AU125" s="19"/>
      <c r="AV125" s="19"/>
      <c r="AW125" s="19"/>
      <c r="AY125" s="8"/>
      <c r="AZ125" s="7"/>
      <c r="BA125" s="19"/>
      <c r="BB125" s="19"/>
      <c r="BC125" s="19"/>
      <c r="BD125" s="19"/>
      <c r="BF125" s="8"/>
      <c r="BG125" s="7"/>
      <c r="BH125" s="19"/>
      <c r="BI125" s="19"/>
      <c r="BJ125" s="19"/>
      <c r="BK125" s="19"/>
      <c r="BM125" s="8"/>
      <c r="BN125" s="7"/>
      <c r="BO125" s="19"/>
      <c r="BP125" s="19"/>
      <c r="BQ125" s="19"/>
      <c r="BR125" s="19"/>
      <c r="BT125" s="8"/>
      <c r="BU125" s="7"/>
      <c r="BV125" s="19"/>
      <c r="BW125" s="19"/>
      <c r="BX125" s="19"/>
      <c r="BY125" s="19"/>
      <c r="CA125" s="8"/>
      <c r="CB125" s="7"/>
      <c r="CC125" s="19"/>
      <c r="CD125" s="19"/>
      <c r="CE125" s="19"/>
      <c r="CF125" s="19"/>
      <c r="CH125" s="8"/>
      <c r="CI125" s="7"/>
      <c r="CJ125" s="19"/>
      <c r="CK125" s="19"/>
      <c r="CL125" s="19"/>
      <c r="CM125" s="19"/>
      <c r="CO125" s="8"/>
      <c r="CP125" s="7"/>
      <c r="CQ125" s="19"/>
      <c r="CR125" s="19"/>
      <c r="CS125" s="19"/>
      <c r="CT125" s="19"/>
      <c r="CV125" s="8"/>
      <c r="CW125" s="7"/>
      <c r="CX125" s="19"/>
      <c r="CY125" s="19"/>
      <c r="CZ125" s="19"/>
      <c r="DA125" s="19"/>
      <c r="DC125" s="8"/>
      <c r="DD125" s="7"/>
      <c r="DE125" s="19"/>
      <c r="DF125" s="19"/>
      <c r="DG125" s="19"/>
      <c r="DH125" s="19"/>
      <c r="DJ125" s="8"/>
      <c r="DK125" s="7"/>
      <c r="DL125" s="19"/>
      <c r="DM125" s="19"/>
      <c r="DN125" s="19"/>
      <c r="DO125" s="19"/>
      <c r="DQ125" s="8"/>
      <c r="DR125" s="7"/>
      <c r="DS125" s="19"/>
      <c r="DT125" s="19"/>
      <c r="DU125" s="19"/>
      <c r="DV125" s="19"/>
      <c r="DX125" s="8"/>
      <c r="DY125" s="7"/>
      <c r="DZ125" s="19"/>
      <c r="EA125" s="19"/>
      <c r="EB125" s="19"/>
      <c r="EC125" s="19"/>
      <c r="EE125" s="8"/>
      <c r="EF125" s="7"/>
      <c r="EG125" s="19"/>
      <c r="EH125" s="19"/>
      <c r="EI125" s="19"/>
      <c r="EJ125" s="19"/>
      <c r="EL125" s="8"/>
      <c r="EM125" s="7"/>
      <c r="EN125" s="19"/>
      <c r="EO125" s="19"/>
      <c r="EP125" s="19"/>
      <c r="EQ125" s="19"/>
      <c r="ES125" s="8"/>
      <c r="ET125" s="7"/>
      <c r="EU125" s="19"/>
      <c r="EV125" s="19"/>
      <c r="EW125" s="19"/>
      <c r="EX125" s="19"/>
      <c r="EZ125" s="8"/>
      <c r="FA125" s="7"/>
      <c r="FB125" s="19"/>
      <c r="FC125" s="19"/>
      <c r="FD125" s="19"/>
      <c r="FE125" s="19"/>
      <c r="FG125" s="8"/>
      <c r="FH125" s="7"/>
      <c r="FI125" s="19"/>
      <c r="FJ125" s="19"/>
      <c r="FK125" s="19"/>
      <c r="FL125" s="19"/>
      <c r="FN125" s="8"/>
      <c r="FO125" s="7"/>
      <c r="FP125" s="19"/>
      <c r="FQ125" s="19"/>
      <c r="FR125" s="19"/>
      <c r="FS125" s="19"/>
      <c r="FU125" s="8"/>
      <c r="FV125" s="7"/>
      <c r="FW125" s="19"/>
      <c r="FX125" s="19"/>
      <c r="FY125" s="19"/>
      <c r="FZ125" s="19"/>
      <c r="GB125" s="8"/>
      <c r="GC125" s="7"/>
      <c r="GD125" s="19"/>
      <c r="GE125" s="19"/>
      <c r="GF125" s="19"/>
      <c r="GG125" s="19"/>
      <c r="GI125" s="8"/>
      <c r="GJ125" s="7"/>
      <c r="GK125" s="19"/>
      <c r="GL125" s="19"/>
      <c r="GM125" s="19"/>
      <c r="GN125" s="19"/>
      <c r="GP125" s="8"/>
      <c r="GQ125" s="7"/>
      <c r="GR125" s="19"/>
      <c r="GS125" s="19"/>
      <c r="GT125" s="19"/>
      <c r="GU125" s="19"/>
      <c r="GW125" s="8"/>
      <c r="GX125" s="7"/>
      <c r="GY125" s="19"/>
      <c r="GZ125" s="19"/>
      <c r="HA125" s="19"/>
      <c r="HB125" s="19"/>
      <c r="HD125" s="8"/>
      <c r="HE125" s="7"/>
      <c r="HF125" s="19"/>
      <c r="HG125" s="19"/>
      <c r="HH125" s="19"/>
      <c r="HI125" s="19"/>
      <c r="HK125" s="8"/>
      <c r="HL125" s="7"/>
      <c r="HM125" s="19"/>
      <c r="HN125" s="19"/>
      <c r="HO125" s="19"/>
      <c r="HP125" s="19"/>
      <c r="HR125" s="8"/>
      <c r="HS125" s="7"/>
      <c r="HT125" s="19"/>
      <c r="HU125" s="19"/>
      <c r="HV125" s="19"/>
      <c r="HW125" s="19"/>
      <c r="HY125" s="8"/>
      <c r="HZ125" s="7"/>
      <c r="IA125" s="19"/>
      <c r="IB125" s="19"/>
      <c r="IC125" s="19"/>
      <c r="ID125" s="19"/>
      <c r="IF125" s="8"/>
      <c r="IG125" s="7"/>
      <c r="IH125" s="19"/>
      <c r="II125" s="19"/>
      <c r="IJ125" s="19"/>
      <c r="IK125" s="19"/>
      <c r="IM125" s="8"/>
      <c r="IN125" s="7"/>
      <c r="IO125" s="19"/>
      <c r="IP125" s="19"/>
      <c r="IQ125" s="19"/>
      <c r="IR125" s="19"/>
      <c r="IT125" s="8"/>
      <c r="IU125" s="7"/>
      <c r="IV125" s="19"/>
      <c r="IW125" s="19"/>
      <c r="IX125" s="19"/>
      <c r="IY125" s="19"/>
      <c r="JA125" s="8"/>
      <c r="JB125" s="7"/>
      <c r="JC125" s="19"/>
      <c r="JD125" s="19"/>
      <c r="JE125" s="19"/>
      <c r="JF125" s="19"/>
      <c r="JH125" s="8"/>
      <c r="JI125" s="7"/>
      <c r="JJ125" s="19"/>
      <c r="JK125" s="19"/>
      <c r="JL125" s="19"/>
      <c r="JM125" s="19"/>
      <c r="JO125" s="8"/>
      <c r="JP125" s="7"/>
      <c r="JQ125" s="19"/>
      <c r="JR125" s="19"/>
      <c r="JS125" s="19"/>
      <c r="JT125" s="19"/>
      <c r="JV125" s="8"/>
      <c r="JW125" s="7"/>
      <c r="JX125" s="19"/>
      <c r="JY125" s="19"/>
      <c r="JZ125" s="19"/>
      <c r="KA125" s="19"/>
      <c r="KC125" s="8"/>
      <c r="KD125" s="7"/>
      <c r="KE125" s="19"/>
      <c r="KF125" s="19"/>
      <c r="KG125" s="19"/>
      <c r="KH125" s="19"/>
      <c r="KJ125" s="8"/>
      <c r="KK125" s="7"/>
      <c r="KL125" s="19"/>
      <c r="KM125" s="19"/>
      <c r="KN125" s="19"/>
      <c r="KO125" s="19"/>
      <c r="KQ125" s="8"/>
      <c r="KR125" s="7"/>
      <c r="KS125" s="19"/>
      <c r="KT125" s="19"/>
      <c r="KU125" s="19"/>
      <c r="KV125" s="19"/>
      <c r="KX125" s="8"/>
      <c r="KY125" s="7"/>
      <c r="KZ125" s="19"/>
      <c r="LA125" s="19"/>
      <c r="LB125" s="19"/>
      <c r="LC125" s="19"/>
      <c r="LE125" s="8"/>
      <c r="LF125" s="7"/>
      <c r="LG125" s="19"/>
      <c r="LH125" s="19"/>
      <c r="LI125" s="19"/>
      <c r="LJ125" s="19"/>
      <c r="LL125" s="8"/>
      <c r="LM125" s="7"/>
      <c r="LN125" s="19"/>
      <c r="LO125" s="19"/>
      <c r="LP125" s="19"/>
      <c r="LQ125" s="19"/>
      <c r="LS125" s="8"/>
      <c r="LT125" s="7"/>
      <c r="LU125" s="19"/>
      <c r="LV125" s="19"/>
      <c r="LW125" s="19"/>
      <c r="LX125" s="19"/>
      <c r="LZ125" s="8"/>
      <c r="MA125" s="7"/>
      <c r="MB125" s="19"/>
      <c r="MC125" s="19"/>
      <c r="MD125" s="19"/>
      <c r="ME125" s="19"/>
      <c r="MG125" s="8"/>
      <c r="MH125" s="7"/>
      <c r="MI125" s="19"/>
      <c r="MJ125" s="19"/>
      <c r="MK125" s="19"/>
      <c r="ML125" s="19"/>
      <c r="MN125" s="8"/>
      <c r="MO125" s="7"/>
      <c r="MP125" s="19"/>
      <c r="MQ125" s="19"/>
      <c r="MR125" s="19"/>
      <c r="MS125" s="19"/>
      <c r="MU125" s="8"/>
      <c r="MV125" s="7"/>
      <c r="MW125" s="19"/>
      <c r="MX125" s="19"/>
      <c r="MY125" s="19"/>
      <c r="MZ125" s="19"/>
      <c r="NB125" s="8"/>
      <c r="NC125" s="7"/>
      <c r="ND125" s="19"/>
      <c r="NE125" s="19"/>
      <c r="NF125" s="19"/>
      <c r="NG125" s="19"/>
      <c r="NI125" s="8"/>
      <c r="NJ125" s="7"/>
      <c r="NK125" s="19"/>
      <c r="NL125" s="19"/>
      <c r="NM125" s="19"/>
      <c r="NN125" s="19"/>
      <c r="NP125" s="8"/>
      <c r="NQ125" s="7"/>
      <c r="NR125" s="19"/>
      <c r="NS125" s="19"/>
      <c r="NT125" s="19"/>
      <c r="NU125" s="19"/>
      <c r="NW125" s="8"/>
      <c r="NX125" s="7"/>
      <c r="NY125" s="19"/>
      <c r="NZ125" s="19"/>
      <c r="OA125" s="19"/>
      <c r="OB125" s="19"/>
      <c r="OD125" s="8"/>
      <c r="OE125" s="7"/>
      <c r="OF125" s="19"/>
      <c r="OG125" s="19"/>
      <c r="OH125" s="19"/>
      <c r="OI125" s="19"/>
      <c r="OK125" s="8"/>
      <c r="OL125" s="7"/>
      <c r="OM125" s="19"/>
      <c r="ON125" s="19"/>
      <c r="OO125" s="19"/>
      <c r="OP125" s="19"/>
      <c r="OR125" s="8"/>
      <c r="OS125" s="7"/>
      <c r="OT125" s="19"/>
      <c r="OU125" s="19"/>
      <c r="OV125" s="19"/>
      <c r="OW125" s="19"/>
      <c r="OY125" s="8"/>
      <c r="OZ125" s="7"/>
      <c r="PA125" s="19"/>
      <c r="PB125" s="19"/>
      <c r="PC125" s="19"/>
      <c r="PD125" s="19"/>
      <c r="PF125" s="8"/>
      <c r="PG125" s="7"/>
      <c r="PH125" s="19"/>
      <c r="PI125" s="19"/>
      <c r="PJ125" s="19"/>
      <c r="PK125" s="19"/>
      <c r="PM125" s="8"/>
    </row>
    <row r="126" spans="1:429" s="1" customFormat="1" ht="26" customHeight="1" outlineLevel="1">
      <c r="B126" s="471"/>
      <c r="C126" s="7"/>
      <c r="D126" s="19"/>
      <c r="E126" s="19"/>
      <c r="F126" s="19"/>
      <c r="G126" s="19"/>
      <c r="I126" s="8"/>
      <c r="J126" s="7"/>
      <c r="K126" s="19"/>
      <c r="L126" s="19"/>
      <c r="M126" s="19"/>
      <c r="N126" s="19"/>
      <c r="P126" s="8"/>
      <c r="Q126" s="7"/>
      <c r="R126" s="19"/>
      <c r="S126" s="19"/>
      <c r="T126" s="19"/>
      <c r="U126" s="19"/>
      <c r="W126" s="8"/>
      <c r="X126" s="7"/>
      <c r="Y126" s="19"/>
      <c r="Z126" s="19"/>
      <c r="AA126" s="19"/>
      <c r="AB126" s="19"/>
      <c r="AD126" s="8"/>
      <c r="AE126" s="7"/>
      <c r="AF126" s="19"/>
      <c r="AG126" s="19"/>
      <c r="AH126" s="19"/>
      <c r="AI126" s="19"/>
      <c r="AK126" s="8"/>
      <c r="AL126" s="7"/>
      <c r="AM126" s="19"/>
      <c r="AN126" s="19"/>
      <c r="AO126" s="19"/>
      <c r="AP126" s="19"/>
      <c r="AR126" s="8"/>
      <c r="AS126" s="7"/>
      <c r="AT126" s="19"/>
      <c r="AU126" s="19"/>
      <c r="AV126" s="19"/>
      <c r="AW126" s="19"/>
      <c r="AY126" s="8"/>
      <c r="AZ126" s="7"/>
      <c r="BA126" s="19"/>
      <c r="BB126" s="19"/>
      <c r="BC126" s="19"/>
      <c r="BD126" s="19"/>
      <c r="BF126" s="8"/>
      <c r="BG126" s="7"/>
      <c r="BH126" s="19"/>
      <c r="BI126" s="19"/>
      <c r="BJ126" s="19"/>
      <c r="BK126" s="19"/>
      <c r="BM126" s="8"/>
      <c r="BN126" s="7"/>
      <c r="BO126" s="19"/>
      <c r="BP126" s="19"/>
      <c r="BQ126" s="19"/>
      <c r="BR126" s="19"/>
      <c r="BT126" s="8"/>
      <c r="BU126" s="7"/>
      <c r="BV126" s="19"/>
      <c r="BW126" s="19"/>
      <c r="BX126" s="19"/>
      <c r="BY126" s="19"/>
      <c r="CA126" s="8"/>
      <c r="CB126" s="7"/>
      <c r="CC126" s="19"/>
      <c r="CD126" s="19"/>
      <c r="CE126" s="19"/>
      <c r="CF126" s="19"/>
      <c r="CH126" s="8"/>
      <c r="CI126" s="7"/>
      <c r="CJ126" s="19"/>
      <c r="CK126" s="19"/>
      <c r="CL126" s="19"/>
      <c r="CM126" s="19"/>
      <c r="CO126" s="8"/>
      <c r="CP126" s="7"/>
      <c r="CQ126" s="19"/>
      <c r="CR126" s="19"/>
      <c r="CS126" s="19"/>
      <c r="CT126" s="19"/>
      <c r="CV126" s="8"/>
      <c r="CW126" s="7"/>
      <c r="CX126" s="19"/>
      <c r="CY126" s="19"/>
      <c r="CZ126" s="19"/>
      <c r="DA126" s="19"/>
      <c r="DC126" s="8"/>
      <c r="DD126" s="7"/>
      <c r="DE126" s="19"/>
      <c r="DF126" s="19"/>
      <c r="DG126" s="19"/>
      <c r="DH126" s="19"/>
      <c r="DJ126" s="8"/>
      <c r="DK126" s="7"/>
      <c r="DL126" s="19"/>
      <c r="DM126" s="19"/>
      <c r="DN126" s="19"/>
      <c r="DO126" s="19"/>
      <c r="DQ126" s="8"/>
      <c r="DR126" s="7"/>
      <c r="DS126" s="19"/>
      <c r="DT126" s="19"/>
      <c r="DU126" s="19"/>
      <c r="DV126" s="19"/>
      <c r="DX126" s="8"/>
      <c r="DY126" s="7"/>
      <c r="DZ126" s="19"/>
      <c r="EA126" s="19"/>
      <c r="EB126" s="19"/>
      <c r="EC126" s="19"/>
      <c r="EE126" s="8"/>
      <c r="EF126" s="7"/>
      <c r="EG126" s="19"/>
      <c r="EH126" s="19"/>
      <c r="EI126" s="19"/>
      <c r="EJ126" s="19"/>
      <c r="EL126" s="8"/>
      <c r="EM126" s="7"/>
      <c r="EN126" s="19"/>
      <c r="EO126" s="19"/>
      <c r="EP126" s="19"/>
      <c r="EQ126" s="19"/>
      <c r="ES126" s="8"/>
      <c r="ET126" s="7"/>
      <c r="EU126" s="19"/>
      <c r="EV126" s="19"/>
      <c r="EW126" s="19"/>
      <c r="EX126" s="19"/>
      <c r="EZ126" s="8"/>
      <c r="FA126" s="7"/>
      <c r="FB126" s="19"/>
      <c r="FC126" s="19"/>
      <c r="FD126" s="19"/>
      <c r="FE126" s="19"/>
      <c r="FG126" s="8"/>
      <c r="FH126" s="7"/>
      <c r="FI126" s="19"/>
      <c r="FJ126" s="19"/>
      <c r="FK126" s="19"/>
      <c r="FL126" s="19"/>
      <c r="FN126" s="8"/>
      <c r="FO126" s="7"/>
      <c r="FP126" s="19"/>
      <c r="FQ126" s="19"/>
      <c r="FR126" s="19"/>
      <c r="FS126" s="19"/>
      <c r="FU126" s="8"/>
      <c r="FV126" s="7"/>
      <c r="FW126" s="19"/>
      <c r="FX126" s="19"/>
      <c r="FY126" s="19"/>
      <c r="FZ126" s="19"/>
      <c r="GB126" s="8"/>
      <c r="GC126" s="7"/>
      <c r="GD126" s="19"/>
      <c r="GE126" s="19"/>
      <c r="GF126" s="19"/>
      <c r="GG126" s="19"/>
      <c r="GI126" s="8"/>
      <c r="GJ126" s="7"/>
      <c r="GK126" s="19"/>
      <c r="GL126" s="19"/>
      <c r="GM126" s="19"/>
      <c r="GN126" s="19"/>
      <c r="GP126" s="8"/>
      <c r="GQ126" s="7"/>
      <c r="GR126" s="19"/>
      <c r="GS126" s="19"/>
      <c r="GT126" s="19"/>
      <c r="GU126" s="19"/>
      <c r="GW126" s="8"/>
      <c r="GX126" s="7"/>
      <c r="GY126" s="19"/>
      <c r="GZ126" s="19"/>
      <c r="HA126" s="19"/>
      <c r="HB126" s="19"/>
      <c r="HD126" s="8"/>
      <c r="HE126" s="7"/>
      <c r="HF126" s="19"/>
      <c r="HG126" s="19"/>
      <c r="HH126" s="19"/>
      <c r="HI126" s="19"/>
      <c r="HK126" s="8"/>
      <c r="HL126" s="7"/>
      <c r="HM126" s="19"/>
      <c r="HN126" s="19"/>
      <c r="HO126" s="19"/>
      <c r="HP126" s="19"/>
      <c r="HR126" s="8"/>
      <c r="HS126" s="7"/>
      <c r="HT126" s="19"/>
      <c r="HU126" s="19"/>
      <c r="HV126" s="19"/>
      <c r="HW126" s="19"/>
      <c r="HY126" s="8"/>
      <c r="HZ126" s="7"/>
      <c r="IA126" s="19"/>
      <c r="IB126" s="19"/>
      <c r="IC126" s="19"/>
      <c r="ID126" s="19"/>
      <c r="IF126" s="8"/>
      <c r="IG126" s="7"/>
      <c r="IH126" s="19"/>
      <c r="II126" s="19"/>
      <c r="IJ126" s="19"/>
      <c r="IK126" s="19"/>
      <c r="IM126" s="8"/>
      <c r="IN126" s="7"/>
      <c r="IO126" s="19"/>
      <c r="IP126" s="19"/>
      <c r="IQ126" s="19"/>
      <c r="IR126" s="19"/>
      <c r="IT126" s="8"/>
      <c r="IU126" s="7"/>
      <c r="IV126" s="19"/>
      <c r="IW126" s="19"/>
      <c r="IX126" s="19"/>
      <c r="IY126" s="19"/>
      <c r="JA126" s="8"/>
      <c r="JB126" s="7"/>
      <c r="JC126" s="19"/>
      <c r="JD126" s="19"/>
      <c r="JE126" s="19"/>
      <c r="JF126" s="19"/>
      <c r="JH126" s="8"/>
      <c r="JI126" s="7"/>
      <c r="JJ126" s="19"/>
      <c r="JK126" s="19"/>
      <c r="JL126" s="19"/>
      <c r="JM126" s="19"/>
      <c r="JO126" s="8"/>
      <c r="JP126" s="7"/>
      <c r="JQ126" s="19"/>
      <c r="JR126" s="19"/>
      <c r="JS126" s="19"/>
      <c r="JT126" s="19"/>
      <c r="JV126" s="8"/>
      <c r="JW126" s="7"/>
      <c r="JX126" s="19"/>
      <c r="JY126" s="19"/>
      <c r="JZ126" s="19"/>
      <c r="KA126" s="19"/>
      <c r="KC126" s="8"/>
      <c r="KD126" s="7"/>
      <c r="KE126" s="19"/>
      <c r="KF126" s="19"/>
      <c r="KG126" s="19"/>
      <c r="KH126" s="19"/>
      <c r="KJ126" s="8"/>
      <c r="KK126" s="7"/>
      <c r="KL126" s="19"/>
      <c r="KM126" s="19"/>
      <c r="KN126" s="19"/>
      <c r="KO126" s="19"/>
      <c r="KQ126" s="8"/>
      <c r="KR126" s="7"/>
      <c r="KS126" s="19"/>
      <c r="KT126" s="19"/>
      <c r="KU126" s="19"/>
      <c r="KV126" s="19"/>
      <c r="KX126" s="8"/>
      <c r="KY126" s="7"/>
      <c r="KZ126" s="19"/>
      <c r="LA126" s="19"/>
      <c r="LB126" s="19"/>
      <c r="LC126" s="19"/>
      <c r="LE126" s="8"/>
      <c r="LF126" s="7"/>
      <c r="LG126" s="19"/>
      <c r="LH126" s="19"/>
      <c r="LI126" s="19"/>
      <c r="LJ126" s="19"/>
      <c r="LL126" s="8"/>
      <c r="LM126" s="7"/>
      <c r="LN126" s="19"/>
      <c r="LO126" s="19"/>
      <c r="LP126" s="19"/>
      <c r="LQ126" s="19"/>
      <c r="LS126" s="8"/>
      <c r="LT126" s="7"/>
      <c r="LU126" s="19"/>
      <c r="LV126" s="19"/>
      <c r="LW126" s="19"/>
      <c r="LX126" s="19"/>
      <c r="LZ126" s="8"/>
      <c r="MA126" s="7"/>
      <c r="MB126" s="19"/>
      <c r="MC126" s="19"/>
      <c r="MD126" s="19"/>
      <c r="ME126" s="19"/>
      <c r="MG126" s="8"/>
      <c r="MH126" s="7"/>
      <c r="MI126" s="19"/>
      <c r="MJ126" s="19"/>
      <c r="MK126" s="19"/>
      <c r="ML126" s="19"/>
      <c r="MN126" s="8"/>
      <c r="MO126" s="7"/>
      <c r="MP126" s="19"/>
      <c r="MQ126" s="19"/>
      <c r="MR126" s="19"/>
      <c r="MS126" s="19"/>
      <c r="MU126" s="8"/>
      <c r="MV126" s="7"/>
      <c r="MW126" s="19"/>
      <c r="MX126" s="19"/>
      <c r="MY126" s="19"/>
      <c r="MZ126" s="19"/>
      <c r="NB126" s="8"/>
      <c r="NC126" s="7"/>
      <c r="ND126" s="19"/>
      <c r="NE126" s="19"/>
      <c r="NF126" s="19"/>
      <c r="NG126" s="19"/>
      <c r="NI126" s="8"/>
      <c r="NJ126" s="7"/>
      <c r="NK126" s="19"/>
      <c r="NL126" s="19"/>
      <c r="NM126" s="19"/>
      <c r="NN126" s="19"/>
      <c r="NP126" s="8"/>
      <c r="NQ126" s="7"/>
      <c r="NR126" s="19"/>
      <c r="NS126" s="19"/>
      <c r="NT126" s="19"/>
      <c r="NU126" s="19"/>
      <c r="NW126" s="8"/>
      <c r="NX126" s="7"/>
      <c r="NY126" s="19"/>
      <c r="NZ126" s="19"/>
      <c r="OA126" s="19"/>
      <c r="OB126" s="19"/>
      <c r="OD126" s="8"/>
      <c r="OE126" s="7"/>
      <c r="OF126" s="19"/>
      <c r="OG126" s="19"/>
      <c r="OH126" s="19"/>
      <c r="OI126" s="19"/>
      <c r="OK126" s="8"/>
      <c r="OL126" s="7"/>
      <c r="OM126" s="19"/>
      <c r="ON126" s="19"/>
      <c r="OO126" s="19"/>
      <c r="OP126" s="19"/>
      <c r="OR126" s="8"/>
      <c r="OS126" s="7"/>
      <c r="OT126" s="19"/>
      <c r="OU126" s="19"/>
      <c r="OV126" s="19"/>
      <c r="OW126" s="19"/>
      <c r="OY126" s="8"/>
      <c r="OZ126" s="7"/>
      <c r="PA126" s="19"/>
      <c r="PB126" s="19"/>
      <c r="PC126" s="19"/>
      <c r="PD126" s="19"/>
      <c r="PF126" s="8"/>
      <c r="PG126" s="7"/>
      <c r="PH126" s="19"/>
      <c r="PI126" s="19"/>
      <c r="PJ126" s="19"/>
      <c r="PK126" s="19"/>
      <c r="PM126" s="8"/>
    </row>
    <row r="127" spans="1:429" s="1" customFormat="1" ht="26" customHeight="1" outlineLevel="1">
      <c r="B127" s="471"/>
      <c r="C127" s="7"/>
      <c r="D127" s="19"/>
      <c r="E127" s="19"/>
      <c r="F127" s="19"/>
      <c r="G127" s="19"/>
      <c r="I127" s="8"/>
      <c r="J127" s="7"/>
      <c r="K127" s="19"/>
      <c r="L127" s="19"/>
      <c r="M127" s="19"/>
      <c r="N127" s="19"/>
      <c r="P127" s="8"/>
      <c r="Q127" s="7"/>
      <c r="R127" s="19"/>
      <c r="S127" s="19"/>
      <c r="T127" s="19"/>
      <c r="U127" s="19"/>
      <c r="W127" s="8"/>
      <c r="X127" s="7"/>
      <c r="Y127" s="19"/>
      <c r="Z127" s="19"/>
      <c r="AA127" s="19"/>
      <c r="AB127" s="19"/>
      <c r="AD127" s="8"/>
      <c r="AE127" s="7"/>
      <c r="AF127" s="19"/>
      <c r="AG127" s="19"/>
      <c r="AH127" s="19"/>
      <c r="AI127" s="19"/>
      <c r="AK127" s="8"/>
      <c r="AL127" s="7"/>
      <c r="AM127" s="19"/>
      <c r="AN127" s="19"/>
      <c r="AO127" s="19"/>
      <c r="AP127" s="19"/>
      <c r="AR127" s="8"/>
      <c r="AS127" s="7"/>
      <c r="AT127" s="19"/>
      <c r="AU127" s="19"/>
      <c r="AV127" s="19"/>
      <c r="AW127" s="19"/>
      <c r="AY127" s="8"/>
      <c r="AZ127" s="7"/>
      <c r="BA127" s="19"/>
      <c r="BB127" s="19"/>
      <c r="BC127" s="19"/>
      <c r="BD127" s="19"/>
      <c r="BF127" s="8"/>
      <c r="BG127" s="7"/>
      <c r="BH127" s="19"/>
      <c r="BI127" s="19"/>
      <c r="BJ127" s="19"/>
      <c r="BK127" s="19"/>
      <c r="BM127" s="8"/>
      <c r="BN127" s="7"/>
      <c r="BO127" s="19"/>
      <c r="BP127" s="19"/>
      <c r="BQ127" s="19"/>
      <c r="BR127" s="19"/>
      <c r="BT127" s="8"/>
      <c r="BU127" s="7"/>
      <c r="BV127" s="19"/>
      <c r="BW127" s="19"/>
      <c r="BX127" s="19"/>
      <c r="BY127" s="19"/>
      <c r="CA127" s="8"/>
      <c r="CB127" s="7"/>
      <c r="CC127" s="19"/>
      <c r="CD127" s="19"/>
      <c r="CE127" s="19"/>
      <c r="CF127" s="19"/>
      <c r="CH127" s="8"/>
      <c r="CI127" s="7"/>
      <c r="CJ127" s="19"/>
      <c r="CK127" s="19"/>
      <c r="CL127" s="19"/>
      <c r="CM127" s="19"/>
      <c r="CO127" s="8"/>
      <c r="CP127" s="7"/>
      <c r="CQ127" s="19"/>
      <c r="CR127" s="19"/>
      <c r="CS127" s="19"/>
      <c r="CT127" s="19"/>
      <c r="CV127" s="8"/>
      <c r="CW127" s="7"/>
      <c r="CX127" s="19"/>
      <c r="CY127" s="19"/>
      <c r="CZ127" s="19"/>
      <c r="DA127" s="19"/>
      <c r="DC127" s="8"/>
      <c r="DD127" s="7"/>
      <c r="DE127" s="19"/>
      <c r="DF127" s="19"/>
      <c r="DG127" s="19"/>
      <c r="DH127" s="19"/>
      <c r="DJ127" s="8"/>
      <c r="DK127" s="7"/>
      <c r="DL127" s="19"/>
      <c r="DM127" s="19"/>
      <c r="DN127" s="19"/>
      <c r="DO127" s="19"/>
      <c r="DQ127" s="8"/>
      <c r="DR127" s="7"/>
      <c r="DS127" s="19"/>
      <c r="DT127" s="19"/>
      <c r="DU127" s="19"/>
      <c r="DV127" s="19"/>
      <c r="DX127" s="8"/>
      <c r="DY127" s="7"/>
      <c r="DZ127" s="19"/>
      <c r="EA127" s="19"/>
      <c r="EB127" s="19"/>
      <c r="EC127" s="19"/>
      <c r="EE127" s="8"/>
      <c r="EF127" s="7"/>
      <c r="EG127" s="19"/>
      <c r="EH127" s="19"/>
      <c r="EI127" s="19"/>
      <c r="EJ127" s="19"/>
      <c r="EL127" s="8"/>
      <c r="EM127" s="7"/>
      <c r="EN127" s="19"/>
      <c r="EO127" s="19"/>
      <c r="EP127" s="19"/>
      <c r="EQ127" s="19"/>
      <c r="ES127" s="8"/>
      <c r="ET127" s="7"/>
      <c r="EU127" s="19"/>
      <c r="EV127" s="19"/>
      <c r="EW127" s="19"/>
      <c r="EX127" s="19"/>
      <c r="EZ127" s="8"/>
      <c r="FA127" s="7"/>
      <c r="FB127" s="19"/>
      <c r="FC127" s="19"/>
      <c r="FD127" s="19"/>
      <c r="FE127" s="19"/>
      <c r="FG127" s="8"/>
      <c r="FH127" s="7"/>
      <c r="FI127" s="19"/>
      <c r="FJ127" s="19"/>
      <c r="FK127" s="19"/>
      <c r="FL127" s="19"/>
      <c r="FN127" s="8"/>
      <c r="FO127" s="7"/>
      <c r="FP127" s="19"/>
      <c r="FQ127" s="19"/>
      <c r="FR127" s="19"/>
      <c r="FS127" s="19"/>
      <c r="FU127" s="8"/>
      <c r="FV127" s="7"/>
      <c r="FW127" s="19"/>
      <c r="FX127" s="19"/>
      <c r="FY127" s="19"/>
      <c r="FZ127" s="19"/>
      <c r="GB127" s="8"/>
      <c r="GC127" s="7"/>
      <c r="GD127" s="19"/>
      <c r="GE127" s="19"/>
      <c r="GF127" s="19"/>
      <c r="GG127" s="19"/>
      <c r="GI127" s="8"/>
      <c r="GJ127" s="7"/>
      <c r="GK127" s="19"/>
      <c r="GL127" s="19"/>
      <c r="GM127" s="19"/>
      <c r="GN127" s="19"/>
      <c r="GP127" s="8"/>
      <c r="GQ127" s="7"/>
      <c r="GR127" s="19"/>
      <c r="GS127" s="19"/>
      <c r="GT127" s="19"/>
      <c r="GU127" s="19"/>
      <c r="GW127" s="8"/>
      <c r="GX127" s="7"/>
      <c r="GY127" s="19"/>
      <c r="GZ127" s="19"/>
      <c r="HA127" s="19"/>
      <c r="HB127" s="19"/>
      <c r="HD127" s="8"/>
      <c r="HE127" s="7"/>
      <c r="HF127" s="19"/>
      <c r="HG127" s="19"/>
      <c r="HH127" s="19"/>
      <c r="HI127" s="19"/>
      <c r="HK127" s="8"/>
      <c r="HL127" s="7"/>
      <c r="HM127" s="19"/>
      <c r="HN127" s="19"/>
      <c r="HO127" s="19"/>
      <c r="HP127" s="19"/>
      <c r="HR127" s="8"/>
      <c r="HS127" s="7"/>
      <c r="HT127" s="19"/>
      <c r="HU127" s="19"/>
      <c r="HV127" s="19"/>
      <c r="HW127" s="19"/>
      <c r="HY127" s="8"/>
      <c r="HZ127" s="7"/>
      <c r="IA127" s="19"/>
      <c r="IB127" s="19"/>
      <c r="IC127" s="19"/>
      <c r="ID127" s="19"/>
      <c r="IF127" s="8"/>
      <c r="IG127" s="7"/>
      <c r="IH127" s="19"/>
      <c r="II127" s="19"/>
      <c r="IJ127" s="19"/>
      <c r="IK127" s="19"/>
      <c r="IM127" s="8"/>
      <c r="IN127" s="7"/>
      <c r="IO127" s="19"/>
      <c r="IP127" s="19"/>
      <c r="IQ127" s="19"/>
      <c r="IR127" s="19"/>
      <c r="IT127" s="8"/>
      <c r="IU127" s="7"/>
      <c r="IV127" s="19"/>
      <c r="IW127" s="19"/>
      <c r="IX127" s="19"/>
      <c r="IY127" s="19"/>
      <c r="JA127" s="8"/>
      <c r="JB127" s="7"/>
      <c r="JC127" s="19"/>
      <c r="JD127" s="19"/>
      <c r="JE127" s="19"/>
      <c r="JF127" s="19"/>
      <c r="JH127" s="8"/>
      <c r="JI127" s="7"/>
      <c r="JJ127" s="19"/>
      <c r="JK127" s="19"/>
      <c r="JL127" s="19"/>
      <c r="JM127" s="19"/>
      <c r="JO127" s="8"/>
      <c r="JP127" s="7"/>
      <c r="JQ127" s="19"/>
      <c r="JR127" s="19"/>
      <c r="JS127" s="19"/>
      <c r="JT127" s="19"/>
      <c r="JV127" s="8"/>
      <c r="JW127" s="7"/>
      <c r="JX127" s="19"/>
      <c r="JY127" s="19"/>
      <c r="JZ127" s="19"/>
      <c r="KA127" s="19"/>
      <c r="KC127" s="8"/>
      <c r="KD127" s="7"/>
      <c r="KE127" s="19"/>
      <c r="KF127" s="19"/>
      <c r="KG127" s="19"/>
      <c r="KH127" s="19"/>
      <c r="KJ127" s="8"/>
      <c r="KK127" s="7"/>
      <c r="KL127" s="19"/>
      <c r="KM127" s="19"/>
      <c r="KN127" s="19"/>
      <c r="KO127" s="19"/>
      <c r="KQ127" s="8"/>
      <c r="KR127" s="7"/>
      <c r="KS127" s="19"/>
      <c r="KT127" s="19"/>
      <c r="KU127" s="19"/>
      <c r="KV127" s="19"/>
      <c r="KX127" s="8"/>
      <c r="KY127" s="7"/>
      <c r="KZ127" s="19"/>
      <c r="LA127" s="19"/>
      <c r="LB127" s="19"/>
      <c r="LC127" s="19"/>
      <c r="LE127" s="8"/>
      <c r="LF127" s="7"/>
      <c r="LG127" s="19"/>
      <c r="LH127" s="19"/>
      <c r="LI127" s="19"/>
      <c r="LJ127" s="19"/>
      <c r="LL127" s="8"/>
      <c r="LM127" s="7"/>
      <c r="LN127" s="19"/>
      <c r="LO127" s="19"/>
      <c r="LP127" s="19"/>
      <c r="LQ127" s="19"/>
      <c r="LS127" s="8"/>
      <c r="LT127" s="7"/>
      <c r="LU127" s="19"/>
      <c r="LV127" s="19"/>
      <c r="LW127" s="19"/>
      <c r="LX127" s="19"/>
      <c r="LZ127" s="8"/>
      <c r="MA127" s="7"/>
      <c r="MB127" s="19"/>
      <c r="MC127" s="19"/>
      <c r="MD127" s="19"/>
      <c r="ME127" s="19"/>
      <c r="MG127" s="8"/>
      <c r="MH127" s="7"/>
      <c r="MI127" s="19"/>
      <c r="MJ127" s="19"/>
      <c r="MK127" s="19"/>
      <c r="ML127" s="19"/>
      <c r="MN127" s="8"/>
      <c r="MO127" s="7"/>
      <c r="MP127" s="19"/>
      <c r="MQ127" s="19"/>
      <c r="MR127" s="19"/>
      <c r="MS127" s="19"/>
      <c r="MU127" s="8"/>
      <c r="MV127" s="7"/>
      <c r="MW127" s="19"/>
      <c r="MX127" s="19"/>
      <c r="MY127" s="19"/>
      <c r="MZ127" s="19"/>
      <c r="NB127" s="8"/>
      <c r="NC127" s="7"/>
      <c r="ND127" s="19"/>
      <c r="NE127" s="19"/>
      <c r="NF127" s="19"/>
      <c r="NG127" s="19"/>
      <c r="NI127" s="8"/>
      <c r="NJ127" s="7"/>
      <c r="NK127" s="19"/>
      <c r="NL127" s="19"/>
      <c r="NM127" s="19"/>
      <c r="NN127" s="19"/>
      <c r="NP127" s="8"/>
      <c r="NQ127" s="7"/>
      <c r="NR127" s="19"/>
      <c r="NS127" s="19"/>
      <c r="NT127" s="19"/>
      <c r="NU127" s="19"/>
      <c r="NW127" s="8"/>
      <c r="NX127" s="7"/>
      <c r="NY127" s="19"/>
      <c r="NZ127" s="19"/>
      <c r="OA127" s="19"/>
      <c r="OB127" s="19"/>
      <c r="OD127" s="8"/>
      <c r="OE127" s="7"/>
      <c r="OF127" s="19"/>
      <c r="OG127" s="19"/>
      <c r="OH127" s="19"/>
      <c r="OI127" s="19"/>
      <c r="OK127" s="8"/>
      <c r="OL127" s="7"/>
      <c r="OM127" s="19"/>
      <c r="ON127" s="19"/>
      <c r="OO127" s="19"/>
      <c r="OP127" s="19"/>
      <c r="OR127" s="8"/>
      <c r="OS127" s="7"/>
      <c r="OT127" s="19"/>
      <c r="OU127" s="19"/>
      <c r="OV127" s="19"/>
      <c r="OW127" s="19"/>
      <c r="OY127" s="8"/>
      <c r="OZ127" s="7"/>
      <c r="PA127" s="19"/>
      <c r="PB127" s="19"/>
      <c r="PC127" s="19"/>
      <c r="PD127" s="19"/>
      <c r="PF127" s="8"/>
      <c r="PG127" s="7"/>
      <c r="PH127" s="19"/>
      <c r="PI127" s="19"/>
      <c r="PJ127" s="19"/>
      <c r="PK127" s="19"/>
      <c r="PM127" s="8"/>
    </row>
    <row r="128" spans="1:429" s="1" customFormat="1" ht="26" customHeight="1" outlineLevel="1">
      <c r="B128" s="471"/>
      <c r="C128" s="7"/>
      <c r="D128" s="19"/>
      <c r="E128" s="19"/>
      <c r="F128" s="19"/>
      <c r="G128" s="19"/>
      <c r="I128" s="8"/>
      <c r="J128" s="7"/>
      <c r="K128" s="19"/>
      <c r="L128" s="19"/>
      <c r="M128" s="19"/>
      <c r="N128" s="19"/>
      <c r="P128" s="8"/>
      <c r="Q128" s="7"/>
      <c r="R128" s="19"/>
      <c r="S128" s="19"/>
      <c r="T128" s="19"/>
      <c r="U128" s="19"/>
      <c r="W128" s="8"/>
      <c r="X128" s="7"/>
      <c r="Y128" s="19"/>
      <c r="Z128" s="19"/>
      <c r="AA128" s="19"/>
      <c r="AB128" s="19"/>
      <c r="AD128" s="8"/>
      <c r="AE128" s="7"/>
      <c r="AF128" s="19"/>
      <c r="AG128" s="19"/>
      <c r="AH128" s="19"/>
      <c r="AI128" s="19"/>
      <c r="AK128" s="8"/>
      <c r="AL128" s="7"/>
      <c r="AM128" s="19"/>
      <c r="AN128" s="19"/>
      <c r="AO128" s="19"/>
      <c r="AP128" s="19"/>
      <c r="AR128" s="8"/>
      <c r="AS128" s="7"/>
      <c r="AT128" s="19"/>
      <c r="AU128" s="19"/>
      <c r="AV128" s="19"/>
      <c r="AW128" s="19"/>
      <c r="AY128" s="8"/>
      <c r="AZ128" s="7"/>
      <c r="BA128" s="19"/>
      <c r="BB128" s="19"/>
      <c r="BC128" s="19"/>
      <c r="BD128" s="19"/>
      <c r="BF128" s="8"/>
      <c r="BG128" s="7"/>
      <c r="BH128" s="19"/>
      <c r="BI128" s="19"/>
      <c r="BJ128" s="19"/>
      <c r="BK128" s="19"/>
      <c r="BM128" s="8"/>
      <c r="BN128" s="7"/>
      <c r="BO128" s="19"/>
      <c r="BP128" s="19"/>
      <c r="BQ128" s="19"/>
      <c r="BR128" s="19"/>
      <c r="BT128" s="8"/>
      <c r="BU128" s="7"/>
      <c r="BV128" s="19"/>
      <c r="BW128" s="19"/>
      <c r="BX128" s="19"/>
      <c r="BY128" s="19"/>
      <c r="CA128" s="8"/>
      <c r="CB128" s="7"/>
      <c r="CC128" s="19"/>
      <c r="CD128" s="19"/>
      <c r="CE128" s="19"/>
      <c r="CF128" s="19"/>
      <c r="CH128" s="8"/>
      <c r="CI128" s="7"/>
      <c r="CJ128" s="19"/>
      <c r="CK128" s="19"/>
      <c r="CL128" s="19"/>
      <c r="CM128" s="19"/>
      <c r="CO128" s="8"/>
      <c r="CP128" s="7"/>
      <c r="CQ128" s="19"/>
      <c r="CR128" s="19"/>
      <c r="CS128" s="19"/>
      <c r="CT128" s="19"/>
      <c r="CV128" s="8"/>
      <c r="CW128" s="7"/>
      <c r="CX128" s="19"/>
      <c r="CY128" s="19"/>
      <c r="CZ128" s="19"/>
      <c r="DA128" s="19"/>
      <c r="DC128" s="8"/>
      <c r="DD128" s="7"/>
      <c r="DE128" s="19"/>
      <c r="DF128" s="19"/>
      <c r="DG128" s="19"/>
      <c r="DH128" s="19"/>
      <c r="DJ128" s="8"/>
      <c r="DK128" s="7"/>
      <c r="DL128" s="19"/>
      <c r="DM128" s="19"/>
      <c r="DN128" s="19"/>
      <c r="DO128" s="19"/>
      <c r="DQ128" s="8"/>
      <c r="DR128" s="7"/>
      <c r="DS128" s="19"/>
      <c r="DT128" s="19"/>
      <c r="DU128" s="19"/>
      <c r="DV128" s="19"/>
      <c r="DX128" s="8"/>
      <c r="DY128" s="7"/>
      <c r="DZ128" s="19"/>
      <c r="EA128" s="19"/>
      <c r="EB128" s="19"/>
      <c r="EC128" s="19"/>
      <c r="EE128" s="8"/>
      <c r="EF128" s="7"/>
      <c r="EG128" s="19"/>
      <c r="EH128" s="19"/>
      <c r="EI128" s="19"/>
      <c r="EJ128" s="19"/>
      <c r="EL128" s="8"/>
      <c r="EM128" s="7"/>
      <c r="EN128" s="19"/>
      <c r="EO128" s="19"/>
      <c r="EP128" s="19"/>
      <c r="EQ128" s="19"/>
      <c r="ES128" s="8"/>
      <c r="ET128" s="7"/>
      <c r="EU128" s="19"/>
      <c r="EV128" s="19"/>
      <c r="EW128" s="19"/>
      <c r="EX128" s="19"/>
      <c r="EZ128" s="8"/>
      <c r="FA128" s="7"/>
      <c r="FB128" s="19"/>
      <c r="FC128" s="19"/>
      <c r="FD128" s="19"/>
      <c r="FE128" s="19"/>
      <c r="FG128" s="8"/>
      <c r="FH128" s="7"/>
      <c r="FI128" s="19"/>
      <c r="FJ128" s="19"/>
      <c r="FK128" s="19"/>
      <c r="FL128" s="19"/>
      <c r="FN128" s="8"/>
      <c r="FO128" s="7"/>
      <c r="FP128" s="19"/>
      <c r="FQ128" s="19"/>
      <c r="FR128" s="19"/>
      <c r="FS128" s="19"/>
      <c r="FU128" s="8"/>
      <c r="FV128" s="7"/>
      <c r="FW128" s="19"/>
      <c r="FX128" s="19"/>
      <c r="FY128" s="19"/>
      <c r="FZ128" s="19"/>
      <c r="GB128" s="8"/>
      <c r="GC128" s="7"/>
      <c r="GD128" s="19"/>
      <c r="GE128" s="19"/>
      <c r="GF128" s="19"/>
      <c r="GG128" s="19"/>
      <c r="GI128" s="8"/>
      <c r="GJ128" s="7"/>
      <c r="GK128" s="19"/>
      <c r="GL128" s="19"/>
      <c r="GM128" s="19"/>
      <c r="GN128" s="19"/>
      <c r="GP128" s="8"/>
      <c r="GQ128" s="7"/>
      <c r="GR128" s="19"/>
      <c r="GS128" s="19"/>
      <c r="GT128" s="19"/>
      <c r="GU128" s="19"/>
      <c r="GW128" s="8"/>
      <c r="GX128" s="7"/>
      <c r="GY128" s="19"/>
      <c r="GZ128" s="19"/>
      <c r="HA128" s="19"/>
      <c r="HB128" s="19"/>
      <c r="HD128" s="8"/>
      <c r="HE128" s="7"/>
      <c r="HF128" s="19"/>
      <c r="HG128" s="19"/>
      <c r="HH128" s="19"/>
      <c r="HI128" s="19"/>
      <c r="HK128" s="8"/>
      <c r="HL128" s="7"/>
      <c r="HM128" s="19"/>
      <c r="HN128" s="19"/>
      <c r="HO128" s="19"/>
      <c r="HP128" s="19"/>
      <c r="HR128" s="8"/>
      <c r="HS128" s="7"/>
      <c r="HT128" s="19"/>
      <c r="HU128" s="19"/>
      <c r="HV128" s="19"/>
      <c r="HW128" s="19"/>
      <c r="HY128" s="8"/>
      <c r="HZ128" s="7"/>
      <c r="IA128" s="19"/>
      <c r="IB128" s="19"/>
      <c r="IC128" s="19"/>
      <c r="ID128" s="19"/>
      <c r="IF128" s="8"/>
      <c r="IG128" s="7"/>
      <c r="IH128" s="19"/>
      <c r="II128" s="19"/>
      <c r="IJ128" s="19"/>
      <c r="IK128" s="19"/>
      <c r="IM128" s="8"/>
      <c r="IN128" s="7"/>
      <c r="IO128" s="19"/>
      <c r="IP128" s="19"/>
      <c r="IQ128" s="19"/>
      <c r="IR128" s="19"/>
      <c r="IT128" s="8"/>
      <c r="IU128" s="7"/>
      <c r="IV128" s="19"/>
      <c r="IW128" s="19"/>
      <c r="IX128" s="19"/>
      <c r="IY128" s="19"/>
      <c r="JA128" s="8"/>
      <c r="JB128" s="7"/>
      <c r="JC128" s="19"/>
      <c r="JD128" s="19"/>
      <c r="JE128" s="19"/>
      <c r="JF128" s="19"/>
      <c r="JH128" s="8"/>
      <c r="JI128" s="7"/>
      <c r="JJ128" s="19"/>
      <c r="JK128" s="19"/>
      <c r="JL128" s="19"/>
      <c r="JM128" s="19"/>
      <c r="JO128" s="8"/>
      <c r="JP128" s="7"/>
      <c r="JQ128" s="19"/>
      <c r="JR128" s="19"/>
      <c r="JS128" s="19"/>
      <c r="JT128" s="19"/>
      <c r="JV128" s="8"/>
      <c r="JW128" s="7"/>
      <c r="JX128" s="19"/>
      <c r="JY128" s="19"/>
      <c r="JZ128" s="19"/>
      <c r="KA128" s="19"/>
      <c r="KC128" s="8"/>
      <c r="KD128" s="7"/>
      <c r="KE128" s="19"/>
      <c r="KF128" s="19"/>
      <c r="KG128" s="19"/>
      <c r="KH128" s="19"/>
      <c r="KJ128" s="8"/>
      <c r="KK128" s="7"/>
      <c r="KL128" s="19"/>
      <c r="KM128" s="19"/>
      <c r="KN128" s="19"/>
      <c r="KO128" s="19"/>
      <c r="KQ128" s="8"/>
      <c r="KR128" s="7"/>
      <c r="KS128" s="19"/>
      <c r="KT128" s="19"/>
      <c r="KU128" s="19"/>
      <c r="KV128" s="19"/>
      <c r="KX128" s="8"/>
      <c r="KY128" s="7"/>
      <c r="KZ128" s="19"/>
      <c r="LA128" s="19"/>
      <c r="LB128" s="19"/>
      <c r="LC128" s="19"/>
      <c r="LE128" s="8"/>
      <c r="LF128" s="7"/>
      <c r="LG128" s="19"/>
      <c r="LH128" s="19"/>
      <c r="LI128" s="19"/>
      <c r="LJ128" s="19"/>
      <c r="LL128" s="8"/>
      <c r="LM128" s="7"/>
      <c r="LN128" s="19"/>
      <c r="LO128" s="19"/>
      <c r="LP128" s="19"/>
      <c r="LQ128" s="19"/>
      <c r="LS128" s="8"/>
      <c r="LT128" s="7"/>
      <c r="LU128" s="19"/>
      <c r="LV128" s="19"/>
      <c r="LW128" s="19"/>
      <c r="LX128" s="19"/>
      <c r="LZ128" s="8"/>
      <c r="MA128" s="7"/>
      <c r="MB128" s="19"/>
      <c r="MC128" s="19"/>
      <c r="MD128" s="19"/>
      <c r="ME128" s="19"/>
      <c r="MG128" s="8"/>
      <c r="MH128" s="7"/>
      <c r="MI128" s="19"/>
      <c r="MJ128" s="19"/>
      <c r="MK128" s="19"/>
      <c r="ML128" s="19"/>
      <c r="MN128" s="8"/>
      <c r="MO128" s="7"/>
      <c r="MP128" s="19"/>
      <c r="MQ128" s="19"/>
      <c r="MR128" s="19"/>
      <c r="MS128" s="19"/>
      <c r="MU128" s="8"/>
      <c r="MV128" s="7"/>
      <c r="MW128" s="19"/>
      <c r="MX128" s="19"/>
      <c r="MY128" s="19"/>
      <c r="MZ128" s="19"/>
      <c r="NB128" s="8"/>
      <c r="NC128" s="7"/>
      <c r="ND128" s="19"/>
      <c r="NE128" s="19"/>
      <c r="NF128" s="19"/>
      <c r="NG128" s="19"/>
      <c r="NI128" s="8"/>
      <c r="NJ128" s="7"/>
      <c r="NK128" s="19"/>
      <c r="NL128" s="19"/>
      <c r="NM128" s="19"/>
      <c r="NN128" s="19"/>
      <c r="NP128" s="8"/>
      <c r="NQ128" s="7"/>
      <c r="NR128" s="19"/>
      <c r="NS128" s="19"/>
      <c r="NT128" s="19"/>
      <c r="NU128" s="19"/>
      <c r="NW128" s="8"/>
      <c r="NX128" s="7"/>
      <c r="NY128" s="19"/>
      <c r="NZ128" s="19"/>
      <c r="OA128" s="19"/>
      <c r="OB128" s="19"/>
      <c r="OD128" s="8"/>
      <c r="OE128" s="7"/>
      <c r="OF128" s="19"/>
      <c r="OG128" s="19"/>
      <c r="OH128" s="19"/>
      <c r="OI128" s="19"/>
      <c r="OK128" s="8"/>
      <c r="OL128" s="7"/>
      <c r="OM128" s="19"/>
      <c r="ON128" s="19"/>
      <c r="OO128" s="19"/>
      <c r="OP128" s="19"/>
      <c r="OR128" s="8"/>
      <c r="OS128" s="7"/>
      <c r="OT128" s="19"/>
      <c r="OU128" s="19"/>
      <c r="OV128" s="19"/>
      <c r="OW128" s="19"/>
      <c r="OY128" s="8"/>
      <c r="OZ128" s="7"/>
      <c r="PA128" s="19"/>
      <c r="PB128" s="19"/>
      <c r="PC128" s="19"/>
      <c r="PD128" s="19"/>
      <c r="PF128" s="8"/>
      <c r="PG128" s="7"/>
      <c r="PH128" s="19"/>
      <c r="PI128" s="19"/>
      <c r="PJ128" s="19"/>
      <c r="PK128" s="19"/>
      <c r="PM128" s="8"/>
    </row>
    <row r="129" spans="1:429" s="1" customFormat="1" ht="26" customHeight="1" outlineLevel="1">
      <c r="B129" s="471"/>
      <c r="C129" s="7"/>
      <c r="D129" s="19"/>
      <c r="E129" s="19"/>
      <c r="F129" s="19"/>
      <c r="G129" s="19"/>
      <c r="I129" s="8"/>
      <c r="J129" s="7"/>
      <c r="K129" s="19"/>
      <c r="L129" s="19"/>
      <c r="M129" s="19"/>
      <c r="N129" s="19"/>
      <c r="P129" s="8"/>
      <c r="Q129" s="7"/>
      <c r="R129" s="19"/>
      <c r="S129" s="19"/>
      <c r="T129" s="19"/>
      <c r="U129" s="19"/>
      <c r="W129" s="8"/>
      <c r="X129" s="7"/>
      <c r="Y129" s="19"/>
      <c r="Z129" s="19"/>
      <c r="AA129" s="19"/>
      <c r="AB129" s="19"/>
      <c r="AD129" s="8"/>
      <c r="AE129" s="7"/>
      <c r="AF129" s="19"/>
      <c r="AG129" s="19"/>
      <c r="AH129" s="19"/>
      <c r="AI129" s="19"/>
      <c r="AK129" s="8"/>
      <c r="AL129" s="7"/>
      <c r="AM129" s="19"/>
      <c r="AN129" s="19"/>
      <c r="AO129" s="19"/>
      <c r="AP129" s="19"/>
      <c r="AR129" s="8"/>
      <c r="AS129" s="7"/>
      <c r="AT129" s="19"/>
      <c r="AU129" s="19"/>
      <c r="AV129" s="19"/>
      <c r="AW129" s="19"/>
      <c r="AY129" s="8"/>
      <c r="AZ129" s="7"/>
      <c r="BA129" s="19"/>
      <c r="BB129" s="19"/>
      <c r="BC129" s="19"/>
      <c r="BD129" s="19"/>
      <c r="BF129" s="8"/>
      <c r="BG129" s="7"/>
      <c r="BH129" s="19"/>
      <c r="BI129" s="19"/>
      <c r="BJ129" s="19"/>
      <c r="BK129" s="19"/>
      <c r="BM129" s="8"/>
      <c r="BN129" s="7"/>
      <c r="BO129" s="19"/>
      <c r="BP129" s="19"/>
      <c r="BQ129" s="19"/>
      <c r="BR129" s="19"/>
      <c r="BT129" s="8"/>
      <c r="BU129" s="7"/>
      <c r="BV129" s="19"/>
      <c r="BW129" s="19"/>
      <c r="BX129" s="19"/>
      <c r="BY129" s="19"/>
      <c r="CA129" s="8"/>
      <c r="CB129" s="7"/>
      <c r="CC129" s="19"/>
      <c r="CD129" s="19"/>
      <c r="CE129" s="19"/>
      <c r="CF129" s="19"/>
      <c r="CH129" s="8"/>
      <c r="CI129" s="7"/>
      <c r="CJ129" s="19"/>
      <c r="CK129" s="19"/>
      <c r="CL129" s="19"/>
      <c r="CM129" s="19"/>
      <c r="CO129" s="8"/>
      <c r="CP129" s="7"/>
      <c r="CQ129" s="19"/>
      <c r="CR129" s="19"/>
      <c r="CS129" s="19"/>
      <c r="CT129" s="19"/>
      <c r="CV129" s="8"/>
      <c r="CW129" s="7"/>
      <c r="CX129" s="19"/>
      <c r="CY129" s="19"/>
      <c r="CZ129" s="19"/>
      <c r="DA129" s="19"/>
      <c r="DC129" s="8"/>
      <c r="DD129" s="7"/>
      <c r="DE129" s="19"/>
      <c r="DF129" s="19"/>
      <c r="DG129" s="19"/>
      <c r="DH129" s="19"/>
      <c r="DJ129" s="8"/>
      <c r="DK129" s="7"/>
      <c r="DL129" s="19"/>
      <c r="DM129" s="19"/>
      <c r="DN129" s="19"/>
      <c r="DO129" s="19"/>
      <c r="DQ129" s="8"/>
      <c r="DR129" s="7"/>
      <c r="DS129" s="19"/>
      <c r="DT129" s="19"/>
      <c r="DU129" s="19"/>
      <c r="DV129" s="19"/>
      <c r="DX129" s="8"/>
      <c r="DY129" s="7"/>
      <c r="DZ129" s="19"/>
      <c r="EA129" s="19"/>
      <c r="EB129" s="19"/>
      <c r="EC129" s="19"/>
      <c r="EE129" s="8"/>
      <c r="EF129" s="7"/>
      <c r="EG129" s="19"/>
      <c r="EH129" s="19"/>
      <c r="EI129" s="19"/>
      <c r="EJ129" s="19"/>
      <c r="EL129" s="8"/>
      <c r="EM129" s="7"/>
      <c r="EN129" s="19"/>
      <c r="EO129" s="19"/>
      <c r="EP129" s="19"/>
      <c r="EQ129" s="19"/>
      <c r="ES129" s="8"/>
      <c r="ET129" s="7"/>
      <c r="EU129" s="19"/>
      <c r="EV129" s="19"/>
      <c r="EW129" s="19"/>
      <c r="EX129" s="19"/>
      <c r="EZ129" s="8"/>
      <c r="FA129" s="7"/>
      <c r="FB129" s="19"/>
      <c r="FC129" s="19"/>
      <c r="FD129" s="19"/>
      <c r="FE129" s="19"/>
      <c r="FG129" s="8"/>
      <c r="FH129" s="7"/>
      <c r="FI129" s="19"/>
      <c r="FJ129" s="19"/>
      <c r="FK129" s="19"/>
      <c r="FL129" s="19"/>
      <c r="FN129" s="8"/>
      <c r="FO129" s="7"/>
      <c r="FP129" s="19"/>
      <c r="FQ129" s="19"/>
      <c r="FR129" s="19"/>
      <c r="FS129" s="19"/>
      <c r="FU129" s="8"/>
      <c r="FV129" s="7"/>
      <c r="FW129" s="19"/>
      <c r="FX129" s="19"/>
      <c r="FY129" s="19"/>
      <c r="FZ129" s="19"/>
      <c r="GB129" s="8"/>
      <c r="GC129" s="7"/>
      <c r="GD129" s="19"/>
      <c r="GE129" s="19"/>
      <c r="GF129" s="19"/>
      <c r="GG129" s="19"/>
      <c r="GI129" s="8"/>
      <c r="GJ129" s="7"/>
      <c r="GK129" s="19"/>
      <c r="GL129" s="19"/>
      <c r="GM129" s="19"/>
      <c r="GN129" s="19"/>
      <c r="GP129" s="8"/>
      <c r="GQ129" s="7"/>
      <c r="GR129" s="19"/>
      <c r="GS129" s="19"/>
      <c r="GT129" s="19"/>
      <c r="GU129" s="19"/>
      <c r="GW129" s="8"/>
      <c r="GX129" s="7"/>
      <c r="GY129" s="19"/>
      <c r="GZ129" s="19"/>
      <c r="HA129" s="19"/>
      <c r="HB129" s="19"/>
      <c r="HD129" s="8"/>
      <c r="HE129" s="7"/>
      <c r="HF129" s="19"/>
      <c r="HG129" s="19"/>
      <c r="HH129" s="19"/>
      <c r="HI129" s="19"/>
      <c r="HK129" s="8"/>
      <c r="HL129" s="7"/>
      <c r="HM129" s="19"/>
      <c r="HN129" s="19"/>
      <c r="HO129" s="19"/>
      <c r="HP129" s="19"/>
      <c r="HR129" s="8"/>
      <c r="HS129" s="7"/>
      <c r="HT129" s="19"/>
      <c r="HU129" s="19"/>
      <c r="HV129" s="19"/>
      <c r="HW129" s="19"/>
      <c r="HY129" s="8"/>
      <c r="HZ129" s="7"/>
      <c r="IA129" s="19"/>
      <c r="IB129" s="19"/>
      <c r="IC129" s="19"/>
      <c r="ID129" s="19"/>
      <c r="IF129" s="8"/>
      <c r="IG129" s="7"/>
      <c r="IH129" s="19"/>
      <c r="II129" s="19"/>
      <c r="IJ129" s="19"/>
      <c r="IK129" s="19"/>
      <c r="IM129" s="8"/>
      <c r="IN129" s="7"/>
      <c r="IO129" s="19"/>
      <c r="IP129" s="19"/>
      <c r="IQ129" s="19"/>
      <c r="IR129" s="19"/>
      <c r="IT129" s="8"/>
      <c r="IU129" s="7"/>
      <c r="IV129" s="19"/>
      <c r="IW129" s="19"/>
      <c r="IX129" s="19"/>
      <c r="IY129" s="19"/>
      <c r="JA129" s="8"/>
      <c r="JB129" s="7"/>
      <c r="JC129" s="19"/>
      <c r="JD129" s="19"/>
      <c r="JE129" s="19"/>
      <c r="JF129" s="19"/>
      <c r="JH129" s="8"/>
      <c r="JI129" s="7"/>
      <c r="JJ129" s="19"/>
      <c r="JK129" s="19"/>
      <c r="JL129" s="19"/>
      <c r="JM129" s="19"/>
      <c r="JO129" s="8"/>
      <c r="JP129" s="7"/>
      <c r="JQ129" s="19"/>
      <c r="JR129" s="19"/>
      <c r="JS129" s="19"/>
      <c r="JT129" s="19"/>
      <c r="JV129" s="8"/>
      <c r="JW129" s="7"/>
      <c r="JX129" s="19"/>
      <c r="JY129" s="19"/>
      <c r="JZ129" s="19"/>
      <c r="KA129" s="19"/>
      <c r="KC129" s="8"/>
      <c r="KD129" s="7"/>
      <c r="KE129" s="19"/>
      <c r="KF129" s="19"/>
      <c r="KG129" s="19"/>
      <c r="KH129" s="19"/>
      <c r="KJ129" s="8"/>
      <c r="KK129" s="7"/>
      <c r="KL129" s="19"/>
      <c r="KM129" s="19"/>
      <c r="KN129" s="19"/>
      <c r="KO129" s="19"/>
      <c r="KQ129" s="8"/>
      <c r="KR129" s="7"/>
      <c r="KS129" s="19"/>
      <c r="KT129" s="19"/>
      <c r="KU129" s="19"/>
      <c r="KV129" s="19"/>
      <c r="KX129" s="8"/>
      <c r="KY129" s="7"/>
      <c r="KZ129" s="19"/>
      <c r="LA129" s="19"/>
      <c r="LB129" s="19"/>
      <c r="LC129" s="19"/>
      <c r="LE129" s="8"/>
      <c r="LF129" s="7"/>
      <c r="LG129" s="19"/>
      <c r="LH129" s="19"/>
      <c r="LI129" s="19"/>
      <c r="LJ129" s="19"/>
      <c r="LL129" s="8"/>
      <c r="LM129" s="7"/>
      <c r="LN129" s="19"/>
      <c r="LO129" s="19"/>
      <c r="LP129" s="19"/>
      <c r="LQ129" s="19"/>
      <c r="LS129" s="8"/>
      <c r="LT129" s="7"/>
      <c r="LU129" s="19"/>
      <c r="LV129" s="19"/>
      <c r="LW129" s="19"/>
      <c r="LX129" s="19"/>
      <c r="LZ129" s="8"/>
      <c r="MA129" s="7"/>
      <c r="MB129" s="19"/>
      <c r="MC129" s="19"/>
      <c r="MD129" s="19"/>
      <c r="ME129" s="19"/>
      <c r="MG129" s="8"/>
      <c r="MH129" s="7"/>
      <c r="MI129" s="19"/>
      <c r="MJ129" s="19"/>
      <c r="MK129" s="19"/>
      <c r="ML129" s="19"/>
      <c r="MN129" s="8"/>
      <c r="MO129" s="7"/>
      <c r="MP129" s="19"/>
      <c r="MQ129" s="19"/>
      <c r="MR129" s="19"/>
      <c r="MS129" s="19"/>
      <c r="MU129" s="8"/>
      <c r="MV129" s="7"/>
      <c r="MW129" s="19"/>
      <c r="MX129" s="19"/>
      <c r="MY129" s="19"/>
      <c r="MZ129" s="19"/>
      <c r="NB129" s="8"/>
      <c r="NC129" s="7"/>
      <c r="ND129" s="19"/>
      <c r="NE129" s="19"/>
      <c r="NF129" s="19"/>
      <c r="NG129" s="19"/>
      <c r="NI129" s="8"/>
      <c r="NJ129" s="7"/>
      <c r="NK129" s="19"/>
      <c r="NL129" s="19"/>
      <c r="NM129" s="19"/>
      <c r="NN129" s="19"/>
      <c r="NP129" s="8"/>
      <c r="NQ129" s="7"/>
      <c r="NR129" s="19"/>
      <c r="NS129" s="19"/>
      <c r="NT129" s="19"/>
      <c r="NU129" s="19"/>
      <c r="NW129" s="8"/>
      <c r="NX129" s="7"/>
      <c r="NY129" s="19"/>
      <c r="NZ129" s="19"/>
      <c r="OA129" s="19"/>
      <c r="OB129" s="19"/>
      <c r="OD129" s="8"/>
      <c r="OE129" s="7"/>
      <c r="OF129" s="19"/>
      <c r="OG129" s="19"/>
      <c r="OH129" s="19"/>
      <c r="OI129" s="19"/>
      <c r="OK129" s="8"/>
      <c r="OL129" s="7"/>
      <c r="OM129" s="19"/>
      <c r="ON129" s="19"/>
      <c r="OO129" s="19"/>
      <c r="OP129" s="19"/>
      <c r="OR129" s="8"/>
      <c r="OS129" s="7"/>
      <c r="OT129" s="19"/>
      <c r="OU129" s="19"/>
      <c r="OV129" s="19"/>
      <c r="OW129" s="19"/>
      <c r="OY129" s="8"/>
      <c r="OZ129" s="7"/>
      <c r="PA129" s="19"/>
      <c r="PB129" s="19"/>
      <c r="PC129" s="19"/>
      <c r="PD129" s="19"/>
      <c r="PF129" s="8"/>
      <c r="PG129" s="7"/>
      <c r="PH129" s="19"/>
      <c r="PI129" s="19"/>
      <c r="PJ129" s="19"/>
      <c r="PK129" s="19"/>
      <c r="PM129" s="8"/>
    </row>
    <row r="130" spans="1:429" s="1" customFormat="1" ht="26" customHeight="1" outlineLevel="1">
      <c r="B130" s="471"/>
      <c r="C130" s="7"/>
      <c r="D130" s="19"/>
      <c r="E130" s="19"/>
      <c r="F130" s="19"/>
      <c r="G130" s="19"/>
      <c r="I130" s="8"/>
      <c r="J130" s="7"/>
      <c r="K130" s="19"/>
      <c r="L130" s="19"/>
      <c r="M130" s="19"/>
      <c r="N130" s="19"/>
      <c r="P130" s="8"/>
      <c r="Q130" s="7"/>
      <c r="R130" s="19"/>
      <c r="S130" s="19"/>
      <c r="T130" s="19"/>
      <c r="U130" s="19"/>
      <c r="W130" s="8"/>
      <c r="X130" s="7"/>
      <c r="Y130" s="19"/>
      <c r="Z130" s="19"/>
      <c r="AA130" s="19"/>
      <c r="AB130" s="19"/>
      <c r="AD130" s="8"/>
      <c r="AE130" s="7"/>
      <c r="AF130" s="19"/>
      <c r="AG130" s="19"/>
      <c r="AH130" s="19"/>
      <c r="AI130" s="19"/>
      <c r="AK130" s="8"/>
      <c r="AL130" s="7"/>
      <c r="AM130" s="19"/>
      <c r="AN130" s="19"/>
      <c r="AO130" s="19"/>
      <c r="AP130" s="19"/>
      <c r="AR130" s="8"/>
      <c r="AS130" s="7"/>
      <c r="AT130" s="19"/>
      <c r="AU130" s="19"/>
      <c r="AV130" s="19"/>
      <c r="AW130" s="19"/>
      <c r="AY130" s="8"/>
      <c r="AZ130" s="7"/>
      <c r="BA130" s="19"/>
      <c r="BB130" s="19"/>
      <c r="BC130" s="19"/>
      <c r="BD130" s="19"/>
      <c r="BF130" s="8"/>
      <c r="BG130" s="7"/>
      <c r="BH130" s="19"/>
      <c r="BI130" s="19"/>
      <c r="BJ130" s="19"/>
      <c r="BK130" s="19"/>
      <c r="BM130" s="8"/>
      <c r="BN130" s="7"/>
      <c r="BO130" s="19"/>
      <c r="BP130" s="19"/>
      <c r="BQ130" s="19"/>
      <c r="BR130" s="19"/>
      <c r="BT130" s="8"/>
      <c r="BU130" s="7"/>
      <c r="BV130" s="19"/>
      <c r="BW130" s="19"/>
      <c r="BX130" s="19"/>
      <c r="BY130" s="19"/>
      <c r="CA130" s="8"/>
      <c r="CB130" s="7"/>
      <c r="CC130" s="19"/>
      <c r="CD130" s="19"/>
      <c r="CE130" s="19"/>
      <c r="CF130" s="19"/>
      <c r="CH130" s="8"/>
      <c r="CI130" s="7"/>
      <c r="CJ130" s="19"/>
      <c r="CK130" s="19"/>
      <c r="CL130" s="19"/>
      <c r="CM130" s="19"/>
      <c r="CO130" s="8"/>
      <c r="CP130" s="7"/>
      <c r="CQ130" s="19"/>
      <c r="CR130" s="19"/>
      <c r="CS130" s="19"/>
      <c r="CT130" s="19"/>
      <c r="CV130" s="8"/>
      <c r="CW130" s="7"/>
      <c r="CX130" s="19"/>
      <c r="CY130" s="19"/>
      <c r="CZ130" s="19"/>
      <c r="DA130" s="19"/>
      <c r="DC130" s="8"/>
      <c r="DD130" s="7"/>
      <c r="DE130" s="19"/>
      <c r="DF130" s="19"/>
      <c r="DG130" s="19"/>
      <c r="DH130" s="19"/>
      <c r="DJ130" s="8"/>
      <c r="DK130" s="7"/>
      <c r="DL130" s="19"/>
      <c r="DM130" s="19"/>
      <c r="DN130" s="19"/>
      <c r="DO130" s="19"/>
      <c r="DQ130" s="8"/>
      <c r="DR130" s="7"/>
      <c r="DS130" s="19"/>
      <c r="DT130" s="19"/>
      <c r="DU130" s="19"/>
      <c r="DV130" s="19"/>
      <c r="DX130" s="8"/>
      <c r="DY130" s="7"/>
      <c r="DZ130" s="19"/>
      <c r="EA130" s="19"/>
      <c r="EB130" s="19"/>
      <c r="EC130" s="19"/>
      <c r="EE130" s="8"/>
      <c r="EF130" s="7"/>
      <c r="EG130" s="19"/>
      <c r="EH130" s="19"/>
      <c r="EI130" s="19"/>
      <c r="EJ130" s="19"/>
      <c r="EL130" s="8"/>
      <c r="EM130" s="7"/>
      <c r="EN130" s="19"/>
      <c r="EO130" s="19"/>
      <c r="EP130" s="19"/>
      <c r="EQ130" s="19"/>
      <c r="ES130" s="8"/>
      <c r="ET130" s="7"/>
      <c r="EU130" s="19"/>
      <c r="EV130" s="19"/>
      <c r="EW130" s="19"/>
      <c r="EX130" s="19"/>
      <c r="EZ130" s="8"/>
      <c r="FA130" s="7"/>
      <c r="FB130" s="19"/>
      <c r="FC130" s="19"/>
      <c r="FD130" s="19"/>
      <c r="FE130" s="19"/>
      <c r="FG130" s="8"/>
      <c r="FH130" s="7"/>
      <c r="FI130" s="19"/>
      <c r="FJ130" s="19"/>
      <c r="FK130" s="19"/>
      <c r="FL130" s="19"/>
      <c r="FN130" s="8"/>
      <c r="FO130" s="7"/>
      <c r="FP130" s="19"/>
      <c r="FQ130" s="19"/>
      <c r="FR130" s="19"/>
      <c r="FS130" s="19"/>
      <c r="FU130" s="8"/>
      <c r="FV130" s="7"/>
      <c r="FW130" s="19"/>
      <c r="FX130" s="19"/>
      <c r="FY130" s="19"/>
      <c r="FZ130" s="19"/>
      <c r="GB130" s="8"/>
      <c r="GC130" s="7"/>
      <c r="GD130" s="19"/>
      <c r="GE130" s="19"/>
      <c r="GF130" s="19"/>
      <c r="GG130" s="19"/>
      <c r="GI130" s="8"/>
      <c r="GJ130" s="7"/>
      <c r="GK130" s="19"/>
      <c r="GL130" s="19"/>
      <c r="GM130" s="19"/>
      <c r="GN130" s="19"/>
      <c r="GP130" s="8"/>
      <c r="GQ130" s="7"/>
      <c r="GR130" s="19"/>
      <c r="GS130" s="19"/>
      <c r="GT130" s="19"/>
      <c r="GU130" s="19"/>
      <c r="GW130" s="8"/>
      <c r="GX130" s="7"/>
      <c r="GY130" s="19"/>
      <c r="GZ130" s="19"/>
      <c r="HA130" s="19"/>
      <c r="HB130" s="19"/>
      <c r="HD130" s="8"/>
      <c r="HE130" s="7"/>
      <c r="HF130" s="19"/>
      <c r="HG130" s="19"/>
      <c r="HH130" s="19"/>
      <c r="HI130" s="19"/>
      <c r="HK130" s="8"/>
      <c r="HL130" s="7"/>
      <c r="HM130" s="19"/>
      <c r="HN130" s="19"/>
      <c r="HO130" s="19"/>
      <c r="HP130" s="19"/>
      <c r="HR130" s="8"/>
      <c r="HS130" s="7"/>
      <c r="HT130" s="19"/>
      <c r="HU130" s="19"/>
      <c r="HV130" s="19"/>
      <c r="HW130" s="19"/>
      <c r="HY130" s="8"/>
      <c r="HZ130" s="7"/>
      <c r="IA130" s="19"/>
      <c r="IB130" s="19"/>
      <c r="IC130" s="19"/>
      <c r="ID130" s="19"/>
      <c r="IF130" s="8"/>
      <c r="IG130" s="7"/>
      <c r="IH130" s="19"/>
      <c r="II130" s="19"/>
      <c r="IJ130" s="19"/>
      <c r="IK130" s="19"/>
      <c r="IM130" s="8"/>
      <c r="IN130" s="7"/>
      <c r="IO130" s="19"/>
      <c r="IP130" s="19"/>
      <c r="IQ130" s="19"/>
      <c r="IR130" s="19"/>
      <c r="IT130" s="8"/>
      <c r="IU130" s="7"/>
      <c r="IV130" s="19"/>
      <c r="IW130" s="19"/>
      <c r="IX130" s="19"/>
      <c r="IY130" s="19"/>
      <c r="JA130" s="8"/>
      <c r="JB130" s="7"/>
      <c r="JC130" s="19"/>
      <c r="JD130" s="19"/>
      <c r="JE130" s="19"/>
      <c r="JF130" s="19"/>
      <c r="JH130" s="8"/>
      <c r="JI130" s="7"/>
      <c r="JJ130" s="19"/>
      <c r="JK130" s="19"/>
      <c r="JL130" s="19"/>
      <c r="JM130" s="19"/>
      <c r="JO130" s="8"/>
      <c r="JP130" s="7"/>
      <c r="JQ130" s="19"/>
      <c r="JR130" s="19"/>
      <c r="JS130" s="19"/>
      <c r="JT130" s="19"/>
      <c r="JV130" s="8"/>
      <c r="JW130" s="7"/>
      <c r="JX130" s="19"/>
      <c r="JY130" s="19"/>
      <c r="JZ130" s="19"/>
      <c r="KA130" s="19"/>
      <c r="KC130" s="8"/>
      <c r="KD130" s="7"/>
      <c r="KE130" s="19"/>
      <c r="KF130" s="19"/>
      <c r="KG130" s="19"/>
      <c r="KH130" s="19"/>
      <c r="KJ130" s="8"/>
      <c r="KK130" s="7"/>
      <c r="KL130" s="19"/>
      <c r="KM130" s="19"/>
      <c r="KN130" s="19"/>
      <c r="KO130" s="19"/>
      <c r="KQ130" s="8"/>
      <c r="KR130" s="7"/>
      <c r="KS130" s="19"/>
      <c r="KT130" s="19"/>
      <c r="KU130" s="19"/>
      <c r="KV130" s="19"/>
      <c r="KX130" s="8"/>
      <c r="KY130" s="7"/>
      <c r="KZ130" s="19"/>
      <c r="LA130" s="19"/>
      <c r="LB130" s="19"/>
      <c r="LC130" s="19"/>
      <c r="LE130" s="8"/>
      <c r="LF130" s="7"/>
      <c r="LG130" s="19"/>
      <c r="LH130" s="19"/>
      <c r="LI130" s="19"/>
      <c r="LJ130" s="19"/>
      <c r="LL130" s="8"/>
      <c r="LM130" s="7"/>
      <c r="LN130" s="19"/>
      <c r="LO130" s="19"/>
      <c r="LP130" s="19"/>
      <c r="LQ130" s="19"/>
      <c r="LS130" s="8"/>
      <c r="LT130" s="7"/>
      <c r="LU130" s="19"/>
      <c r="LV130" s="19"/>
      <c r="LW130" s="19"/>
      <c r="LX130" s="19"/>
      <c r="LZ130" s="8"/>
      <c r="MA130" s="7"/>
      <c r="MB130" s="19"/>
      <c r="MC130" s="19"/>
      <c r="MD130" s="19"/>
      <c r="ME130" s="19"/>
      <c r="MG130" s="8"/>
      <c r="MH130" s="7"/>
      <c r="MI130" s="19"/>
      <c r="MJ130" s="19"/>
      <c r="MK130" s="19"/>
      <c r="ML130" s="19"/>
      <c r="MN130" s="8"/>
      <c r="MO130" s="7"/>
      <c r="MP130" s="19"/>
      <c r="MQ130" s="19"/>
      <c r="MR130" s="19"/>
      <c r="MS130" s="19"/>
      <c r="MU130" s="8"/>
      <c r="MV130" s="7"/>
      <c r="MW130" s="19"/>
      <c r="MX130" s="19"/>
      <c r="MY130" s="19"/>
      <c r="MZ130" s="19"/>
      <c r="NB130" s="8"/>
      <c r="NC130" s="7"/>
      <c r="ND130" s="19"/>
      <c r="NE130" s="19"/>
      <c r="NF130" s="19"/>
      <c r="NG130" s="19"/>
      <c r="NI130" s="8"/>
      <c r="NJ130" s="7"/>
      <c r="NK130" s="19"/>
      <c r="NL130" s="19"/>
      <c r="NM130" s="19"/>
      <c r="NN130" s="19"/>
      <c r="NP130" s="8"/>
      <c r="NQ130" s="7"/>
      <c r="NR130" s="19"/>
      <c r="NS130" s="19"/>
      <c r="NT130" s="19"/>
      <c r="NU130" s="19"/>
      <c r="NW130" s="8"/>
      <c r="NX130" s="7"/>
      <c r="NY130" s="19"/>
      <c r="NZ130" s="19"/>
      <c r="OA130" s="19"/>
      <c r="OB130" s="19"/>
      <c r="OD130" s="8"/>
      <c r="OE130" s="7"/>
      <c r="OF130" s="19"/>
      <c r="OG130" s="19"/>
      <c r="OH130" s="19"/>
      <c r="OI130" s="19"/>
      <c r="OK130" s="8"/>
      <c r="OL130" s="7"/>
      <c r="OM130" s="19"/>
      <c r="ON130" s="19"/>
      <c r="OO130" s="19"/>
      <c r="OP130" s="19"/>
      <c r="OR130" s="8"/>
      <c r="OS130" s="7"/>
      <c r="OT130" s="19"/>
      <c r="OU130" s="19"/>
      <c r="OV130" s="19"/>
      <c r="OW130" s="19"/>
      <c r="OY130" s="8"/>
      <c r="OZ130" s="7"/>
      <c r="PA130" s="19"/>
      <c r="PB130" s="19"/>
      <c r="PC130" s="19"/>
      <c r="PD130" s="19"/>
      <c r="PF130" s="8"/>
      <c r="PG130" s="7"/>
      <c r="PH130" s="19"/>
      <c r="PI130" s="19"/>
      <c r="PJ130" s="19"/>
      <c r="PK130" s="19"/>
      <c r="PM130" s="8"/>
    </row>
    <row r="131" spans="1:429" s="475" customFormat="1" ht="19" customHeight="1">
      <c r="A131" s="6" t="s">
        <v>75</v>
      </c>
      <c r="B131" s="472"/>
      <c r="C131" s="10"/>
      <c r="D131" s="20"/>
      <c r="E131" s="20"/>
      <c r="F131" s="20"/>
      <c r="G131" s="20"/>
      <c r="H131" s="10"/>
      <c r="I131" s="10"/>
      <c r="J131" s="10"/>
      <c r="K131" s="20"/>
      <c r="L131" s="20"/>
      <c r="M131" s="20"/>
      <c r="N131" s="20"/>
      <c r="O131" s="10"/>
      <c r="P131" s="10"/>
      <c r="Q131" s="10"/>
      <c r="R131" s="20"/>
      <c r="S131" s="20"/>
      <c r="T131" s="20"/>
      <c r="U131" s="20"/>
      <c r="V131" s="10"/>
      <c r="W131" s="10"/>
      <c r="X131" s="10"/>
      <c r="Y131" s="20"/>
      <c r="Z131" s="20"/>
      <c r="AA131" s="20"/>
      <c r="AB131" s="20"/>
      <c r="AC131" s="10"/>
      <c r="AD131" s="10"/>
      <c r="AE131" s="10"/>
      <c r="AF131" s="20"/>
      <c r="AG131" s="20"/>
      <c r="AH131" s="20"/>
      <c r="AI131" s="20"/>
      <c r="AJ131" s="10"/>
      <c r="AK131" s="10"/>
      <c r="AL131" s="10"/>
      <c r="AM131" s="20"/>
      <c r="AN131" s="20"/>
      <c r="AO131" s="20"/>
      <c r="AP131" s="20"/>
      <c r="AQ131" s="10"/>
      <c r="AR131" s="10"/>
      <c r="AS131" s="10"/>
      <c r="AT131" s="20"/>
      <c r="AU131" s="20"/>
      <c r="AV131" s="20"/>
      <c r="AW131" s="20"/>
      <c r="AX131" s="10"/>
      <c r="AY131" s="10"/>
      <c r="AZ131" s="10"/>
      <c r="BA131" s="20"/>
      <c r="BB131" s="20"/>
      <c r="BC131" s="20"/>
      <c r="BD131" s="20"/>
      <c r="BE131" s="10"/>
      <c r="BF131" s="10"/>
      <c r="BG131" s="10"/>
      <c r="BH131" s="20"/>
      <c r="BI131" s="20"/>
      <c r="BJ131" s="20"/>
      <c r="BK131" s="20"/>
      <c r="BL131" s="10"/>
      <c r="BM131" s="10"/>
      <c r="BN131" s="10"/>
      <c r="BO131" s="20"/>
      <c r="BP131" s="20"/>
      <c r="BQ131" s="20"/>
      <c r="BR131" s="20"/>
      <c r="BS131" s="10"/>
      <c r="BT131" s="10"/>
      <c r="BU131" s="10"/>
      <c r="BV131" s="20"/>
      <c r="BW131" s="20"/>
      <c r="BX131" s="20"/>
      <c r="BY131" s="20"/>
      <c r="BZ131" s="10"/>
      <c r="CA131" s="10"/>
      <c r="CB131" s="10"/>
      <c r="CC131" s="20"/>
      <c r="CD131" s="20"/>
      <c r="CE131" s="20"/>
      <c r="CF131" s="20"/>
      <c r="CG131" s="10"/>
      <c r="CH131" s="10"/>
      <c r="CI131" s="10"/>
      <c r="CJ131" s="20"/>
      <c r="CK131" s="20"/>
      <c r="CL131" s="20"/>
      <c r="CM131" s="20"/>
      <c r="CN131" s="10"/>
      <c r="CO131" s="10"/>
      <c r="CP131" s="10"/>
      <c r="CQ131" s="20"/>
      <c r="CR131" s="20"/>
      <c r="CS131" s="20"/>
      <c r="CT131" s="20"/>
      <c r="CU131" s="10"/>
      <c r="CV131" s="10"/>
      <c r="CW131" s="10"/>
      <c r="CX131" s="20"/>
      <c r="CY131" s="20"/>
      <c r="CZ131" s="20"/>
      <c r="DA131" s="20"/>
      <c r="DB131" s="10"/>
      <c r="DC131" s="10"/>
      <c r="DD131" s="10"/>
      <c r="DE131" s="20"/>
      <c r="DF131" s="20"/>
      <c r="DG131" s="20"/>
      <c r="DH131" s="20"/>
      <c r="DI131" s="10"/>
      <c r="DJ131" s="10"/>
      <c r="DK131" s="10"/>
      <c r="DL131" s="20"/>
      <c r="DM131" s="20"/>
      <c r="DN131" s="20"/>
      <c r="DO131" s="20"/>
      <c r="DP131" s="10"/>
      <c r="DQ131" s="10" t="s">
        <v>383</v>
      </c>
      <c r="DR131" s="10"/>
      <c r="DS131" s="20"/>
      <c r="DT131" s="20"/>
      <c r="DU131" s="20"/>
      <c r="DV131" s="20"/>
      <c r="DW131" s="10"/>
      <c r="DX131" s="10" t="s">
        <v>383</v>
      </c>
      <c r="DY131" s="10"/>
      <c r="DZ131" s="20"/>
      <c r="EA131" s="20"/>
      <c r="EB131" s="20"/>
      <c r="EC131" s="20"/>
      <c r="ED131" s="10"/>
      <c r="EE131" s="10" t="s">
        <v>383</v>
      </c>
      <c r="EF131" s="10"/>
      <c r="EG131" s="20"/>
      <c r="EH131" s="20"/>
      <c r="EI131" s="20"/>
      <c r="EJ131" s="20"/>
      <c r="EK131" s="10"/>
      <c r="EL131" s="10"/>
      <c r="EM131" s="10"/>
      <c r="EN131" s="20"/>
      <c r="EO131" s="20"/>
      <c r="EP131" s="20"/>
      <c r="EQ131" s="20"/>
      <c r="ER131" s="10"/>
      <c r="ES131" s="10"/>
      <c r="ET131" s="10"/>
      <c r="EU131" s="20"/>
      <c r="EV131" s="20"/>
      <c r="EW131" s="20"/>
      <c r="EX131" s="20"/>
      <c r="EY131" s="10"/>
      <c r="EZ131" s="10"/>
      <c r="FA131" s="10"/>
      <c r="FB131" s="20"/>
      <c r="FC131" s="20"/>
      <c r="FD131" s="20"/>
      <c r="FE131" s="20"/>
      <c r="FF131" s="10"/>
      <c r="FG131" s="10"/>
      <c r="FH131" s="10"/>
      <c r="FI131" s="20"/>
      <c r="FJ131" s="20"/>
      <c r="FK131" s="20"/>
      <c r="FL131" s="20"/>
      <c r="FM131" s="10"/>
      <c r="FN131" s="10"/>
      <c r="FO131" s="10"/>
      <c r="FP131" s="20"/>
      <c r="FQ131" s="20"/>
      <c r="FR131" s="20"/>
      <c r="FS131" s="20"/>
      <c r="FT131" s="10"/>
      <c r="FU131" s="10"/>
      <c r="FV131" s="10"/>
      <c r="FW131" s="20"/>
      <c r="FX131" s="20"/>
      <c r="FY131" s="20"/>
      <c r="FZ131" s="20"/>
      <c r="GA131" s="10"/>
      <c r="GB131" s="10"/>
      <c r="GC131" s="10"/>
      <c r="GD131" s="20"/>
      <c r="GE131" s="20"/>
      <c r="GF131" s="20"/>
      <c r="GG131" s="20"/>
      <c r="GH131" s="10"/>
      <c r="GI131" s="10"/>
      <c r="GJ131" s="10"/>
      <c r="GK131" s="20"/>
      <c r="GL131" s="20"/>
      <c r="GM131" s="20"/>
      <c r="GN131" s="20"/>
      <c r="GO131" s="10"/>
      <c r="GP131" s="10"/>
      <c r="GQ131" s="10"/>
      <c r="GR131" s="20"/>
      <c r="GS131" s="20"/>
      <c r="GT131" s="20"/>
      <c r="GU131" s="20"/>
      <c r="GV131" s="10"/>
      <c r="GW131" s="10"/>
      <c r="GX131" s="10"/>
      <c r="GY131" s="20"/>
      <c r="GZ131" s="20"/>
      <c r="HA131" s="20"/>
      <c r="HB131" s="20"/>
      <c r="HC131" s="10"/>
      <c r="HD131" s="10"/>
      <c r="HE131" s="10"/>
      <c r="HF131" s="20"/>
      <c r="HG131" s="20"/>
      <c r="HH131" s="20"/>
      <c r="HI131" s="20"/>
      <c r="HJ131" s="10"/>
      <c r="HK131" s="10"/>
      <c r="HL131" s="10"/>
      <c r="HM131" s="20"/>
      <c r="HN131" s="20"/>
      <c r="HO131" s="20"/>
      <c r="HP131" s="20"/>
      <c r="HQ131" s="10"/>
      <c r="HR131" s="10"/>
      <c r="HS131" s="10"/>
      <c r="HT131" s="20"/>
      <c r="HU131" s="20"/>
      <c r="HV131" s="20"/>
      <c r="HW131" s="20"/>
      <c r="HX131" s="10"/>
      <c r="HY131" s="10"/>
      <c r="HZ131" s="10"/>
      <c r="IA131" s="20"/>
      <c r="IB131" s="20"/>
      <c r="IC131" s="20"/>
      <c r="ID131" s="20"/>
      <c r="IE131" s="10"/>
      <c r="IF131" s="10"/>
      <c r="IG131" s="10"/>
      <c r="IH131" s="20"/>
      <c r="II131" s="20"/>
      <c r="IJ131" s="20"/>
      <c r="IK131" s="20"/>
      <c r="IL131" s="10"/>
      <c r="IM131" s="10"/>
      <c r="IN131" s="10"/>
      <c r="IO131" s="20"/>
      <c r="IP131" s="20"/>
      <c r="IQ131" s="20"/>
      <c r="IR131" s="20"/>
      <c r="IS131" s="10"/>
      <c r="IT131" s="10"/>
      <c r="IU131" s="10"/>
      <c r="IV131" s="20"/>
      <c r="IW131" s="20"/>
      <c r="IX131" s="20"/>
      <c r="IY131" s="20"/>
      <c r="IZ131" s="10"/>
      <c r="JA131" s="10"/>
      <c r="JB131" s="10"/>
      <c r="JC131" s="20"/>
      <c r="JD131" s="20"/>
      <c r="JE131" s="20"/>
      <c r="JF131" s="20"/>
      <c r="JG131" s="10"/>
      <c r="JH131" s="10"/>
      <c r="JI131" s="10"/>
      <c r="JJ131" s="20"/>
      <c r="JK131" s="20"/>
      <c r="JL131" s="20"/>
      <c r="JM131" s="20"/>
      <c r="JN131" s="10"/>
      <c r="JO131" s="10"/>
      <c r="JP131" s="10"/>
      <c r="JQ131" s="20"/>
      <c r="JR131" s="20"/>
      <c r="JS131" s="20"/>
      <c r="JT131" s="20"/>
      <c r="JU131" s="10"/>
      <c r="JV131" s="10"/>
      <c r="JW131" s="10"/>
      <c r="JX131" s="20"/>
      <c r="JY131" s="20"/>
      <c r="JZ131" s="20"/>
      <c r="KA131" s="20"/>
      <c r="KB131" s="10"/>
      <c r="KC131" s="10"/>
      <c r="KD131" s="10"/>
      <c r="KE131" s="20"/>
      <c r="KF131" s="20"/>
      <c r="KG131" s="20"/>
      <c r="KH131" s="20"/>
      <c r="KI131" s="10"/>
      <c r="KJ131" s="10"/>
      <c r="KK131" s="10"/>
      <c r="KL131" s="20"/>
      <c r="KM131" s="20"/>
      <c r="KN131" s="20"/>
      <c r="KO131" s="20"/>
      <c r="KP131" s="10"/>
      <c r="KQ131" s="10"/>
      <c r="KR131" s="10"/>
      <c r="KS131" s="20"/>
      <c r="KT131" s="20"/>
      <c r="KU131" s="20"/>
      <c r="KV131" s="20"/>
      <c r="KW131" s="10"/>
      <c r="KX131" s="10"/>
      <c r="KY131" s="10"/>
      <c r="KZ131" s="20"/>
      <c r="LA131" s="20"/>
      <c r="LB131" s="20"/>
      <c r="LC131" s="20"/>
      <c r="LD131" s="10"/>
      <c r="LE131" s="10"/>
      <c r="LF131" s="10"/>
      <c r="LG131" s="20"/>
      <c r="LH131" s="20"/>
      <c r="LI131" s="20"/>
      <c r="LJ131" s="20"/>
      <c r="LK131" s="10"/>
      <c r="LL131" s="10"/>
      <c r="LM131" s="10"/>
      <c r="LN131" s="20"/>
      <c r="LO131" s="20"/>
      <c r="LP131" s="20"/>
      <c r="LQ131" s="20"/>
      <c r="LR131" s="10"/>
      <c r="LS131" s="10"/>
      <c r="LT131" s="10"/>
      <c r="LU131" s="20"/>
      <c r="LV131" s="20"/>
      <c r="LW131" s="20"/>
      <c r="LX131" s="20"/>
      <c r="LY131" s="10"/>
      <c r="LZ131" s="10"/>
      <c r="MA131" s="10"/>
      <c r="MB131" s="20"/>
      <c r="MC131" s="20"/>
      <c r="MD131" s="20"/>
      <c r="ME131" s="20"/>
      <c r="MF131" s="10"/>
      <c r="MG131" s="10"/>
      <c r="MH131" s="10"/>
      <c r="MI131" s="20"/>
      <c r="MJ131" s="20"/>
      <c r="MK131" s="20"/>
      <c r="ML131" s="20"/>
      <c r="MM131" s="10"/>
      <c r="MN131" s="10"/>
      <c r="MO131" s="10"/>
      <c r="MP131" s="20"/>
      <c r="MQ131" s="20"/>
      <c r="MR131" s="20"/>
      <c r="MS131" s="20"/>
      <c r="MT131" s="10"/>
      <c r="MU131" s="10"/>
      <c r="MV131" s="10"/>
      <c r="MW131" s="20"/>
      <c r="MX131" s="20"/>
      <c r="MY131" s="20"/>
      <c r="MZ131" s="20"/>
      <c r="NA131" s="10"/>
      <c r="NB131" s="10"/>
      <c r="NC131" s="10"/>
      <c r="ND131" s="20"/>
      <c r="NE131" s="20"/>
      <c r="NF131" s="20"/>
      <c r="NG131" s="20"/>
      <c r="NH131" s="10"/>
      <c r="NI131" s="10"/>
      <c r="NJ131" s="10"/>
      <c r="NK131" s="20"/>
      <c r="NL131" s="20"/>
      <c r="NM131" s="20"/>
      <c r="NN131" s="20"/>
      <c r="NO131" s="10"/>
      <c r="NP131" s="10"/>
      <c r="NQ131" s="10"/>
      <c r="NR131" s="20"/>
      <c r="NS131" s="20"/>
      <c r="NT131" s="20"/>
      <c r="NU131" s="20"/>
      <c r="NV131" s="10"/>
      <c r="NW131" s="10"/>
      <c r="NX131" s="10"/>
      <c r="NY131" s="20"/>
      <c r="NZ131" s="20"/>
      <c r="OA131" s="20"/>
      <c r="OB131" s="20"/>
      <c r="OC131" s="10"/>
      <c r="OD131" s="10"/>
      <c r="OE131" s="10"/>
      <c r="OF131" s="20"/>
      <c r="OG131" s="20"/>
      <c r="OH131" s="20"/>
      <c r="OI131" s="20"/>
      <c r="OJ131" s="10"/>
      <c r="OK131" s="10"/>
      <c r="OL131" s="10"/>
      <c r="OM131" s="20"/>
      <c r="ON131" s="20"/>
      <c r="OO131" s="20"/>
      <c r="OP131" s="20"/>
      <c r="OQ131" s="10"/>
      <c r="OR131" s="10"/>
      <c r="OS131" s="10"/>
      <c r="OT131" s="20"/>
      <c r="OU131" s="20"/>
      <c r="OV131" s="20"/>
      <c r="OW131" s="20"/>
      <c r="OX131" s="10"/>
      <c r="OY131" s="10"/>
      <c r="OZ131" s="10"/>
      <c r="PA131" s="20"/>
      <c r="PB131" s="20"/>
      <c r="PC131" s="20"/>
      <c r="PD131" s="20"/>
      <c r="PE131" s="10"/>
      <c r="PF131" s="10"/>
      <c r="PG131" s="10"/>
      <c r="PH131" s="20"/>
      <c r="PI131" s="20"/>
      <c r="PJ131" s="20"/>
      <c r="PK131" s="20"/>
      <c r="PL131" s="10"/>
      <c r="PM131" s="10"/>
    </row>
    <row r="132" spans="1:429" s="1" customFormat="1" ht="26" customHeight="1" outlineLevel="1">
      <c r="B132" s="471"/>
      <c r="C132" s="7"/>
      <c r="D132" s="19"/>
      <c r="E132" s="19"/>
      <c r="F132" s="19"/>
      <c r="G132" s="19"/>
      <c r="I132" s="8"/>
      <c r="J132" s="7"/>
      <c r="K132" s="19"/>
      <c r="L132" s="19"/>
      <c r="M132" s="19"/>
      <c r="N132" s="19"/>
      <c r="P132" s="8"/>
      <c r="Q132" s="7"/>
      <c r="R132" s="19"/>
      <c r="S132" s="19"/>
      <c r="T132" s="19"/>
      <c r="U132" s="19"/>
      <c r="W132" s="8"/>
      <c r="X132" s="7"/>
      <c r="Y132" s="19"/>
      <c r="Z132" s="19"/>
      <c r="AA132" s="19"/>
      <c r="AB132" s="19"/>
      <c r="AD132" s="8"/>
      <c r="AE132" s="7"/>
      <c r="AF132" s="19"/>
      <c r="AG132" s="19"/>
      <c r="AH132" s="19"/>
      <c r="AI132" s="19"/>
      <c r="AK132" s="8"/>
      <c r="AL132" s="7"/>
      <c r="AM132" s="19"/>
      <c r="AN132" s="19"/>
      <c r="AO132" s="19"/>
      <c r="AP132" s="19"/>
      <c r="AR132" s="8"/>
      <c r="AS132" s="7"/>
      <c r="AT132" s="19"/>
      <c r="AU132" s="19"/>
      <c r="AV132" s="19"/>
      <c r="AW132" s="19"/>
      <c r="AY132" s="8"/>
      <c r="AZ132" s="7"/>
      <c r="BA132" s="19"/>
      <c r="BB132" s="19"/>
      <c r="BC132" s="19"/>
      <c r="BD132" s="19"/>
      <c r="BF132" s="8"/>
      <c r="BG132" s="7"/>
      <c r="BH132" s="19"/>
      <c r="BI132" s="19"/>
      <c r="BJ132" s="19"/>
      <c r="BK132" s="19"/>
      <c r="BM132" s="8"/>
      <c r="BN132" s="7"/>
      <c r="BO132" s="19"/>
      <c r="BP132" s="19"/>
      <c r="BQ132" s="19"/>
      <c r="BR132" s="19"/>
      <c r="BT132" s="8"/>
      <c r="BU132" s="7"/>
      <c r="BV132" s="19"/>
      <c r="BW132" s="19"/>
      <c r="BX132" s="19"/>
      <c r="BY132" s="19"/>
      <c r="CA132" s="8"/>
      <c r="CB132" s="7"/>
      <c r="CC132" s="19"/>
      <c r="CD132" s="19"/>
      <c r="CE132" s="19"/>
      <c r="CF132" s="19"/>
      <c r="CH132" s="8"/>
      <c r="CI132" s="7"/>
      <c r="CJ132" s="19"/>
      <c r="CK132" s="19"/>
      <c r="CL132" s="19"/>
      <c r="CM132" s="19"/>
      <c r="CO132" s="8"/>
      <c r="CP132" s="7"/>
      <c r="CQ132" s="19"/>
      <c r="CR132" s="19"/>
      <c r="CS132" s="19"/>
      <c r="CT132" s="19"/>
      <c r="CV132" s="8"/>
      <c r="CW132" s="7"/>
      <c r="CX132" s="19"/>
      <c r="CY132" s="19"/>
      <c r="CZ132" s="19"/>
      <c r="DA132" s="19"/>
      <c r="DC132" s="8"/>
      <c r="DD132" s="7"/>
      <c r="DE132" s="19"/>
      <c r="DF132" s="19"/>
      <c r="DG132" s="19"/>
      <c r="DH132" s="19"/>
      <c r="DJ132" s="8"/>
      <c r="DK132" s="7" t="s">
        <v>107</v>
      </c>
      <c r="DL132" s="19" t="s">
        <v>484</v>
      </c>
      <c r="DM132" s="19"/>
      <c r="DN132" s="19"/>
      <c r="DO132" s="19"/>
      <c r="DQ132" s="8" t="s">
        <v>493</v>
      </c>
      <c r="DR132" s="7"/>
      <c r="DS132" s="19" t="s">
        <v>180</v>
      </c>
      <c r="DT132" s="19"/>
      <c r="DU132" s="19"/>
      <c r="DV132" s="19"/>
      <c r="DX132" s="8" t="s">
        <v>493</v>
      </c>
      <c r="DY132" s="7"/>
      <c r="DZ132" s="19" t="s">
        <v>180</v>
      </c>
      <c r="EA132" s="19"/>
      <c r="EB132" s="19"/>
      <c r="EC132" s="19"/>
      <c r="EE132" s="8" t="s">
        <v>493</v>
      </c>
      <c r="EF132" s="7" t="s">
        <v>107</v>
      </c>
      <c r="EG132" s="19" t="s">
        <v>495</v>
      </c>
      <c r="EH132" s="19"/>
      <c r="EI132" s="19"/>
      <c r="EJ132" s="19"/>
      <c r="EL132" s="8" t="s">
        <v>493</v>
      </c>
      <c r="EM132" s="7"/>
      <c r="EN132" s="19" t="s">
        <v>180</v>
      </c>
      <c r="EO132" s="19"/>
      <c r="EP132" s="19"/>
      <c r="EQ132" s="19"/>
      <c r="ES132" s="8" t="s">
        <v>493</v>
      </c>
      <c r="ET132" s="7"/>
      <c r="EU132" s="19" t="s">
        <v>180</v>
      </c>
      <c r="EV132" s="19"/>
      <c r="EW132" s="19"/>
      <c r="EX132" s="19"/>
      <c r="EZ132" s="8" t="s">
        <v>493</v>
      </c>
      <c r="FA132" s="7"/>
      <c r="FB132" s="19"/>
      <c r="FC132" s="19"/>
      <c r="FD132" s="19"/>
      <c r="FE132" s="19"/>
      <c r="FG132" s="8"/>
      <c r="FH132" s="7"/>
      <c r="FI132" s="19"/>
      <c r="FJ132" s="19"/>
      <c r="FK132" s="19"/>
      <c r="FL132" s="19"/>
      <c r="FN132" s="8"/>
      <c r="FO132" s="7"/>
      <c r="FP132" s="19"/>
      <c r="FQ132" s="19"/>
      <c r="FR132" s="19"/>
      <c r="FS132" s="19"/>
      <c r="FU132" s="8"/>
      <c r="FV132" s="7"/>
      <c r="FW132" s="19"/>
      <c r="FX132" s="19"/>
      <c r="FY132" s="19"/>
      <c r="FZ132" s="19"/>
      <c r="GB132" s="8"/>
      <c r="GC132" s="7"/>
      <c r="GD132" s="19"/>
      <c r="GE132" s="19"/>
      <c r="GF132" s="19"/>
      <c r="GG132" s="19"/>
      <c r="GI132" s="8"/>
      <c r="GJ132" s="7"/>
      <c r="GK132" s="19"/>
      <c r="GL132" s="19"/>
      <c r="GM132" s="19"/>
      <c r="GN132" s="19"/>
      <c r="GP132" s="8"/>
      <c r="GQ132" s="7"/>
      <c r="GR132" s="19"/>
      <c r="GS132" s="19"/>
      <c r="GT132" s="19"/>
      <c r="GU132" s="19"/>
      <c r="GW132" s="8"/>
      <c r="GX132" s="7"/>
      <c r="GY132" s="19"/>
      <c r="GZ132" s="19"/>
      <c r="HA132" s="19"/>
      <c r="HB132" s="19"/>
      <c r="HD132" s="8"/>
      <c r="HE132" s="7"/>
      <c r="HF132" s="19"/>
      <c r="HG132" s="19"/>
      <c r="HH132" s="19"/>
      <c r="HI132" s="19"/>
      <c r="HK132" s="8"/>
      <c r="HL132" s="7"/>
      <c r="HM132" s="19"/>
      <c r="HN132" s="19"/>
      <c r="HO132" s="19"/>
      <c r="HP132" s="19"/>
      <c r="HR132" s="8"/>
      <c r="HS132" s="7"/>
      <c r="HT132" s="19"/>
      <c r="HU132" s="19"/>
      <c r="HV132" s="19"/>
      <c r="HW132" s="19"/>
      <c r="HY132" s="8"/>
      <c r="HZ132" s="7"/>
      <c r="IA132" s="19"/>
      <c r="IB132" s="19"/>
      <c r="IC132" s="19"/>
      <c r="ID132" s="19"/>
      <c r="IF132" s="8"/>
      <c r="IG132" s="7"/>
      <c r="IH132" s="19"/>
      <c r="II132" s="19"/>
      <c r="IJ132" s="19"/>
      <c r="IK132" s="19"/>
      <c r="IM132" s="8"/>
      <c r="IN132" s="7"/>
      <c r="IO132" s="19"/>
      <c r="IP132" s="19"/>
      <c r="IQ132" s="19"/>
      <c r="IR132" s="19"/>
      <c r="IT132" s="8"/>
      <c r="IU132" s="7"/>
      <c r="IV132" s="19"/>
      <c r="IW132" s="19"/>
      <c r="IX132" s="19"/>
      <c r="IY132" s="19"/>
      <c r="JA132" s="8"/>
      <c r="JB132" s="7"/>
      <c r="JC132" s="19"/>
      <c r="JD132" s="19"/>
      <c r="JE132" s="19"/>
      <c r="JF132" s="19"/>
      <c r="JH132" s="8"/>
      <c r="JI132" s="7"/>
      <c r="JJ132" s="19"/>
      <c r="JK132" s="19"/>
      <c r="JL132" s="19"/>
      <c r="JM132" s="19"/>
      <c r="JO132" s="8"/>
      <c r="JP132" s="7"/>
      <c r="JQ132" s="19"/>
      <c r="JR132" s="19"/>
      <c r="JS132" s="19"/>
      <c r="JT132" s="19"/>
      <c r="JV132" s="8"/>
      <c r="JW132" s="7"/>
      <c r="JX132" s="19"/>
      <c r="JY132" s="19"/>
      <c r="JZ132" s="19"/>
      <c r="KA132" s="19"/>
      <c r="KC132" s="8"/>
      <c r="KD132" s="7"/>
      <c r="KE132" s="19"/>
      <c r="KF132" s="19"/>
      <c r="KG132" s="19"/>
      <c r="KH132" s="19"/>
      <c r="KJ132" s="8"/>
      <c r="KK132" s="7"/>
      <c r="KL132" s="19"/>
      <c r="KM132" s="19"/>
      <c r="KN132" s="19"/>
      <c r="KO132" s="19"/>
      <c r="KQ132" s="8"/>
      <c r="KR132" s="7"/>
      <c r="KS132" s="19"/>
      <c r="KT132" s="19"/>
      <c r="KU132" s="19"/>
      <c r="KV132" s="19"/>
      <c r="KX132" s="8"/>
      <c r="KY132" s="7"/>
      <c r="KZ132" s="19"/>
      <c r="LA132" s="19"/>
      <c r="LB132" s="19"/>
      <c r="LC132" s="19"/>
      <c r="LE132" s="8"/>
      <c r="LF132" s="7"/>
      <c r="LG132" s="19"/>
      <c r="LH132" s="19"/>
      <c r="LI132" s="19"/>
      <c r="LJ132" s="19"/>
      <c r="LL132" s="8"/>
      <c r="LM132" s="7"/>
      <c r="LN132" s="19"/>
      <c r="LO132" s="19"/>
      <c r="LP132" s="19"/>
      <c r="LQ132" s="19"/>
      <c r="LS132" s="8"/>
      <c r="LT132" s="7"/>
      <c r="LU132" s="19"/>
      <c r="LV132" s="19"/>
      <c r="LW132" s="19"/>
      <c r="LX132" s="19"/>
      <c r="LZ132" s="8"/>
      <c r="MA132" s="7"/>
      <c r="MB132" s="19"/>
      <c r="MC132" s="19"/>
      <c r="MD132" s="19"/>
      <c r="ME132" s="19"/>
      <c r="MG132" s="8"/>
      <c r="MH132" s="7"/>
      <c r="MI132" s="19"/>
      <c r="MJ132" s="19"/>
      <c r="MK132" s="19"/>
      <c r="ML132" s="19"/>
      <c r="MN132" s="8"/>
      <c r="MO132" s="7"/>
      <c r="MP132" s="19"/>
      <c r="MQ132" s="19"/>
      <c r="MR132" s="19"/>
      <c r="MS132" s="19"/>
      <c r="MU132" s="8"/>
      <c r="MV132" s="7"/>
      <c r="MW132" s="19"/>
      <c r="MX132" s="19"/>
      <c r="MY132" s="19"/>
      <c r="MZ132" s="19"/>
      <c r="NB132" s="8"/>
      <c r="NC132" s="7"/>
      <c r="ND132" s="19"/>
      <c r="NE132" s="19"/>
      <c r="NF132" s="19"/>
      <c r="NG132" s="19"/>
      <c r="NI132" s="8"/>
      <c r="NJ132" s="7"/>
      <c r="NK132" s="19"/>
      <c r="NL132" s="19"/>
      <c r="NM132" s="19"/>
      <c r="NN132" s="19"/>
      <c r="NP132" s="8"/>
      <c r="NQ132" s="7"/>
      <c r="NR132" s="19"/>
      <c r="NS132" s="19"/>
      <c r="NT132" s="19"/>
      <c r="NU132" s="19"/>
      <c r="NW132" s="8"/>
      <c r="NX132" s="7"/>
      <c r="NY132" s="19"/>
      <c r="NZ132" s="19"/>
      <c r="OA132" s="19"/>
      <c r="OB132" s="19"/>
      <c r="OD132" s="8"/>
      <c r="OE132" s="7"/>
      <c r="OF132" s="19"/>
      <c r="OG132" s="19"/>
      <c r="OH132" s="19"/>
      <c r="OI132" s="19"/>
      <c r="OK132" s="8"/>
      <c r="OL132" s="7"/>
      <c r="OM132" s="19"/>
      <c r="ON132" s="19"/>
      <c r="OO132" s="19"/>
      <c r="OP132" s="19"/>
      <c r="OR132" s="8"/>
      <c r="OS132" s="7"/>
      <c r="OT132" s="19"/>
      <c r="OU132" s="19"/>
      <c r="OV132" s="19"/>
      <c r="OW132" s="19"/>
      <c r="OY132" s="8"/>
      <c r="OZ132" s="7"/>
      <c r="PA132" s="19"/>
      <c r="PB132" s="19"/>
      <c r="PC132" s="19"/>
      <c r="PD132" s="19"/>
      <c r="PF132" s="8"/>
      <c r="PG132" s="7"/>
      <c r="PH132" s="19"/>
      <c r="PI132" s="19"/>
      <c r="PJ132" s="19"/>
      <c r="PK132" s="19"/>
      <c r="PM132" s="8"/>
    </row>
    <row r="133" spans="1:429" s="1" customFormat="1" ht="26" customHeight="1" outlineLevel="1">
      <c r="B133" s="471"/>
      <c r="C133" s="7"/>
      <c r="D133" s="19"/>
      <c r="E133" s="19"/>
      <c r="F133" s="19"/>
      <c r="G133" s="19"/>
      <c r="I133" s="8"/>
      <c r="J133" s="7"/>
      <c r="K133" s="19"/>
      <c r="L133" s="19"/>
      <c r="M133" s="19"/>
      <c r="N133" s="19"/>
      <c r="P133" s="8"/>
      <c r="Q133" s="7"/>
      <c r="R133" s="19"/>
      <c r="S133" s="19"/>
      <c r="T133" s="19"/>
      <c r="U133" s="19"/>
      <c r="W133" s="8"/>
      <c r="X133" s="7"/>
      <c r="Y133" s="19"/>
      <c r="Z133" s="19"/>
      <c r="AA133" s="19"/>
      <c r="AB133" s="19"/>
      <c r="AD133" s="8"/>
      <c r="AE133" s="7"/>
      <c r="AF133" s="19"/>
      <c r="AG133" s="19"/>
      <c r="AH133" s="19"/>
      <c r="AI133" s="19"/>
      <c r="AK133" s="8"/>
      <c r="AL133" s="7"/>
      <c r="AM133" s="19"/>
      <c r="AN133" s="19"/>
      <c r="AO133" s="19"/>
      <c r="AP133" s="19"/>
      <c r="AR133" s="8"/>
      <c r="AS133" s="7"/>
      <c r="AT133" s="19"/>
      <c r="AU133" s="19"/>
      <c r="AV133" s="19"/>
      <c r="AW133" s="19"/>
      <c r="AY133" s="8"/>
      <c r="AZ133" s="7"/>
      <c r="BA133" s="19"/>
      <c r="BB133" s="19"/>
      <c r="BC133" s="19"/>
      <c r="BD133" s="19"/>
      <c r="BF133" s="8"/>
      <c r="BG133" s="7"/>
      <c r="BH133" s="19"/>
      <c r="BI133" s="19"/>
      <c r="BJ133" s="19"/>
      <c r="BK133" s="19"/>
      <c r="BM133" s="8"/>
      <c r="BN133" s="7"/>
      <c r="BO133" s="19"/>
      <c r="BP133" s="19"/>
      <c r="BQ133" s="19"/>
      <c r="BR133" s="19"/>
      <c r="BT133" s="8"/>
      <c r="BU133" s="7"/>
      <c r="BV133" s="19"/>
      <c r="BW133" s="19"/>
      <c r="BX133" s="19"/>
      <c r="BY133" s="19"/>
      <c r="CA133" s="8"/>
      <c r="CB133" s="7"/>
      <c r="CC133" s="19"/>
      <c r="CD133" s="19"/>
      <c r="CE133" s="19"/>
      <c r="CF133" s="19"/>
      <c r="CH133" s="8"/>
      <c r="CI133" s="7"/>
      <c r="CJ133" s="19"/>
      <c r="CK133" s="19"/>
      <c r="CL133" s="19"/>
      <c r="CM133" s="19"/>
      <c r="CO133" s="8"/>
      <c r="CP133" s="7"/>
      <c r="CQ133" s="19"/>
      <c r="CR133" s="19"/>
      <c r="CS133" s="19"/>
      <c r="CT133" s="19"/>
      <c r="CV133" s="8"/>
      <c r="CW133" s="7"/>
      <c r="CX133" s="19"/>
      <c r="CY133" s="19"/>
      <c r="CZ133" s="19"/>
      <c r="DA133" s="19"/>
      <c r="DC133" s="8"/>
      <c r="DD133" s="7"/>
      <c r="DE133" s="19"/>
      <c r="DF133" s="19"/>
      <c r="DG133" s="19"/>
      <c r="DH133" s="19"/>
      <c r="DJ133" s="8"/>
      <c r="DK133" s="7" t="s">
        <v>108</v>
      </c>
      <c r="DL133" s="19" t="s">
        <v>485</v>
      </c>
      <c r="DM133" s="19"/>
      <c r="DN133" s="19"/>
      <c r="DO133" s="19"/>
      <c r="DQ133" s="8" t="s">
        <v>493</v>
      </c>
      <c r="DR133" s="7"/>
      <c r="DS133" s="19" t="s">
        <v>180</v>
      </c>
      <c r="DT133" s="19"/>
      <c r="DU133" s="19"/>
      <c r="DV133" s="19"/>
      <c r="DX133" s="8" t="s">
        <v>493</v>
      </c>
      <c r="DY133" s="7"/>
      <c r="DZ133" s="19" t="s">
        <v>180</v>
      </c>
      <c r="EA133" s="19"/>
      <c r="EB133" s="19"/>
      <c r="EC133" s="19"/>
      <c r="EE133" s="8" t="s">
        <v>493</v>
      </c>
      <c r="EF133" s="7" t="s">
        <v>108</v>
      </c>
      <c r="EG133" s="19" t="s">
        <v>494</v>
      </c>
      <c r="EH133" s="19"/>
      <c r="EI133" s="19"/>
      <c r="EJ133" s="19"/>
      <c r="EL133" s="8" t="s">
        <v>493</v>
      </c>
      <c r="EM133" s="7"/>
      <c r="EN133" s="19" t="s">
        <v>180</v>
      </c>
      <c r="EO133" s="19"/>
      <c r="EP133" s="19"/>
      <c r="EQ133" s="19"/>
      <c r="ES133" s="8" t="s">
        <v>493</v>
      </c>
      <c r="ET133" s="7"/>
      <c r="EU133" s="19" t="s">
        <v>180</v>
      </c>
      <c r="EV133" s="19"/>
      <c r="EW133" s="19"/>
      <c r="EX133" s="19"/>
      <c r="EZ133" s="8" t="s">
        <v>493</v>
      </c>
      <c r="FA133" s="7"/>
      <c r="FB133" s="19"/>
      <c r="FC133" s="19"/>
      <c r="FD133" s="19"/>
      <c r="FE133" s="19"/>
      <c r="FG133" s="8"/>
      <c r="FH133" s="7"/>
      <c r="FI133" s="19"/>
      <c r="FJ133" s="19"/>
      <c r="FK133" s="19"/>
      <c r="FL133" s="19"/>
      <c r="FN133" s="8"/>
      <c r="FO133" s="7"/>
      <c r="FP133" s="19"/>
      <c r="FQ133" s="19"/>
      <c r="FR133" s="19"/>
      <c r="FS133" s="19"/>
      <c r="FU133" s="8"/>
      <c r="FV133" s="7"/>
      <c r="FW133" s="19"/>
      <c r="FX133" s="19"/>
      <c r="FY133" s="19"/>
      <c r="FZ133" s="19"/>
      <c r="GB133" s="8"/>
      <c r="GC133" s="7"/>
      <c r="GD133" s="19"/>
      <c r="GE133" s="19"/>
      <c r="GF133" s="19"/>
      <c r="GG133" s="19"/>
      <c r="GI133" s="8"/>
      <c r="GJ133" s="7"/>
      <c r="GK133" s="19"/>
      <c r="GL133" s="19"/>
      <c r="GM133" s="19"/>
      <c r="GN133" s="19"/>
      <c r="GP133" s="8"/>
      <c r="GQ133" s="7"/>
      <c r="GR133" s="19"/>
      <c r="GS133" s="19"/>
      <c r="GT133" s="19"/>
      <c r="GU133" s="19"/>
      <c r="GW133" s="8"/>
      <c r="GX133" s="7"/>
      <c r="GY133" s="19"/>
      <c r="GZ133" s="19"/>
      <c r="HA133" s="19"/>
      <c r="HB133" s="19"/>
      <c r="HD133" s="8"/>
      <c r="HE133" s="7"/>
      <c r="HF133" s="19"/>
      <c r="HG133" s="19"/>
      <c r="HH133" s="19"/>
      <c r="HI133" s="19"/>
      <c r="HK133" s="8"/>
      <c r="HL133" s="7"/>
      <c r="HM133" s="19"/>
      <c r="HN133" s="19"/>
      <c r="HO133" s="19"/>
      <c r="HP133" s="19"/>
      <c r="HR133" s="8"/>
      <c r="HS133" s="7"/>
      <c r="HT133" s="19"/>
      <c r="HU133" s="19"/>
      <c r="HV133" s="19"/>
      <c r="HW133" s="19"/>
      <c r="HY133" s="8"/>
      <c r="HZ133" s="7"/>
      <c r="IA133" s="19"/>
      <c r="IB133" s="19"/>
      <c r="IC133" s="19"/>
      <c r="ID133" s="19"/>
      <c r="IF133" s="8"/>
      <c r="IG133" s="7"/>
      <c r="IH133" s="19"/>
      <c r="II133" s="19"/>
      <c r="IJ133" s="19"/>
      <c r="IK133" s="19"/>
      <c r="IM133" s="8"/>
      <c r="IN133" s="7"/>
      <c r="IO133" s="19"/>
      <c r="IP133" s="19"/>
      <c r="IQ133" s="19"/>
      <c r="IR133" s="19"/>
      <c r="IT133" s="8"/>
      <c r="IU133" s="7"/>
      <c r="IV133" s="19"/>
      <c r="IW133" s="19"/>
      <c r="IX133" s="19"/>
      <c r="IY133" s="19"/>
      <c r="JA133" s="8"/>
      <c r="JB133" s="7"/>
      <c r="JC133" s="19"/>
      <c r="JD133" s="19"/>
      <c r="JE133" s="19"/>
      <c r="JF133" s="19"/>
      <c r="JH133" s="8"/>
      <c r="JI133" s="7"/>
      <c r="JJ133" s="19"/>
      <c r="JK133" s="19"/>
      <c r="JL133" s="19"/>
      <c r="JM133" s="19"/>
      <c r="JO133" s="8"/>
      <c r="JP133" s="7"/>
      <c r="JQ133" s="19"/>
      <c r="JR133" s="19"/>
      <c r="JS133" s="19"/>
      <c r="JT133" s="19"/>
      <c r="JV133" s="8"/>
      <c r="JW133" s="7"/>
      <c r="JX133" s="19"/>
      <c r="JY133" s="19"/>
      <c r="JZ133" s="19"/>
      <c r="KA133" s="19"/>
      <c r="KC133" s="8"/>
      <c r="KD133" s="7"/>
      <c r="KE133" s="19"/>
      <c r="KF133" s="19"/>
      <c r="KG133" s="19"/>
      <c r="KH133" s="19"/>
      <c r="KJ133" s="8"/>
      <c r="KK133" s="7"/>
      <c r="KL133" s="19"/>
      <c r="KM133" s="19"/>
      <c r="KN133" s="19"/>
      <c r="KO133" s="19"/>
      <c r="KQ133" s="8"/>
      <c r="KR133" s="7"/>
      <c r="KS133" s="19"/>
      <c r="KT133" s="19"/>
      <c r="KU133" s="19"/>
      <c r="KV133" s="19"/>
      <c r="KX133" s="8"/>
      <c r="KY133" s="7"/>
      <c r="KZ133" s="19"/>
      <c r="LA133" s="19"/>
      <c r="LB133" s="19"/>
      <c r="LC133" s="19"/>
      <c r="LE133" s="8"/>
      <c r="LF133" s="7"/>
      <c r="LG133" s="19"/>
      <c r="LH133" s="19"/>
      <c r="LI133" s="19"/>
      <c r="LJ133" s="19"/>
      <c r="LL133" s="8"/>
      <c r="LM133" s="7"/>
      <c r="LN133" s="19"/>
      <c r="LO133" s="19"/>
      <c r="LP133" s="19"/>
      <c r="LQ133" s="19"/>
      <c r="LS133" s="8"/>
      <c r="LT133" s="7"/>
      <c r="LU133" s="19"/>
      <c r="LV133" s="19"/>
      <c r="LW133" s="19"/>
      <c r="LX133" s="19"/>
      <c r="LZ133" s="8"/>
      <c r="MA133" s="7"/>
      <c r="MB133" s="19"/>
      <c r="MC133" s="19"/>
      <c r="MD133" s="19"/>
      <c r="ME133" s="19"/>
      <c r="MG133" s="8"/>
      <c r="MH133" s="7"/>
      <c r="MI133" s="19"/>
      <c r="MJ133" s="19"/>
      <c r="MK133" s="19"/>
      <c r="ML133" s="19"/>
      <c r="MN133" s="8"/>
      <c r="MO133" s="7"/>
      <c r="MP133" s="19"/>
      <c r="MQ133" s="19"/>
      <c r="MR133" s="19"/>
      <c r="MS133" s="19"/>
      <c r="MU133" s="8"/>
      <c r="MV133" s="7"/>
      <c r="MW133" s="19"/>
      <c r="MX133" s="19"/>
      <c r="MY133" s="19"/>
      <c r="MZ133" s="19"/>
      <c r="NB133" s="8"/>
      <c r="NC133" s="7"/>
      <c r="ND133" s="19"/>
      <c r="NE133" s="19"/>
      <c r="NF133" s="19"/>
      <c r="NG133" s="19"/>
      <c r="NI133" s="8"/>
      <c r="NJ133" s="7"/>
      <c r="NK133" s="19"/>
      <c r="NL133" s="19"/>
      <c r="NM133" s="19"/>
      <c r="NN133" s="19"/>
      <c r="NP133" s="8"/>
      <c r="NQ133" s="7"/>
      <c r="NR133" s="19"/>
      <c r="NS133" s="19"/>
      <c r="NT133" s="19"/>
      <c r="NU133" s="19"/>
      <c r="NW133" s="8"/>
      <c r="NX133" s="7"/>
      <c r="NY133" s="19"/>
      <c r="NZ133" s="19"/>
      <c r="OA133" s="19"/>
      <c r="OB133" s="19"/>
      <c r="OD133" s="8"/>
      <c r="OE133" s="7"/>
      <c r="OF133" s="19"/>
      <c r="OG133" s="19"/>
      <c r="OH133" s="19"/>
      <c r="OI133" s="19"/>
      <c r="OK133" s="8"/>
      <c r="OL133" s="7"/>
      <c r="OM133" s="19"/>
      <c r="ON133" s="19"/>
      <c r="OO133" s="19"/>
      <c r="OP133" s="19"/>
      <c r="OR133" s="8"/>
      <c r="OS133" s="7"/>
      <c r="OT133" s="19"/>
      <c r="OU133" s="19"/>
      <c r="OV133" s="19"/>
      <c r="OW133" s="19"/>
      <c r="OY133" s="8"/>
      <c r="OZ133" s="7"/>
      <c r="PA133" s="19"/>
      <c r="PB133" s="19"/>
      <c r="PC133" s="19"/>
      <c r="PD133" s="19"/>
      <c r="PF133" s="8"/>
      <c r="PG133" s="7"/>
      <c r="PH133" s="19"/>
      <c r="PI133" s="19"/>
      <c r="PJ133" s="19"/>
      <c r="PK133" s="19"/>
      <c r="PM133" s="8"/>
    </row>
    <row r="134" spans="1:429" s="1" customFormat="1" ht="26" customHeight="1" outlineLevel="1">
      <c r="B134" s="471"/>
      <c r="C134" s="7"/>
      <c r="D134" s="19"/>
      <c r="E134" s="19"/>
      <c r="F134" s="19"/>
      <c r="G134" s="19"/>
      <c r="I134" s="8"/>
      <c r="J134" s="7"/>
      <c r="K134" s="19"/>
      <c r="L134" s="19"/>
      <c r="M134" s="19"/>
      <c r="N134" s="19"/>
      <c r="P134" s="8"/>
      <c r="Q134" s="7"/>
      <c r="R134" s="19"/>
      <c r="S134" s="19"/>
      <c r="T134" s="19"/>
      <c r="U134" s="19"/>
      <c r="W134" s="8"/>
      <c r="X134" s="7"/>
      <c r="Y134" s="19"/>
      <c r="Z134" s="19"/>
      <c r="AA134" s="19"/>
      <c r="AB134" s="19"/>
      <c r="AD134" s="8"/>
      <c r="AE134" s="7"/>
      <c r="AF134" s="19"/>
      <c r="AG134" s="19"/>
      <c r="AH134" s="19"/>
      <c r="AI134" s="19"/>
      <c r="AK134" s="8"/>
      <c r="AL134" s="7"/>
      <c r="AM134" s="19"/>
      <c r="AN134" s="19"/>
      <c r="AO134" s="19"/>
      <c r="AP134" s="19"/>
      <c r="AR134" s="8"/>
      <c r="AS134" s="7"/>
      <c r="AT134" s="19"/>
      <c r="AU134" s="19"/>
      <c r="AV134" s="19"/>
      <c r="AW134" s="19"/>
      <c r="AY134" s="8"/>
      <c r="AZ134" s="7"/>
      <c r="BA134" s="19"/>
      <c r="BB134" s="19"/>
      <c r="BC134" s="19"/>
      <c r="BD134" s="19"/>
      <c r="BF134" s="8"/>
      <c r="BG134" s="7"/>
      <c r="BH134" s="19"/>
      <c r="BI134" s="19"/>
      <c r="BJ134" s="19"/>
      <c r="BK134" s="19"/>
      <c r="BM134" s="8"/>
      <c r="BN134" s="7"/>
      <c r="BO134" s="19"/>
      <c r="BP134" s="19"/>
      <c r="BQ134" s="19"/>
      <c r="BR134" s="19"/>
      <c r="BT134" s="8"/>
      <c r="BU134" s="7"/>
      <c r="BV134" s="19"/>
      <c r="BW134" s="19"/>
      <c r="BX134" s="19"/>
      <c r="BY134" s="19"/>
      <c r="CA134" s="8"/>
      <c r="CB134" s="7"/>
      <c r="CC134" s="19"/>
      <c r="CD134" s="19"/>
      <c r="CE134" s="19"/>
      <c r="CF134" s="19"/>
      <c r="CH134" s="8"/>
      <c r="CI134" s="7"/>
      <c r="CJ134" s="19"/>
      <c r="CK134" s="19"/>
      <c r="CL134" s="19"/>
      <c r="CM134" s="19"/>
      <c r="CO134" s="8"/>
      <c r="CP134" s="7"/>
      <c r="CQ134" s="19"/>
      <c r="CR134" s="19"/>
      <c r="CS134" s="19"/>
      <c r="CT134" s="19"/>
      <c r="CV134" s="8"/>
      <c r="CW134" s="7"/>
      <c r="CX134" s="19"/>
      <c r="CY134" s="19"/>
      <c r="CZ134" s="19"/>
      <c r="DA134" s="19"/>
      <c r="DC134" s="8"/>
      <c r="DD134" s="7"/>
      <c r="DE134" s="19"/>
      <c r="DF134" s="19"/>
      <c r="DG134" s="19"/>
      <c r="DH134" s="19"/>
      <c r="DJ134" s="8"/>
      <c r="DK134" s="7" t="s">
        <v>109</v>
      </c>
      <c r="DL134" s="19" t="s">
        <v>486</v>
      </c>
      <c r="DM134" s="19"/>
      <c r="DN134" s="19"/>
      <c r="DO134" s="19"/>
      <c r="DQ134" s="8" t="s">
        <v>493</v>
      </c>
      <c r="DR134" s="7"/>
      <c r="DS134" s="19" t="s">
        <v>180</v>
      </c>
      <c r="DT134" s="19"/>
      <c r="DU134" s="19"/>
      <c r="DV134" s="19"/>
      <c r="DX134" s="8" t="s">
        <v>493</v>
      </c>
      <c r="DY134" s="7"/>
      <c r="DZ134" s="19" t="s">
        <v>180</v>
      </c>
      <c r="EA134" s="19"/>
      <c r="EB134" s="19"/>
      <c r="EC134" s="19"/>
      <c r="EE134" s="8" t="s">
        <v>493</v>
      </c>
      <c r="EF134" s="7" t="s">
        <v>109</v>
      </c>
      <c r="EG134" s="19" t="s">
        <v>496</v>
      </c>
      <c r="EH134" s="19"/>
      <c r="EI134" s="19"/>
      <c r="EJ134" s="19"/>
      <c r="EL134" s="8" t="s">
        <v>493</v>
      </c>
      <c r="EM134" s="7"/>
      <c r="EN134" s="19" t="s">
        <v>180</v>
      </c>
      <c r="EO134" s="19"/>
      <c r="EP134" s="19"/>
      <c r="EQ134" s="19"/>
      <c r="ES134" s="8" t="s">
        <v>493</v>
      </c>
      <c r="ET134" s="7"/>
      <c r="EU134" s="19" t="s">
        <v>180</v>
      </c>
      <c r="EV134" s="19"/>
      <c r="EW134" s="19"/>
      <c r="EX134" s="19"/>
      <c r="EZ134" s="8" t="s">
        <v>493</v>
      </c>
      <c r="FA134" s="7"/>
      <c r="FB134" s="19"/>
      <c r="FC134" s="19"/>
      <c r="FD134" s="19"/>
      <c r="FE134" s="19"/>
      <c r="FG134" s="8"/>
      <c r="FH134" s="7"/>
      <c r="FI134" s="19"/>
      <c r="FJ134" s="19"/>
      <c r="FK134" s="19"/>
      <c r="FL134" s="19"/>
      <c r="FN134" s="8"/>
      <c r="FO134" s="7"/>
      <c r="FP134" s="19"/>
      <c r="FQ134" s="19"/>
      <c r="FR134" s="19"/>
      <c r="FS134" s="19"/>
      <c r="FU134" s="8"/>
      <c r="FV134" s="7"/>
      <c r="FW134" s="19"/>
      <c r="FX134" s="19"/>
      <c r="FY134" s="19"/>
      <c r="FZ134" s="19"/>
      <c r="GB134" s="8"/>
      <c r="GC134" s="7"/>
      <c r="GD134" s="19"/>
      <c r="GE134" s="19"/>
      <c r="GF134" s="19"/>
      <c r="GG134" s="19"/>
      <c r="GI134" s="8"/>
      <c r="GJ134" s="7"/>
      <c r="GK134" s="19"/>
      <c r="GL134" s="19"/>
      <c r="GM134" s="19"/>
      <c r="GN134" s="19"/>
      <c r="GP134" s="8"/>
      <c r="GQ134" s="7"/>
      <c r="GR134" s="19"/>
      <c r="GS134" s="19"/>
      <c r="GT134" s="19"/>
      <c r="GU134" s="19"/>
      <c r="GW134" s="8"/>
      <c r="GX134" s="7"/>
      <c r="GY134" s="19"/>
      <c r="GZ134" s="19"/>
      <c r="HA134" s="19"/>
      <c r="HB134" s="19"/>
      <c r="HD134" s="8"/>
      <c r="HE134" s="7"/>
      <c r="HF134" s="19"/>
      <c r="HG134" s="19"/>
      <c r="HH134" s="19"/>
      <c r="HI134" s="19"/>
      <c r="HK134" s="8"/>
      <c r="HL134" s="7"/>
      <c r="HM134" s="19"/>
      <c r="HN134" s="19"/>
      <c r="HO134" s="19"/>
      <c r="HP134" s="19"/>
      <c r="HR134" s="8"/>
      <c r="HS134" s="7"/>
      <c r="HT134" s="19"/>
      <c r="HU134" s="19"/>
      <c r="HV134" s="19"/>
      <c r="HW134" s="19"/>
      <c r="HY134" s="8"/>
      <c r="HZ134" s="7"/>
      <c r="IA134" s="19"/>
      <c r="IB134" s="19"/>
      <c r="IC134" s="19"/>
      <c r="ID134" s="19"/>
      <c r="IF134" s="8"/>
      <c r="IG134" s="7"/>
      <c r="IH134" s="19"/>
      <c r="II134" s="19"/>
      <c r="IJ134" s="19"/>
      <c r="IK134" s="19"/>
      <c r="IM134" s="8"/>
      <c r="IN134" s="7"/>
      <c r="IO134" s="19"/>
      <c r="IP134" s="19"/>
      <c r="IQ134" s="19"/>
      <c r="IR134" s="19"/>
      <c r="IT134" s="8"/>
      <c r="IU134" s="7"/>
      <c r="IV134" s="19"/>
      <c r="IW134" s="19"/>
      <c r="IX134" s="19"/>
      <c r="IY134" s="19"/>
      <c r="JA134" s="8"/>
      <c r="JB134" s="7"/>
      <c r="JC134" s="19"/>
      <c r="JD134" s="19"/>
      <c r="JE134" s="19"/>
      <c r="JF134" s="19"/>
      <c r="JH134" s="8"/>
      <c r="JI134" s="7"/>
      <c r="JJ134" s="19"/>
      <c r="JK134" s="19"/>
      <c r="JL134" s="19"/>
      <c r="JM134" s="19"/>
      <c r="JO134" s="8"/>
      <c r="JP134" s="7"/>
      <c r="JQ134" s="19"/>
      <c r="JR134" s="19"/>
      <c r="JS134" s="19"/>
      <c r="JT134" s="19"/>
      <c r="JV134" s="8"/>
      <c r="JW134" s="7"/>
      <c r="JX134" s="19"/>
      <c r="JY134" s="19"/>
      <c r="JZ134" s="19"/>
      <c r="KA134" s="19"/>
      <c r="KC134" s="8"/>
      <c r="KD134" s="7"/>
      <c r="KE134" s="19"/>
      <c r="KF134" s="19"/>
      <c r="KG134" s="19"/>
      <c r="KH134" s="19"/>
      <c r="KJ134" s="8"/>
      <c r="KK134" s="7"/>
      <c r="KL134" s="19"/>
      <c r="KM134" s="19"/>
      <c r="KN134" s="19"/>
      <c r="KO134" s="19"/>
      <c r="KQ134" s="8"/>
      <c r="KR134" s="7"/>
      <c r="KS134" s="19"/>
      <c r="KT134" s="19"/>
      <c r="KU134" s="19"/>
      <c r="KV134" s="19"/>
      <c r="KX134" s="8"/>
      <c r="KY134" s="7"/>
      <c r="KZ134" s="19"/>
      <c r="LA134" s="19"/>
      <c r="LB134" s="19"/>
      <c r="LC134" s="19"/>
      <c r="LE134" s="8"/>
      <c r="LF134" s="7"/>
      <c r="LG134" s="19"/>
      <c r="LH134" s="19"/>
      <c r="LI134" s="19"/>
      <c r="LJ134" s="19"/>
      <c r="LL134" s="8"/>
      <c r="LM134" s="7"/>
      <c r="LN134" s="19"/>
      <c r="LO134" s="19"/>
      <c r="LP134" s="19"/>
      <c r="LQ134" s="19"/>
      <c r="LS134" s="8"/>
      <c r="LT134" s="7"/>
      <c r="LU134" s="19"/>
      <c r="LV134" s="19"/>
      <c r="LW134" s="19"/>
      <c r="LX134" s="19"/>
      <c r="LZ134" s="8"/>
      <c r="MA134" s="7"/>
      <c r="MB134" s="19"/>
      <c r="MC134" s="19"/>
      <c r="MD134" s="19"/>
      <c r="ME134" s="19"/>
      <c r="MG134" s="8"/>
      <c r="MH134" s="7"/>
      <c r="MI134" s="19"/>
      <c r="MJ134" s="19"/>
      <c r="MK134" s="19"/>
      <c r="ML134" s="19"/>
      <c r="MN134" s="8"/>
      <c r="MO134" s="7"/>
      <c r="MP134" s="19"/>
      <c r="MQ134" s="19"/>
      <c r="MR134" s="19"/>
      <c r="MS134" s="19"/>
      <c r="MU134" s="8"/>
      <c r="MV134" s="7"/>
      <c r="MW134" s="19"/>
      <c r="MX134" s="19"/>
      <c r="MY134" s="19"/>
      <c r="MZ134" s="19"/>
      <c r="NB134" s="8"/>
      <c r="NC134" s="7"/>
      <c r="ND134" s="19"/>
      <c r="NE134" s="19"/>
      <c r="NF134" s="19"/>
      <c r="NG134" s="19"/>
      <c r="NI134" s="8"/>
      <c r="NJ134" s="7"/>
      <c r="NK134" s="19"/>
      <c r="NL134" s="19"/>
      <c r="NM134" s="19"/>
      <c r="NN134" s="19"/>
      <c r="NP134" s="8"/>
      <c r="NQ134" s="7"/>
      <c r="NR134" s="19"/>
      <c r="NS134" s="19"/>
      <c r="NT134" s="19"/>
      <c r="NU134" s="19"/>
      <c r="NW134" s="8"/>
      <c r="NX134" s="7"/>
      <c r="NY134" s="19"/>
      <c r="NZ134" s="19"/>
      <c r="OA134" s="19"/>
      <c r="OB134" s="19"/>
      <c r="OD134" s="8"/>
      <c r="OE134" s="7"/>
      <c r="OF134" s="19"/>
      <c r="OG134" s="19"/>
      <c r="OH134" s="19"/>
      <c r="OI134" s="19"/>
      <c r="OK134" s="8"/>
      <c r="OL134" s="7"/>
      <c r="OM134" s="19"/>
      <c r="ON134" s="19"/>
      <c r="OO134" s="19"/>
      <c r="OP134" s="19"/>
      <c r="OR134" s="8"/>
      <c r="OS134" s="7"/>
      <c r="OT134" s="19"/>
      <c r="OU134" s="19"/>
      <c r="OV134" s="19"/>
      <c r="OW134" s="19"/>
      <c r="OY134" s="8"/>
      <c r="OZ134" s="7"/>
      <c r="PA134" s="19"/>
      <c r="PB134" s="19"/>
      <c r="PC134" s="19"/>
      <c r="PD134" s="19"/>
      <c r="PF134" s="8"/>
      <c r="PG134" s="7"/>
      <c r="PH134" s="19"/>
      <c r="PI134" s="19"/>
      <c r="PJ134" s="19"/>
      <c r="PK134" s="19"/>
      <c r="PM134" s="8"/>
    </row>
    <row r="135" spans="1:429" s="1" customFormat="1" ht="26" customHeight="1" outlineLevel="1">
      <c r="B135" s="471"/>
      <c r="C135" s="7"/>
      <c r="D135" s="19"/>
      <c r="E135" s="19"/>
      <c r="F135" s="19"/>
      <c r="G135" s="19"/>
      <c r="I135" s="8"/>
      <c r="J135" s="7"/>
      <c r="K135" s="19"/>
      <c r="L135" s="19"/>
      <c r="M135" s="19"/>
      <c r="N135" s="19"/>
      <c r="P135" s="8"/>
      <c r="Q135" s="7"/>
      <c r="R135" s="19"/>
      <c r="S135" s="19"/>
      <c r="T135" s="19"/>
      <c r="U135" s="19"/>
      <c r="W135" s="8"/>
      <c r="X135" s="7"/>
      <c r="Y135" s="19"/>
      <c r="Z135" s="19"/>
      <c r="AA135" s="19"/>
      <c r="AB135" s="19"/>
      <c r="AD135" s="8"/>
      <c r="AE135" s="7"/>
      <c r="AF135" s="19"/>
      <c r="AG135" s="19"/>
      <c r="AH135" s="19"/>
      <c r="AI135" s="19"/>
      <c r="AK135" s="8"/>
      <c r="AL135" s="7"/>
      <c r="AM135" s="19"/>
      <c r="AN135" s="19"/>
      <c r="AO135" s="19"/>
      <c r="AP135" s="19"/>
      <c r="AR135" s="8"/>
      <c r="AS135" s="7"/>
      <c r="AT135" s="19"/>
      <c r="AU135" s="19"/>
      <c r="AV135" s="19"/>
      <c r="AW135" s="19"/>
      <c r="AY135" s="8"/>
      <c r="AZ135" s="7"/>
      <c r="BA135" s="19"/>
      <c r="BB135" s="19"/>
      <c r="BC135" s="19"/>
      <c r="BD135" s="19"/>
      <c r="BF135" s="8"/>
      <c r="BG135" s="7"/>
      <c r="BH135" s="19"/>
      <c r="BI135" s="19"/>
      <c r="BJ135" s="19"/>
      <c r="BK135" s="19"/>
      <c r="BM135" s="8"/>
      <c r="BN135" s="7"/>
      <c r="BO135" s="19"/>
      <c r="BP135" s="19"/>
      <c r="BQ135" s="19"/>
      <c r="BR135" s="19"/>
      <c r="BT135" s="8"/>
      <c r="BU135" s="7"/>
      <c r="BV135" s="19"/>
      <c r="BW135" s="19"/>
      <c r="BX135" s="19"/>
      <c r="BY135" s="19"/>
      <c r="CA135" s="8"/>
      <c r="CB135" s="7"/>
      <c r="CC135" s="19"/>
      <c r="CD135" s="19"/>
      <c r="CE135" s="19"/>
      <c r="CF135" s="19"/>
      <c r="CH135" s="8"/>
      <c r="CI135" s="7"/>
      <c r="CJ135" s="19"/>
      <c r="CK135" s="19"/>
      <c r="CL135" s="19"/>
      <c r="CM135" s="19"/>
      <c r="CO135" s="8"/>
      <c r="CP135" s="7"/>
      <c r="CQ135" s="19"/>
      <c r="CR135" s="19"/>
      <c r="CS135" s="19"/>
      <c r="CT135" s="19"/>
      <c r="CV135" s="8"/>
      <c r="CW135" s="7"/>
      <c r="CX135" s="19"/>
      <c r="CY135" s="19"/>
      <c r="CZ135" s="19"/>
      <c r="DA135" s="19"/>
      <c r="DC135" s="8"/>
      <c r="DD135" s="7"/>
      <c r="DE135" s="19"/>
      <c r="DF135" s="19"/>
      <c r="DG135" s="19"/>
      <c r="DH135" s="19"/>
      <c r="DJ135" s="8"/>
      <c r="DK135" s="7" t="s">
        <v>110</v>
      </c>
      <c r="DL135" s="19" t="s">
        <v>487</v>
      </c>
      <c r="DM135" s="19"/>
      <c r="DN135" s="19"/>
      <c r="DO135" s="19"/>
      <c r="DQ135" s="8">
        <v>10</v>
      </c>
      <c r="DR135" s="7"/>
      <c r="DS135" s="19" t="s">
        <v>180</v>
      </c>
      <c r="DT135" s="19"/>
      <c r="DU135" s="19"/>
      <c r="DV135" s="19"/>
      <c r="DX135" s="8">
        <v>10</v>
      </c>
      <c r="DY135" s="7"/>
      <c r="DZ135" s="19" t="s">
        <v>180</v>
      </c>
      <c r="EA135" s="19"/>
      <c r="EB135" s="19"/>
      <c r="EC135" s="19"/>
      <c r="EE135" s="8">
        <v>10</v>
      </c>
      <c r="EF135" s="7" t="s">
        <v>110</v>
      </c>
      <c r="EG135" s="19" t="s">
        <v>491</v>
      </c>
      <c r="EH135" s="19"/>
      <c r="EI135" s="19"/>
      <c r="EJ135" s="19"/>
      <c r="EK135" s="1" t="s">
        <v>193</v>
      </c>
      <c r="EL135" s="8">
        <v>8</v>
      </c>
      <c r="EM135" s="7"/>
      <c r="EN135" s="19" t="s">
        <v>180</v>
      </c>
      <c r="EO135" s="19"/>
      <c r="EP135" s="19"/>
      <c r="EQ135" s="19"/>
      <c r="ES135" s="8">
        <v>9</v>
      </c>
      <c r="ET135" s="7"/>
      <c r="EU135" s="19" t="s">
        <v>180</v>
      </c>
      <c r="EV135" s="19"/>
      <c r="EW135" s="19"/>
      <c r="EX135" s="19"/>
      <c r="EZ135" s="8">
        <v>10</v>
      </c>
      <c r="FA135" s="7"/>
      <c r="FB135" s="19"/>
      <c r="FC135" s="19"/>
      <c r="FD135" s="19"/>
      <c r="FE135" s="19"/>
      <c r="FG135" s="8"/>
      <c r="FH135" s="7"/>
      <c r="FI135" s="19"/>
      <c r="FJ135" s="19"/>
      <c r="FK135" s="19"/>
      <c r="FL135" s="19"/>
      <c r="FN135" s="8"/>
      <c r="FO135" s="7"/>
      <c r="FP135" s="19"/>
      <c r="FQ135" s="19"/>
      <c r="FR135" s="19"/>
      <c r="FS135" s="19"/>
      <c r="FU135" s="8"/>
      <c r="FV135" s="7"/>
      <c r="FW135" s="19"/>
      <c r="FX135" s="19"/>
      <c r="FY135" s="19"/>
      <c r="FZ135" s="19"/>
      <c r="GB135" s="8"/>
      <c r="GC135" s="7"/>
      <c r="GD135" s="19"/>
      <c r="GE135" s="19"/>
      <c r="GF135" s="19"/>
      <c r="GG135" s="19"/>
      <c r="GI135" s="8"/>
      <c r="GJ135" s="7"/>
      <c r="GK135" s="19"/>
      <c r="GL135" s="19"/>
      <c r="GM135" s="19"/>
      <c r="GN135" s="19"/>
      <c r="GP135" s="8"/>
      <c r="GQ135" s="7"/>
      <c r="GR135" s="19"/>
      <c r="GS135" s="19"/>
      <c r="GT135" s="19"/>
      <c r="GU135" s="19"/>
      <c r="GW135" s="8"/>
      <c r="GX135" s="7"/>
      <c r="GY135" s="19"/>
      <c r="GZ135" s="19"/>
      <c r="HA135" s="19"/>
      <c r="HB135" s="19"/>
      <c r="HD135" s="8"/>
      <c r="HE135" s="7"/>
      <c r="HF135" s="19"/>
      <c r="HG135" s="19"/>
      <c r="HH135" s="19"/>
      <c r="HI135" s="19"/>
      <c r="HK135" s="8"/>
      <c r="HL135" s="7"/>
      <c r="HM135" s="19"/>
      <c r="HN135" s="19"/>
      <c r="HO135" s="19"/>
      <c r="HP135" s="19"/>
      <c r="HR135" s="8"/>
      <c r="HS135" s="7"/>
      <c r="HT135" s="19"/>
      <c r="HU135" s="19"/>
      <c r="HV135" s="19"/>
      <c r="HW135" s="19"/>
      <c r="HY135" s="8"/>
      <c r="HZ135" s="7"/>
      <c r="IA135" s="19"/>
      <c r="IB135" s="19"/>
      <c r="IC135" s="19"/>
      <c r="ID135" s="19"/>
      <c r="IF135" s="8"/>
      <c r="IG135" s="7"/>
      <c r="IH135" s="19"/>
      <c r="II135" s="19"/>
      <c r="IJ135" s="19"/>
      <c r="IK135" s="19"/>
      <c r="IM135" s="8"/>
      <c r="IN135" s="7"/>
      <c r="IO135" s="19"/>
      <c r="IP135" s="19"/>
      <c r="IQ135" s="19"/>
      <c r="IR135" s="19"/>
      <c r="IT135" s="8"/>
      <c r="IU135" s="7"/>
      <c r="IV135" s="19"/>
      <c r="IW135" s="19"/>
      <c r="IX135" s="19"/>
      <c r="IY135" s="19"/>
      <c r="JA135" s="8"/>
      <c r="JB135" s="7"/>
      <c r="JC135" s="19"/>
      <c r="JD135" s="19"/>
      <c r="JE135" s="19"/>
      <c r="JF135" s="19"/>
      <c r="JH135" s="8"/>
      <c r="JI135" s="7"/>
      <c r="JJ135" s="19"/>
      <c r="JK135" s="19"/>
      <c r="JL135" s="19"/>
      <c r="JM135" s="19"/>
      <c r="JO135" s="8"/>
      <c r="JP135" s="7"/>
      <c r="JQ135" s="19"/>
      <c r="JR135" s="19"/>
      <c r="JS135" s="19"/>
      <c r="JT135" s="19"/>
      <c r="JV135" s="8"/>
      <c r="JW135" s="7"/>
      <c r="JX135" s="19"/>
      <c r="JY135" s="19"/>
      <c r="JZ135" s="19"/>
      <c r="KA135" s="19"/>
      <c r="KC135" s="8"/>
      <c r="KD135" s="7"/>
      <c r="KE135" s="19"/>
      <c r="KF135" s="19"/>
      <c r="KG135" s="19"/>
      <c r="KH135" s="19"/>
      <c r="KJ135" s="8"/>
      <c r="KK135" s="7"/>
      <c r="KL135" s="19"/>
      <c r="KM135" s="19"/>
      <c r="KN135" s="19"/>
      <c r="KO135" s="19"/>
      <c r="KQ135" s="8"/>
      <c r="KR135" s="7"/>
      <c r="KS135" s="19"/>
      <c r="KT135" s="19"/>
      <c r="KU135" s="19"/>
      <c r="KV135" s="19"/>
      <c r="KX135" s="8"/>
      <c r="KY135" s="7"/>
      <c r="KZ135" s="19"/>
      <c r="LA135" s="19"/>
      <c r="LB135" s="19"/>
      <c r="LC135" s="19"/>
      <c r="LE135" s="8"/>
      <c r="LF135" s="7"/>
      <c r="LG135" s="19"/>
      <c r="LH135" s="19"/>
      <c r="LI135" s="19"/>
      <c r="LJ135" s="19"/>
      <c r="LL135" s="8"/>
      <c r="LM135" s="7"/>
      <c r="LN135" s="19"/>
      <c r="LO135" s="19"/>
      <c r="LP135" s="19"/>
      <c r="LQ135" s="19"/>
      <c r="LS135" s="8"/>
      <c r="LT135" s="7"/>
      <c r="LU135" s="19"/>
      <c r="LV135" s="19"/>
      <c r="LW135" s="19"/>
      <c r="LX135" s="19"/>
      <c r="LZ135" s="8"/>
      <c r="MA135" s="7"/>
      <c r="MB135" s="19"/>
      <c r="MC135" s="19"/>
      <c r="MD135" s="19"/>
      <c r="ME135" s="19"/>
      <c r="MG135" s="8"/>
      <c r="MH135" s="7"/>
      <c r="MI135" s="19"/>
      <c r="MJ135" s="19"/>
      <c r="MK135" s="19"/>
      <c r="ML135" s="19"/>
      <c r="MN135" s="8"/>
      <c r="MO135" s="7"/>
      <c r="MP135" s="19"/>
      <c r="MQ135" s="19"/>
      <c r="MR135" s="19"/>
      <c r="MS135" s="19"/>
      <c r="MU135" s="8"/>
      <c r="MV135" s="7"/>
      <c r="MW135" s="19"/>
      <c r="MX135" s="19"/>
      <c r="MY135" s="19"/>
      <c r="MZ135" s="19"/>
      <c r="NB135" s="8"/>
      <c r="NC135" s="7"/>
      <c r="ND135" s="19"/>
      <c r="NE135" s="19"/>
      <c r="NF135" s="19"/>
      <c r="NG135" s="19"/>
      <c r="NI135" s="8"/>
      <c r="NJ135" s="7"/>
      <c r="NK135" s="19"/>
      <c r="NL135" s="19"/>
      <c r="NM135" s="19"/>
      <c r="NN135" s="19"/>
      <c r="NP135" s="8"/>
      <c r="NQ135" s="7"/>
      <c r="NR135" s="19"/>
      <c r="NS135" s="19"/>
      <c r="NT135" s="19"/>
      <c r="NU135" s="19"/>
      <c r="NW135" s="8"/>
      <c r="NX135" s="7"/>
      <c r="NY135" s="19"/>
      <c r="NZ135" s="19"/>
      <c r="OA135" s="19"/>
      <c r="OB135" s="19"/>
      <c r="OD135" s="8"/>
      <c r="OE135" s="7"/>
      <c r="OF135" s="19"/>
      <c r="OG135" s="19"/>
      <c r="OH135" s="19"/>
      <c r="OI135" s="19"/>
      <c r="OK135" s="8"/>
      <c r="OL135" s="7"/>
      <c r="OM135" s="19"/>
      <c r="ON135" s="19"/>
      <c r="OO135" s="19"/>
      <c r="OP135" s="19"/>
      <c r="OR135" s="8"/>
      <c r="OS135" s="7"/>
      <c r="OT135" s="19"/>
      <c r="OU135" s="19"/>
      <c r="OV135" s="19"/>
      <c r="OW135" s="19"/>
      <c r="OY135" s="8"/>
      <c r="OZ135" s="7"/>
      <c r="PA135" s="19"/>
      <c r="PB135" s="19"/>
      <c r="PC135" s="19"/>
      <c r="PD135" s="19"/>
      <c r="PF135" s="8"/>
      <c r="PG135" s="7"/>
      <c r="PH135" s="19"/>
      <c r="PI135" s="19"/>
      <c r="PJ135" s="19"/>
      <c r="PK135" s="19"/>
      <c r="PM135" s="8"/>
    </row>
    <row r="136" spans="1:429" s="1" customFormat="1" ht="26" customHeight="1" outlineLevel="1">
      <c r="B136" s="471"/>
      <c r="C136" s="7"/>
      <c r="D136" s="19"/>
      <c r="E136" s="19"/>
      <c r="F136" s="19"/>
      <c r="G136" s="19"/>
      <c r="I136" s="8"/>
      <c r="J136" s="7"/>
      <c r="K136" s="19"/>
      <c r="L136" s="19"/>
      <c r="M136" s="19"/>
      <c r="N136" s="19"/>
      <c r="P136" s="8"/>
      <c r="Q136" s="7"/>
      <c r="R136" s="19"/>
      <c r="S136" s="19"/>
      <c r="T136" s="19"/>
      <c r="U136" s="19"/>
      <c r="W136" s="8"/>
      <c r="X136" s="7"/>
      <c r="Y136" s="19"/>
      <c r="Z136" s="19"/>
      <c r="AA136" s="19"/>
      <c r="AB136" s="19"/>
      <c r="AD136" s="8"/>
      <c r="AE136" s="7"/>
      <c r="AF136" s="19"/>
      <c r="AG136" s="19"/>
      <c r="AH136" s="19"/>
      <c r="AI136" s="19"/>
      <c r="AK136" s="8"/>
      <c r="AL136" s="7"/>
      <c r="AM136" s="19"/>
      <c r="AN136" s="19"/>
      <c r="AO136" s="19"/>
      <c r="AP136" s="19"/>
      <c r="AR136" s="8"/>
      <c r="AS136" s="7"/>
      <c r="AT136" s="19"/>
      <c r="AU136" s="19"/>
      <c r="AV136" s="19"/>
      <c r="AW136" s="19"/>
      <c r="AY136" s="8"/>
      <c r="AZ136" s="7"/>
      <c r="BA136" s="19"/>
      <c r="BB136" s="19"/>
      <c r="BC136" s="19"/>
      <c r="BD136" s="19"/>
      <c r="BF136" s="8"/>
      <c r="BG136" s="7"/>
      <c r="BH136" s="19"/>
      <c r="BI136" s="19"/>
      <c r="BJ136" s="19"/>
      <c r="BK136" s="19"/>
      <c r="BM136" s="8"/>
      <c r="BN136" s="7"/>
      <c r="BO136" s="19"/>
      <c r="BP136" s="19"/>
      <c r="BQ136" s="19"/>
      <c r="BR136" s="19"/>
      <c r="BT136" s="8"/>
      <c r="BU136" s="7"/>
      <c r="BV136" s="19"/>
      <c r="BW136" s="19"/>
      <c r="BX136" s="19"/>
      <c r="BY136" s="19"/>
      <c r="CA136" s="8"/>
      <c r="CB136" s="7"/>
      <c r="CC136" s="19"/>
      <c r="CD136" s="19"/>
      <c r="CE136" s="19"/>
      <c r="CF136" s="19"/>
      <c r="CH136" s="8"/>
      <c r="CI136" s="7"/>
      <c r="CJ136" s="19"/>
      <c r="CK136" s="19"/>
      <c r="CL136" s="19"/>
      <c r="CM136" s="19"/>
      <c r="CO136" s="8"/>
      <c r="CP136" s="7"/>
      <c r="CQ136" s="19"/>
      <c r="CR136" s="19"/>
      <c r="CS136" s="19"/>
      <c r="CT136" s="19"/>
      <c r="CV136" s="8"/>
      <c r="CW136" s="7"/>
      <c r="CX136" s="19"/>
      <c r="CY136" s="19"/>
      <c r="CZ136" s="19"/>
      <c r="DA136" s="19"/>
      <c r="DC136" s="8"/>
      <c r="DD136" s="7"/>
      <c r="DE136" s="19"/>
      <c r="DF136" s="19"/>
      <c r="DG136" s="19"/>
      <c r="DH136" s="19"/>
      <c r="DJ136" s="8"/>
      <c r="DK136" s="7" t="s">
        <v>111</v>
      </c>
      <c r="DL136" s="19" t="s">
        <v>488</v>
      </c>
      <c r="DM136" s="19"/>
      <c r="DN136" s="19"/>
      <c r="DO136" s="19"/>
      <c r="DQ136" s="8">
        <v>10</v>
      </c>
      <c r="DR136" s="7"/>
      <c r="DS136" s="19" t="s">
        <v>180</v>
      </c>
      <c r="DT136" s="19"/>
      <c r="DU136" s="19"/>
      <c r="DV136" s="19"/>
      <c r="DX136" s="8">
        <v>10</v>
      </c>
      <c r="DY136" s="7"/>
      <c r="DZ136" s="19" t="s">
        <v>180</v>
      </c>
      <c r="EA136" s="19"/>
      <c r="EB136" s="19"/>
      <c r="EC136" s="19"/>
      <c r="EE136" s="8">
        <v>10</v>
      </c>
      <c r="EF136" s="7" t="s">
        <v>111</v>
      </c>
      <c r="EG136" s="19" t="s">
        <v>492</v>
      </c>
      <c r="EH136" s="19"/>
      <c r="EI136" s="19"/>
      <c r="EJ136" s="19"/>
      <c r="EK136" s="1" t="s">
        <v>193</v>
      </c>
      <c r="EL136" s="8">
        <v>8</v>
      </c>
      <c r="EM136" s="7"/>
      <c r="EN136" s="19" t="s">
        <v>180</v>
      </c>
      <c r="EO136" s="19"/>
      <c r="EP136" s="19"/>
      <c r="EQ136" s="19"/>
      <c r="ES136" s="8">
        <v>9</v>
      </c>
      <c r="ET136" s="7"/>
      <c r="EU136" s="19" t="s">
        <v>180</v>
      </c>
      <c r="EV136" s="19"/>
      <c r="EW136" s="19"/>
      <c r="EX136" s="19"/>
      <c r="EZ136" s="8">
        <v>10</v>
      </c>
      <c r="FA136" s="7"/>
      <c r="FB136" s="19"/>
      <c r="FC136" s="19"/>
      <c r="FD136" s="19"/>
      <c r="FE136" s="19"/>
      <c r="FG136" s="8"/>
      <c r="FH136" s="7"/>
      <c r="FI136" s="19"/>
      <c r="FJ136" s="19"/>
      <c r="FK136" s="19"/>
      <c r="FL136" s="19"/>
      <c r="FN136" s="8"/>
      <c r="FO136" s="7"/>
      <c r="FP136" s="19"/>
      <c r="FQ136" s="19"/>
      <c r="FR136" s="19"/>
      <c r="FS136" s="19"/>
      <c r="FU136" s="8"/>
      <c r="FV136" s="7"/>
      <c r="FW136" s="19"/>
      <c r="FX136" s="19"/>
      <c r="FY136" s="19"/>
      <c r="FZ136" s="19"/>
      <c r="GB136" s="8"/>
      <c r="GC136" s="7"/>
      <c r="GD136" s="19"/>
      <c r="GE136" s="19"/>
      <c r="GF136" s="19"/>
      <c r="GG136" s="19"/>
      <c r="GI136" s="8"/>
      <c r="GJ136" s="7"/>
      <c r="GK136" s="19"/>
      <c r="GL136" s="19"/>
      <c r="GM136" s="19"/>
      <c r="GN136" s="19"/>
      <c r="GP136" s="8"/>
      <c r="GQ136" s="7"/>
      <c r="GR136" s="19"/>
      <c r="GS136" s="19"/>
      <c r="GT136" s="19"/>
      <c r="GU136" s="19"/>
      <c r="GW136" s="8"/>
      <c r="GX136" s="7"/>
      <c r="GY136" s="19"/>
      <c r="GZ136" s="19"/>
      <c r="HA136" s="19"/>
      <c r="HB136" s="19"/>
      <c r="HD136" s="8"/>
      <c r="HE136" s="7"/>
      <c r="HF136" s="19"/>
      <c r="HG136" s="19"/>
      <c r="HH136" s="19"/>
      <c r="HI136" s="19"/>
      <c r="HK136" s="8"/>
      <c r="HL136" s="7"/>
      <c r="HM136" s="19"/>
      <c r="HN136" s="19"/>
      <c r="HO136" s="19"/>
      <c r="HP136" s="19"/>
      <c r="HR136" s="8"/>
      <c r="HS136" s="7"/>
      <c r="HT136" s="19"/>
      <c r="HU136" s="19"/>
      <c r="HV136" s="19"/>
      <c r="HW136" s="19"/>
      <c r="HY136" s="8"/>
      <c r="HZ136" s="7"/>
      <c r="IA136" s="19"/>
      <c r="IB136" s="19"/>
      <c r="IC136" s="19"/>
      <c r="ID136" s="19"/>
      <c r="IF136" s="8"/>
      <c r="IG136" s="7"/>
      <c r="IH136" s="19"/>
      <c r="II136" s="19"/>
      <c r="IJ136" s="19"/>
      <c r="IK136" s="19"/>
      <c r="IM136" s="8"/>
      <c r="IN136" s="7"/>
      <c r="IO136" s="19"/>
      <c r="IP136" s="19"/>
      <c r="IQ136" s="19"/>
      <c r="IR136" s="19"/>
      <c r="IT136" s="8"/>
      <c r="IU136" s="7"/>
      <c r="IV136" s="19"/>
      <c r="IW136" s="19"/>
      <c r="IX136" s="19"/>
      <c r="IY136" s="19"/>
      <c r="JA136" s="8"/>
      <c r="JB136" s="7"/>
      <c r="JC136" s="19"/>
      <c r="JD136" s="19"/>
      <c r="JE136" s="19"/>
      <c r="JF136" s="19"/>
      <c r="JH136" s="8"/>
      <c r="JI136" s="7"/>
      <c r="JJ136" s="19"/>
      <c r="JK136" s="19"/>
      <c r="JL136" s="19"/>
      <c r="JM136" s="19"/>
      <c r="JO136" s="8"/>
      <c r="JP136" s="7"/>
      <c r="JQ136" s="19"/>
      <c r="JR136" s="19"/>
      <c r="JS136" s="19"/>
      <c r="JT136" s="19"/>
      <c r="JV136" s="8"/>
      <c r="JW136" s="7"/>
      <c r="JX136" s="19"/>
      <c r="JY136" s="19"/>
      <c r="JZ136" s="19"/>
      <c r="KA136" s="19"/>
      <c r="KC136" s="8"/>
      <c r="KD136" s="7"/>
      <c r="KE136" s="19"/>
      <c r="KF136" s="19"/>
      <c r="KG136" s="19"/>
      <c r="KH136" s="19"/>
      <c r="KJ136" s="8"/>
      <c r="KK136" s="7"/>
      <c r="KL136" s="19"/>
      <c r="KM136" s="19"/>
      <c r="KN136" s="19"/>
      <c r="KO136" s="19"/>
      <c r="KQ136" s="8"/>
      <c r="KR136" s="7"/>
      <c r="KS136" s="19"/>
      <c r="KT136" s="19"/>
      <c r="KU136" s="19"/>
      <c r="KV136" s="19"/>
      <c r="KX136" s="8"/>
      <c r="KY136" s="7"/>
      <c r="KZ136" s="19"/>
      <c r="LA136" s="19"/>
      <c r="LB136" s="19"/>
      <c r="LC136" s="19"/>
      <c r="LE136" s="8"/>
      <c r="LF136" s="7"/>
      <c r="LG136" s="19"/>
      <c r="LH136" s="19"/>
      <c r="LI136" s="19"/>
      <c r="LJ136" s="19"/>
      <c r="LL136" s="8"/>
      <c r="LM136" s="7"/>
      <c r="LN136" s="19"/>
      <c r="LO136" s="19"/>
      <c r="LP136" s="19"/>
      <c r="LQ136" s="19"/>
      <c r="LS136" s="8"/>
      <c r="LT136" s="7"/>
      <c r="LU136" s="19"/>
      <c r="LV136" s="19"/>
      <c r="LW136" s="19"/>
      <c r="LX136" s="19"/>
      <c r="LZ136" s="8"/>
      <c r="MA136" s="7"/>
      <c r="MB136" s="19"/>
      <c r="MC136" s="19"/>
      <c r="MD136" s="19"/>
      <c r="ME136" s="19"/>
      <c r="MG136" s="8"/>
      <c r="MH136" s="7"/>
      <c r="MI136" s="19"/>
      <c r="MJ136" s="19"/>
      <c r="MK136" s="19"/>
      <c r="ML136" s="19"/>
      <c r="MN136" s="8"/>
      <c r="MO136" s="7"/>
      <c r="MP136" s="19"/>
      <c r="MQ136" s="19"/>
      <c r="MR136" s="19"/>
      <c r="MS136" s="19"/>
      <c r="MU136" s="8"/>
      <c r="MV136" s="7"/>
      <c r="MW136" s="19"/>
      <c r="MX136" s="19"/>
      <c r="MY136" s="19"/>
      <c r="MZ136" s="19"/>
      <c r="NB136" s="8"/>
      <c r="NC136" s="7"/>
      <c r="ND136" s="19"/>
      <c r="NE136" s="19"/>
      <c r="NF136" s="19"/>
      <c r="NG136" s="19"/>
      <c r="NI136" s="8"/>
      <c r="NJ136" s="7"/>
      <c r="NK136" s="19"/>
      <c r="NL136" s="19"/>
      <c r="NM136" s="19"/>
      <c r="NN136" s="19"/>
      <c r="NP136" s="8"/>
      <c r="NQ136" s="7"/>
      <c r="NR136" s="19"/>
      <c r="NS136" s="19"/>
      <c r="NT136" s="19"/>
      <c r="NU136" s="19"/>
      <c r="NW136" s="8"/>
      <c r="NX136" s="7"/>
      <c r="NY136" s="19"/>
      <c r="NZ136" s="19"/>
      <c r="OA136" s="19"/>
      <c r="OB136" s="19"/>
      <c r="OD136" s="8"/>
      <c r="OE136" s="7"/>
      <c r="OF136" s="19"/>
      <c r="OG136" s="19"/>
      <c r="OH136" s="19"/>
      <c r="OI136" s="19"/>
      <c r="OK136" s="8"/>
      <c r="OL136" s="7"/>
      <c r="OM136" s="19"/>
      <c r="ON136" s="19"/>
      <c r="OO136" s="19"/>
      <c r="OP136" s="19"/>
      <c r="OR136" s="8"/>
      <c r="OS136" s="7"/>
      <c r="OT136" s="19"/>
      <c r="OU136" s="19"/>
      <c r="OV136" s="19"/>
      <c r="OW136" s="19"/>
      <c r="OY136" s="8"/>
      <c r="OZ136" s="7"/>
      <c r="PA136" s="19"/>
      <c r="PB136" s="19"/>
      <c r="PC136" s="19"/>
      <c r="PD136" s="19"/>
      <c r="PF136" s="8"/>
      <c r="PG136" s="7"/>
      <c r="PH136" s="19"/>
      <c r="PI136" s="19"/>
      <c r="PJ136" s="19"/>
      <c r="PK136" s="19"/>
      <c r="PM136" s="8"/>
    </row>
    <row r="137" spans="1:429" s="1" customFormat="1" ht="26" customHeight="1" outlineLevel="1">
      <c r="B137" s="471"/>
      <c r="C137" s="7"/>
      <c r="D137" s="19"/>
      <c r="E137" s="19"/>
      <c r="F137" s="19"/>
      <c r="G137" s="19"/>
      <c r="I137" s="8"/>
      <c r="J137" s="7"/>
      <c r="K137" s="19"/>
      <c r="L137" s="19"/>
      <c r="M137" s="19"/>
      <c r="N137" s="19"/>
      <c r="P137" s="8"/>
      <c r="Q137" s="7"/>
      <c r="R137" s="19"/>
      <c r="S137" s="19"/>
      <c r="T137" s="19"/>
      <c r="U137" s="19"/>
      <c r="W137" s="8"/>
      <c r="X137" s="7"/>
      <c r="Y137" s="19"/>
      <c r="Z137" s="19"/>
      <c r="AA137" s="19"/>
      <c r="AB137" s="19"/>
      <c r="AD137" s="8"/>
      <c r="AE137" s="7"/>
      <c r="AF137" s="19"/>
      <c r="AG137" s="19"/>
      <c r="AH137" s="19"/>
      <c r="AI137" s="19"/>
      <c r="AK137" s="8"/>
      <c r="AL137" s="7"/>
      <c r="AM137" s="19"/>
      <c r="AN137" s="19"/>
      <c r="AO137" s="19"/>
      <c r="AP137" s="19"/>
      <c r="AR137" s="8"/>
      <c r="AS137" s="7"/>
      <c r="AT137" s="19"/>
      <c r="AU137" s="19"/>
      <c r="AV137" s="19"/>
      <c r="AW137" s="19"/>
      <c r="AY137" s="8"/>
      <c r="AZ137" s="7"/>
      <c r="BA137" s="19"/>
      <c r="BB137" s="19"/>
      <c r="BC137" s="19"/>
      <c r="BD137" s="19"/>
      <c r="BF137" s="8"/>
      <c r="BG137" s="7"/>
      <c r="BH137" s="19"/>
      <c r="BI137" s="19"/>
      <c r="BJ137" s="19"/>
      <c r="BK137" s="19"/>
      <c r="BM137" s="8"/>
      <c r="BN137" s="7"/>
      <c r="BO137" s="19"/>
      <c r="BP137" s="19"/>
      <c r="BQ137" s="19"/>
      <c r="BR137" s="19"/>
      <c r="BT137" s="8"/>
      <c r="BU137" s="7"/>
      <c r="BV137" s="19"/>
      <c r="BW137" s="19"/>
      <c r="BX137" s="19"/>
      <c r="BY137" s="19"/>
      <c r="CA137" s="8"/>
      <c r="CB137" s="7"/>
      <c r="CC137" s="19"/>
      <c r="CD137" s="19"/>
      <c r="CE137" s="19"/>
      <c r="CF137" s="19"/>
      <c r="CH137" s="8"/>
      <c r="CI137" s="7"/>
      <c r="CJ137" s="19"/>
      <c r="CK137" s="19"/>
      <c r="CL137" s="19"/>
      <c r="CM137" s="19"/>
      <c r="CO137" s="8"/>
      <c r="CP137" s="7"/>
      <c r="CQ137" s="19"/>
      <c r="CR137" s="19"/>
      <c r="CS137" s="19"/>
      <c r="CT137" s="19"/>
      <c r="CV137" s="8"/>
      <c r="CW137" s="7"/>
      <c r="CX137" s="19"/>
      <c r="CY137" s="19"/>
      <c r="CZ137" s="19"/>
      <c r="DA137" s="19"/>
      <c r="DC137" s="8"/>
      <c r="DD137" s="7"/>
      <c r="DE137" s="19"/>
      <c r="DF137" s="19"/>
      <c r="DG137" s="19"/>
      <c r="DH137" s="19"/>
      <c r="DJ137" s="8"/>
      <c r="DK137" s="7" t="s">
        <v>112</v>
      </c>
      <c r="DL137" s="19" t="s">
        <v>489</v>
      </c>
      <c r="DM137" s="19"/>
      <c r="DN137" s="19"/>
      <c r="DO137" s="19"/>
      <c r="DQ137" s="8" t="s">
        <v>172</v>
      </c>
      <c r="DR137" s="7"/>
      <c r="DS137" s="19" t="s">
        <v>180</v>
      </c>
      <c r="DT137" s="19"/>
      <c r="DU137" s="19"/>
      <c r="DV137" s="19"/>
      <c r="DX137" s="8" t="s">
        <v>172</v>
      </c>
      <c r="DY137" s="7"/>
      <c r="DZ137" s="19" t="s">
        <v>180</v>
      </c>
      <c r="EA137" s="19"/>
      <c r="EB137" s="19"/>
      <c r="EC137" s="19"/>
      <c r="EE137" s="8" t="s">
        <v>172</v>
      </c>
      <c r="EF137" s="7" t="s">
        <v>112</v>
      </c>
      <c r="EG137" s="19" t="s">
        <v>489</v>
      </c>
      <c r="EH137" s="19"/>
      <c r="EI137" s="19"/>
      <c r="EJ137" s="19"/>
      <c r="EL137" s="8" t="s">
        <v>172</v>
      </c>
      <c r="EM137" s="7"/>
      <c r="EN137" s="19" t="s">
        <v>180</v>
      </c>
      <c r="EO137" s="19"/>
      <c r="EP137" s="19"/>
      <c r="EQ137" s="19"/>
      <c r="ES137" s="8" t="s">
        <v>172</v>
      </c>
      <c r="ET137" s="7"/>
      <c r="EU137" s="19" t="s">
        <v>180</v>
      </c>
      <c r="EV137" s="19"/>
      <c r="EW137" s="19"/>
      <c r="EX137" s="19"/>
      <c r="EZ137" s="8" t="s">
        <v>172</v>
      </c>
      <c r="FA137" s="7"/>
      <c r="FB137" s="19"/>
      <c r="FC137" s="19"/>
      <c r="FD137" s="19"/>
      <c r="FE137" s="19"/>
      <c r="FG137" s="8"/>
      <c r="FH137" s="7"/>
      <c r="FI137" s="19"/>
      <c r="FJ137" s="19"/>
      <c r="FK137" s="19"/>
      <c r="FL137" s="19"/>
      <c r="FN137" s="8"/>
      <c r="FO137" s="7"/>
      <c r="FP137" s="19"/>
      <c r="FQ137" s="19"/>
      <c r="FR137" s="19"/>
      <c r="FS137" s="19"/>
      <c r="FU137" s="8"/>
      <c r="FV137" s="7"/>
      <c r="FW137" s="19"/>
      <c r="FX137" s="19"/>
      <c r="FY137" s="19"/>
      <c r="FZ137" s="19"/>
      <c r="GB137" s="8"/>
      <c r="GC137" s="7"/>
      <c r="GD137" s="19"/>
      <c r="GE137" s="19"/>
      <c r="GF137" s="19"/>
      <c r="GG137" s="19"/>
      <c r="GI137" s="8"/>
      <c r="GJ137" s="7"/>
      <c r="GK137" s="19"/>
      <c r="GL137" s="19"/>
      <c r="GM137" s="19"/>
      <c r="GN137" s="19"/>
      <c r="GP137" s="8"/>
      <c r="GQ137" s="7"/>
      <c r="GR137" s="19"/>
      <c r="GS137" s="19"/>
      <c r="GT137" s="19"/>
      <c r="GU137" s="19"/>
      <c r="GW137" s="8"/>
      <c r="GX137" s="7"/>
      <c r="GY137" s="19"/>
      <c r="GZ137" s="19"/>
      <c r="HA137" s="19"/>
      <c r="HB137" s="19"/>
      <c r="HD137" s="8"/>
      <c r="HE137" s="7"/>
      <c r="HF137" s="19"/>
      <c r="HG137" s="19"/>
      <c r="HH137" s="19"/>
      <c r="HI137" s="19"/>
      <c r="HK137" s="8"/>
      <c r="HL137" s="7"/>
      <c r="HM137" s="19"/>
      <c r="HN137" s="19"/>
      <c r="HO137" s="19"/>
      <c r="HP137" s="19"/>
      <c r="HR137" s="8"/>
      <c r="HS137" s="7"/>
      <c r="HT137" s="19"/>
      <c r="HU137" s="19"/>
      <c r="HV137" s="19"/>
      <c r="HW137" s="19"/>
      <c r="HY137" s="8"/>
      <c r="HZ137" s="7"/>
      <c r="IA137" s="19"/>
      <c r="IB137" s="19"/>
      <c r="IC137" s="19"/>
      <c r="ID137" s="19"/>
      <c r="IF137" s="8"/>
      <c r="IG137" s="7"/>
      <c r="IH137" s="19"/>
      <c r="II137" s="19"/>
      <c r="IJ137" s="19"/>
      <c r="IK137" s="19"/>
      <c r="IM137" s="8"/>
      <c r="IN137" s="7"/>
      <c r="IO137" s="19"/>
      <c r="IP137" s="19"/>
      <c r="IQ137" s="19"/>
      <c r="IR137" s="19"/>
      <c r="IT137" s="8"/>
      <c r="IU137" s="7"/>
      <c r="IV137" s="19"/>
      <c r="IW137" s="19"/>
      <c r="IX137" s="19"/>
      <c r="IY137" s="19"/>
      <c r="JA137" s="8"/>
      <c r="JB137" s="7"/>
      <c r="JC137" s="19"/>
      <c r="JD137" s="19"/>
      <c r="JE137" s="19"/>
      <c r="JF137" s="19"/>
      <c r="JH137" s="8"/>
      <c r="JI137" s="7"/>
      <c r="JJ137" s="19"/>
      <c r="JK137" s="19"/>
      <c r="JL137" s="19"/>
      <c r="JM137" s="19"/>
      <c r="JO137" s="8"/>
      <c r="JP137" s="7"/>
      <c r="JQ137" s="19"/>
      <c r="JR137" s="19"/>
      <c r="JS137" s="19"/>
      <c r="JT137" s="19"/>
      <c r="JV137" s="8"/>
      <c r="JW137" s="7"/>
      <c r="JX137" s="19"/>
      <c r="JY137" s="19"/>
      <c r="JZ137" s="19"/>
      <c r="KA137" s="19"/>
      <c r="KC137" s="8"/>
      <c r="KD137" s="7"/>
      <c r="KE137" s="19"/>
      <c r="KF137" s="19"/>
      <c r="KG137" s="19"/>
      <c r="KH137" s="19"/>
      <c r="KJ137" s="8"/>
      <c r="KK137" s="7"/>
      <c r="KL137" s="19"/>
      <c r="KM137" s="19"/>
      <c r="KN137" s="19"/>
      <c r="KO137" s="19"/>
      <c r="KQ137" s="8"/>
      <c r="KR137" s="7"/>
      <c r="KS137" s="19"/>
      <c r="KT137" s="19"/>
      <c r="KU137" s="19"/>
      <c r="KV137" s="19"/>
      <c r="KX137" s="8"/>
      <c r="KY137" s="7"/>
      <c r="KZ137" s="19"/>
      <c r="LA137" s="19"/>
      <c r="LB137" s="19"/>
      <c r="LC137" s="19"/>
      <c r="LE137" s="8"/>
      <c r="LF137" s="7"/>
      <c r="LG137" s="19"/>
      <c r="LH137" s="19"/>
      <c r="LI137" s="19"/>
      <c r="LJ137" s="19"/>
      <c r="LL137" s="8"/>
      <c r="LM137" s="7"/>
      <c r="LN137" s="19"/>
      <c r="LO137" s="19"/>
      <c r="LP137" s="19"/>
      <c r="LQ137" s="19"/>
      <c r="LS137" s="8"/>
      <c r="LT137" s="7"/>
      <c r="LU137" s="19"/>
      <c r="LV137" s="19"/>
      <c r="LW137" s="19"/>
      <c r="LX137" s="19"/>
      <c r="LZ137" s="8"/>
      <c r="MA137" s="7"/>
      <c r="MB137" s="19"/>
      <c r="MC137" s="19"/>
      <c r="MD137" s="19"/>
      <c r="ME137" s="19"/>
      <c r="MG137" s="8"/>
      <c r="MH137" s="7"/>
      <c r="MI137" s="19"/>
      <c r="MJ137" s="19"/>
      <c r="MK137" s="19"/>
      <c r="ML137" s="19"/>
      <c r="MN137" s="8"/>
      <c r="MO137" s="7"/>
      <c r="MP137" s="19"/>
      <c r="MQ137" s="19"/>
      <c r="MR137" s="19"/>
      <c r="MS137" s="19"/>
      <c r="MU137" s="8"/>
      <c r="MV137" s="7"/>
      <c r="MW137" s="19"/>
      <c r="MX137" s="19"/>
      <c r="MY137" s="19"/>
      <c r="MZ137" s="19"/>
      <c r="NB137" s="8"/>
      <c r="NC137" s="7"/>
      <c r="ND137" s="19"/>
      <c r="NE137" s="19"/>
      <c r="NF137" s="19"/>
      <c r="NG137" s="19"/>
      <c r="NI137" s="8"/>
      <c r="NJ137" s="7"/>
      <c r="NK137" s="19"/>
      <c r="NL137" s="19"/>
      <c r="NM137" s="19"/>
      <c r="NN137" s="19"/>
      <c r="NP137" s="8"/>
      <c r="NQ137" s="7"/>
      <c r="NR137" s="19"/>
      <c r="NS137" s="19"/>
      <c r="NT137" s="19"/>
      <c r="NU137" s="19"/>
      <c r="NW137" s="8"/>
      <c r="NX137" s="7"/>
      <c r="NY137" s="19"/>
      <c r="NZ137" s="19"/>
      <c r="OA137" s="19"/>
      <c r="OB137" s="19"/>
      <c r="OD137" s="8"/>
      <c r="OE137" s="7"/>
      <c r="OF137" s="19"/>
      <c r="OG137" s="19"/>
      <c r="OH137" s="19"/>
      <c r="OI137" s="19"/>
      <c r="OK137" s="8"/>
      <c r="OL137" s="7"/>
      <c r="OM137" s="19"/>
      <c r="ON137" s="19"/>
      <c r="OO137" s="19"/>
      <c r="OP137" s="19"/>
      <c r="OR137" s="8"/>
      <c r="OS137" s="7"/>
      <c r="OT137" s="19"/>
      <c r="OU137" s="19"/>
      <c r="OV137" s="19"/>
      <c r="OW137" s="19"/>
      <c r="OY137" s="8"/>
      <c r="OZ137" s="7"/>
      <c r="PA137" s="19"/>
      <c r="PB137" s="19"/>
      <c r="PC137" s="19"/>
      <c r="PD137" s="19"/>
      <c r="PF137" s="8"/>
      <c r="PG137" s="7"/>
      <c r="PH137" s="19"/>
      <c r="PI137" s="19"/>
      <c r="PJ137" s="19"/>
      <c r="PK137" s="19"/>
      <c r="PM137" s="8"/>
    </row>
    <row r="138" spans="1:429" s="1" customFormat="1" ht="26" customHeight="1" outlineLevel="1">
      <c r="B138" s="471"/>
      <c r="C138" s="7"/>
      <c r="D138" s="19"/>
      <c r="E138" s="19"/>
      <c r="F138" s="19"/>
      <c r="G138" s="19"/>
      <c r="I138" s="8"/>
      <c r="J138" s="7"/>
      <c r="K138" s="19"/>
      <c r="L138" s="19"/>
      <c r="M138" s="19"/>
      <c r="N138" s="19"/>
      <c r="P138" s="8"/>
      <c r="Q138" s="7"/>
      <c r="R138" s="19"/>
      <c r="S138" s="19"/>
      <c r="T138" s="19"/>
      <c r="U138" s="19"/>
      <c r="W138" s="8"/>
      <c r="X138" s="7"/>
      <c r="Y138" s="19"/>
      <c r="Z138" s="19"/>
      <c r="AA138" s="19"/>
      <c r="AB138" s="19"/>
      <c r="AD138" s="8"/>
      <c r="AE138" s="7"/>
      <c r="AF138" s="19"/>
      <c r="AG138" s="19"/>
      <c r="AH138" s="19"/>
      <c r="AI138" s="19"/>
      <c r="AK138" s="8"/>
      <c r="AL138" s="7"/>
      <c r="AM138" s="19"/>
      <c r="AN138" s="19"/>
      <c r="AO138" s="19"/>
      <c r="AP138" s="19"/>
      <c r="AR138" s="8"/>
      <c r="AS138" s="7"/>
      <c r="AT138" s="19"/>
      <c r="AU138" s="19"/>
      <c r="AV138" s="19"/>
      <c r="AW138" s="19"/>
      <c r="AY138" s="8"/>
      <c r="AZ138" s="7"/>
      <c r="BA138" s="19"/>
      <c r="BB138" s="19"/>
      <c r="BC138" s="19"/>
      <c r="BD138" s="19"/>
      <c r="BF138" s="8"/>
      <c r="BG138" s="7"/>
      <c r="BH138" s="19"/>
      <c r="BI138" s="19"/>
      <c r="BJ138" s="19"/>
      <c r="BK138" s="19"/>
      <c r="BM138" s="8"/>
      <c r="BN138" s="7"/>
      <c r="BO138" s="19"/>
      <c r="BP138" s="19"/>
      <c r="BQ138" s="19"/>
      <c r="BR138" s="19"/>
      <c r="BT138" s="8"/>
      <c r="BU138" s="7"/>
      <c r="BV138" s="19"/>
      <c r="BW138" s="19"/>
      <c r="BX138" s="19"/>
      <c r="BY138" s="19"/>
      <c r="CA138" s="8"/>
      <c r="CB138" s="7"/>
      <c r="CC138" s="19"/>
      <c r="CD138" s="19"/>
      <c r="CE138" s="19"/>
      <c r="CF138" s="19"/>
      <c r="CH138" s="8"/>
      <c r="CI138" s="7"/>
      <c r="CJ138" s="19"/>
      <c r="CK138" s="19"/>
      <c r="CL138" s="19"/>
      <c r="CM138" s="19"/>
      <c r="CO138" s="8"/>
      <c r="CP138" s="7"/>
      <c r="CQ138" s="19"/>
      <c r="CR138" s="19"/>
      <c r="CS138" s="19"/>
      <c r="CT138" s="19"/>
      <c r="CV138" s="8"/>
      <c r="CW138" s="7"/>
      <c r="CX138" s="19"/>
      <c r="CY138" s="19"/>
      <c r="CZ138" s="19"/>
      <c r="DA138" s="19"/>
      <c r="DC138" s="8"/>
      <c r="DD138" s="7"/>
      <c r="DE138" s="19"/>
      <c r="DF138" s="19"/>
      <c r="DG138" s="19"/>
      <c r="DH138" s="19"/>
      <c r="DJ138" s="8"/>
      <c r="DK138" s="7" t="s">
        <v>113</v>
      </c>
      <c r="DL138" s="19" t="s">
        <v>490</v>
      </c>
      <c r="DM138" s="19"/>
      <c r="DN138" s="19"/>
      <c r="DO138" s="19"/>
      <c r="DQ138" s="8" t="s">
        <v>172</v>
      </c>
      <c r="DR138" s="7"/>
      <c r="DS138" s="19" t="s">
        <v>180</v>
      </c>
      <c r="DT138" s="19"/>
      <c r="DU138" s="19"/>
      <c r="DV138" s="19"/>
      <c r="DX138" s="8" t="s">
        <v>172</v>
      </c>
      <c r="DY138" s="7"/>
      <c r="DZ138" s="19" t="s">
        <v>180</v>
      </c>
      <c r="EA138" s="19"/>
      <c r="EB138" s="19"/>
      <c r="EC138" s="19"/>
      <c r="EE138" s="8" t="s">
        <v>172</v>
      </c>
      <c r="EF138" s="7" t="s">
        <v>113</v>
      </c>
      <c r="EG138" s="19" t="s">
        <v>490</v>
      </c>
      <c r="EH138" s="19"/>
      <c r="EI138" s="19"/>
      <c r="EJ138" s="19"/>
      <c r="EL138" s="8" t="s">
        <v>172</v>
      </c>
      <c r="EM138" s="7"/>
      <c r="EN138" s="19" t="s">
        <v>180</v>
      </c>
      <c r="EO138" s="19"/>
      <c r="EP138" s="19"/>
      <c r="EQ138" s="19"/>
      <c r="ES138" s="8" t="s">
        <v>172</v>
      </c>
      <c r="ET138" s="7"/>
      <c r="EU138" s="19" t="s">
        <v>180</v>
      </c>
      <c r="EV138" s="19"/>
      <c r="EW138" s="19"/>
      <c r="EX138" s="19"/>
      <c r="EZ138" s="8" t="s">
        <v>172</v>
      </c>
      <c r="FA138" s="7"/>
      <c r="FB138" s="19"/>
      <c r="FC138" s="19"/>
      <c r="FD138" s="19"/>
      <c r="FE138" s="19"/>
      <c r="FG138" s="8"/>
      <c r="FH138" s="7"/>
      <c r="FI138" s="19"/>
      <c r="FJ138" s="19"/>
      <c r="FK138" s="19"/>
      <c r="FL138" s="19"/>
      <c r="FN138" s="8"/>
      <c r="FO138" s="7"/>
      <c r="FP138" s="19"/>
      <c r="FQ138" s="19"/>
      <c r="FR138" s="19"/>
      <c r="FS138" s="19"/>
      <c r="FU138" s="8"/>
      <c r="FV138" s="7"/>
      <c r="FW138" s="19"/>
      <c r="FX138" s="19"/>
      <c r="FY138" s="19"/>
      <c r="FZ138" s="19"/>
      <c r="GB138" s="8"/>
      <c r="GC138" s="7"/>
      <c r="GD138" s="19"/>
      <c r="GE138" s="19"/>
      <c r="GF138" s="19"/>
      <c r="GG138" s="19"/>
      <c r="GI138" s="8"/>
      <c r="GJ138" s="7"/>
      <c r="GK138" s="19"/>
      <c r="GL138" s="19"/>
      <c r="GM138" s="19"/>
      <c r="GN138" s="19"/>
      <c r="GP138" s="8"/>
      <c r="GQ138" s="7"/>
      <c r="GR138" s="19"/>
      <c r="GS138" s="19"/>
      <c r="GT138" s="19"/>
      <c r="GU138" s="19"/>
      <c r="GW138" s="8"/>
      <c r="GX138" s="7"/>
      <c r="GY138" s="19"/>
      <c r="GZ138" s="19"/>
      <c r="HA138" s="19"/>
      <c r="HB138" s="19"/>
      <c r="HD138" s="8"/>
      <c r="HE138" s="7"/>
      <c r="HF138" s="19"/>
      <c r="HG138" s="19"/>
      <c r="HH138" s="19"/>
      <c r="HI138" s="19"/>
      <c r="HK138" s="8"/>
      <c r="HL138" s="7"/>
      <c r="HM138" s="19"/>
      <c r="HN138" s="19"/>
      <c r="HO138" s="19"/>
      <c r="HP138" s="19"/>
      <c r="HR138" s="8"/>
      <c r="HS138" s="7"/>
      <c r="HT138" s="19"/>
      <c r="HU138" s="19"/>
      <c r="HV138" s="19"/>
      <c r="HW138" s="19"/>
      <c r="HY138" s="8"/>
      <c r="HZ138" s="7"/>
      <c r="IA138" s="19"/>
      <c r="IB138" s="19"/>
      <c r="IC138" s="19"/>
      <c r="ID138" s="19"/>
      <c r="IF138" s="8"/>
      <c r="IG138" s="7"/>
      <c r="IH138" s="19"/>
      <c r="II138" s="19"/>
      <c r="IJ138" s="19"/>
      <c r="IK138" s="19"/>
      <c r="IM138" s="8"/>
      <c r="IN138" s="7"/>
      <c r="IO138" s="19"/>
      <c r="IP138" s="19"/>
      <c r="IQ138" s="19"/>
      <c r="IR138" s="19"/>
      <c r="IT138" s="8"/>
      <c r="IU138" s="7"/>
      <c r="IV138" s="19"/>
      <c r="IW138" s="19"/>
      <c r="IX138" s="19"/>
      <c r="IY138" s="19"/>
      <c r="JA138" s="8"/>
      <c r="JB138" s="7"/>
      <c r="JC138" s="19"/>
      <c r="JD138" s="19"/>
      <c r="JE138" s="19"/>
      <c r="JF138" s="19"/>
      <c r="JH138" s="8"/>
      <c r="JI138" s="7"/>
      <c r="JJ138" s="19"/>
      <c r="JK138" s="19"/>
      <c r="JL138" s="19"/>
      <c r="JM138" s="19"/>
      <c r="JO138" s="8"/>
      <c r="JP138" s="7"/>
      <c r="JQ138" s="19"/>
      <c r="JR138" s="19"/>
      <c r="JS138" s="19"/>
      <c r="JT138" s="19"/>
      <c r="JV138" s="8"/>
      <c r="JW138" s="7"/>
      <c r="JX138" s="19"/>
      <c r="JY138" s="19"/>
      <c r="JZ138" s="19"/>
      <c r="KA138" s="19"/>
      <c r="KC138" s="8"/>
      <c r="KD138" s="7"/>
      <c r="KE138" s="19"/>
      <c r="KF138" s="19"/>
      <c r="KG138" s="19"/>
      <c r="KH138" s="19"/>
      <c r="KJ138" s="8"/>
      <c r="KK138" s="7"/>
      <c r="KL138" s="19"/>
      <c r="KM138" s="19"/>
      <c r="KN138" s="19"/>
      <c r="KO138" s="19"/>
      <c r="KQ138" s="8"/>
      <c r="KR138" s="7"/>
      <c r="KS138" s="19"/>
      <c r="KT138" s="19"/>
      <c r="KU138" s="19"/>
      <c r="KV138" s="19"/>
      <c r="KX138" s="8"/>
      <c r="KY138" s="7"/>
      <c r="KZ138" s="19"/>
      <c r="LA138" s="19"/>
      <c r="LB138" s="19"/>
      <c r="LC138" s="19"/>
      <c r="LE138" s="8"/>
      <c r="LF138" s="7"/>
      <c r="LG138" s="19"/>
      <c r="LH138" s="19"/>
      <c r="LI138" s="19"/>
      <c r="LJ138" s="19"/>
      <c r="LL138" s="8"/>
      <c r="LM138" s="7"/>
      <c r="LN138" s="19"/>
      <c r="LO138" s="19"/>
      <c r="LP138" s="19"/>
      <c r="LQ138" s="19"/>
      <c r="LS138" s="8"/>
      <c r="LT138" s="7"/>
      <c r="LU138" s="19"/>
      <c r="LV138" s="19"/>
      <c r="LW138" s="19"/>
      <c r="LX138" s="19"/>
      <c r="LZ138" s="8"/>
      <c r="MA138" s="7"/>
      <c r="MB138" s="19"/>
      <c r="MC138" s="19"/>
      <c r="MD138" s="19"/>
      <c r="ME138" s="19"/>
      <c r="MG138" s="8"/>
      <c r="MH138" s="7"/>
      <c r="MI138" s="19"/>
      <c r="MJ138" s="19"/>
      <c r="MK138" s="19"/>
      <c r="ML138" s="19"/>
      <c r="MN138" s="8"/>
      <c r="MO138" s="7"/>
      <c r="MP138" s="19"/>
      <c r="MQ138" s="19"/>
      <c r="MR138" s="19"/>
      <c r="MS138" s="19"/>
      <c r="MU138" s="8"/>
      <c r="MV138" s="7"/>
      <c r="MW138" s="19"/>
      <c r="MX138" s="19"/>
      <c r="MY138" s="19"/>
      <c r="MZ138" s="19"/>
      <c r="NB138" s="8"/>
      <c r="NC138" s="7"/>
      <c r="ND138" s="19"/>
      <c r="NE138" s="19"/>
      <c r="NF138" s="19"/>
      <c r="NG138" s="19"/>
      <c r="NI138" s="8"/>
      <c r="NJ138" s="7"/>
      <c r="NK138" s="19"/>
      <c r="NL138" s="19"/>
      <c r="NM138" s="19"/>
      <c r="NN138" s="19"/>
      <c r="NP138" s="8"/>
      <c r="NQ138" s="7"/>
      <c r="NR138" s="19"/>
      <c r="NS138" s="19"/>
      <c r="NT138" s="19"/>
      <c r="NU138" s="19"/>
      <c r="NW138" s="8"/>
      <c r="NX138" s="7"/>
      <c r="NY138" s="19"/>
      <c r="NZ138" s="19"/>
      <c r="OA138" s="19"/>
      <c r="OB138" s="19"/>
      <c r="OD138" s="8"/>
      <c r="OE138" s="7"/>
      <c r="OF138" s="19"/>
      <c r="OG138" s="19"/>
      <c r="OH138" s="19"/>
      <c r="OI138" s="19"/>
      <c r="OK138" s="8"/>
      <c r="OL138" s="7"/>
      <c r="OM138" s="19"/>
      <c r="ON138" s="19"/>
      <c r="OO138" s="19"/>
      <c r="OP138" s="19"/>
      <c r="OR138" s="8"/>
      <c r="OS138" s="7"/>
      <c r="OT138" s="19"/>
      <c r="OU138" s="19"/>
      <c r="OV138" s="19"/>
      <c r="OW138" s="19"/>
      <c r="OY138" s="8"/>
      <c r="OZ138" s="7"/>
      <c r="PA138" s="19"/>
      <c r="PB138" s="19"/>
      <c r="PC138" s="19"/>
      <c r="PD138" s="19"/>
      <c r="PF138" s="8"/>
      <c r="PG138" s="7"/>
      <c r="PH138" s="19"/>
      <c r="PI138" s="19"/>
      <c r="PJ138" s="19"/>
      <c r="PK138" s="19"/>
      <c r="PM138" s="8"/>
    </row>
    <row r="139" spans="1:429" s="1" customFormat="1" ht="26" customHeight="1" outlineLevel="1">
      <c r="B139" s="471"/>
      <c r="C139" s="7"/>
      <c r="D139" s="19"/>
      <c r="E139" s="19"/>
      <c r="F139" s="19"/>
      <c r="G139" s="19"/>
      <c r="I139" s="8"/>
      <c r="J139" s="7"/>
      <c r="K139" s="19"/>
      <c r="L139" s="19"/>
      <c r="M139" s="19"/>
      <c r="N139" s="19"/>
      <c r="P139" s="8"/>
      <c r="Q139" s="7"/>
      <c r="R139" s="19"/>
      <c r="S139" s="19"/>
      <c r="T139" s="19"/>
      <c r="U139" s="19"/>
      <c r="W139" s="8"/>
      <c r="X139" s="7"/>
      <c r="Y139" s="19"/>
      <c r="Z139" s="19"/>
      <c r="AA139" s="19"/>
      <c r="AB139" s="19"/>
      <c r="AD139" s="8"/>
      <c r="AE139" s="7"/>
      <c r="AF139" s="19"/>
      <c r="AG139" s="19"/>
      <c r="AH139" s="19"/>
      <c r="AI139" s="19"/>
      <c r="AK139" s="8"/>
      <c r="AL139" s="7"/>
      <c r="AM139" s="19"/>
      <c r="AN139" s="19"/>
      <c r="AO139" s="19"/>
      <c r="AP139" s="19"/>
      <c r="AR139" s="8"/>
      <c r="AS139" s="7"/>
      <c r="AT139" s="19"/>
      <c r="AU139" s="19"/>
      <c r="AV139" s="19"/>
      <c r="AW139" s="19"/>
      <c r="AY139" s="8"/>
      <c r="AZ139" s="7"/>
      <c r="BA139" s="19"/>
      <c r="BB139" s="19"/>
      <c r="BC139" s="19"/>
      <c r="BD139" s="19"/>
      <c r="BF139" s="8"/>
      <c r="BG139" s="7"/>
      <c r="BH139" s="19"/>
      <c r="BI139" s="19"/>
      <c r="BJ139" s="19"/>
      <c r="BK139" s="19"/>
      <c r="BM139" s="8"/>
      <c r="BN139" s="7"/>
      <c r="BO139" s="19"/>
      <c r="BP139" s="19"/>
      <c r="BQ139" s="19"/>
      <c r="BR139" s="19"/>
      <c r="BT139" s="8"/>
      <c r="BU139" s="7"/>
      <c r="BV139" s="19"/>
      <c r="BW139" s="19"/>
      <c r="BX139" s="19"/>
      <c r="BY139" s="19"/>
      <c r="CA139" s="8"/>
      <c r="CB139" s="7"/>
      <c r="CC139" s="19"/>
      <c r="CD139" s="19"/>
      <c r="CE139" s="19"/>
      <c r="CF139" s="19"/>
      <c r="CH139" s="8"/>
      <c r="CI139" s="7"/>
      <c r="CJ139" s="19"/>
      <c r="CK139" s="19"/>
      <c r="CL139" s="19"/>
      <c r="CM139" s="19"/>
      <c r="CO139" s="8"/>
      <c r="CP139" s="7"/>
      <c r="CQ139" s="19"/>
      <c r="CR139" s="19"/>
      <c r="CS139" s="19"/>
      <c r="CT139" s="19"/>
      <c r="CV139" s="8"/>
      <c r="CW139" s="7"/>
      <c r="CX139" s="19"/>
      <c r="CY139" s="19"/>
      <c r="CZ139" s="19"/>
      <c r="DA139" s="19"/>
      <c r="DC139" s="8"/>
      <c r="DD139" s="7"/>
      <c r="DE139" s="19"/>
      <c r="DF139" s="19"/>
      <c r="DG139" s="19"/>
      <c r="DH139" s="19"/>
      <c r="DJ139" s="8"/>
      <c r="DK139" s="7" t="s">
        <v>114</v>
      </c>
      <c r="DL139" s="19" t="s">
        <v>491</v>
      </c>
      <c r="DM139" s="19"/>
      <c r="DN139" s="19"/>
      <c r="DO139" s="19"/>
      <c r="DQ139" s="8">
        <v>10</v>
      </c>
      <c r="DR139" s="7"/>
      <c r="DS139" s="19" t="s">
        <v>180</v>
      </c>
      <c r="DT139" s="19"/>
      <c r="DU139" s="19"/>
      <c r="DV139" s="19"/>
      <c r="DX139" s="8">
        <v>10</v>
      </c>
      <c r="DY139" s="7"/>
      <c r="DZ139" s="19" t="s">
        <v>180</v>
      </c>
      <c r="EA139" s="19"/>
      <c r="EB139" s="19"/>
      <c r="EC139" s="19"/>
      <c r="EE139" s="8">
        <v>10</v>
      </c>
      <c r="EF139" s="7" t="s">
        <v>114</v>
      </c>
      <c r="EG139" s="19" t="s">
        <v>497</v>
      </c>
      <c r="EH139" s="19"/>
      <c r="EI139" s="19"/>
      <c r="EJ139" s="19"/>
      <c r="EL139" s="8">
        <v>10</v>
      </c>
      <c r="EM139" s="7"/>
      <c r="EN139" s="19" t="s">
        <v>180</v>
      </c>
      <c r="EO139" s="19"/>
      <c r="EP139" s="19"/>
      <c r="EQ139" s="19"/>
      <c r="ES139" s="8">
        <v>10</v>
      </c>
      <c r="ET139" s="7"/>
      <c r="EU139" s="19" t="s">
        <v>180</v>
      </c>
      <c r="EV139" s="19"/>
      <c r="EW139" s="19"/>
      <c r="EX139" s="19"/>
      <c r="EZ139" s="8">
        <v>10</v>
      </c>
      <c r="FA139" s="7"/>
      <c r="FB139" s="19"/>
      <c r="FC139" s="19"/>
      <c r="FD139" s="19"/>
      <c r="FE139" s="19"/>
      <c r="FG139" s="8"/>
      <c r="FH139" s="7"/>
      <c r="FI139" s="19"/>
      <c r="FJ139" s="19"/>
      <c r="FK139" s="19"/>
      <c r="FL139" s="19"/>
      <c r="FN139" s="8"/>
      <c r="FO139" s="7"/>
      <c r="FP139" s="19"/>
      <c r="FQ139" s="19"/>
      <c r="FR139" s="19"/>
      <c r="FS139" s="19"/>
      <c r="FU139" s="8"/>
      <c r="FV139" s="7"/>
      <c r="FW139" s="19"/>
      <c r="FX139" s="19"/>
      <c r="FY139" s="19"/>
      <c r="FZ139" s="19"/>
      <c r="GB139" s="8"/>
      <c r="GC139" s="7"/>
      <c r="GD139" s="19"/>
      <c r="GE139" s="19"/>
      <c r="GF139" s="19"/>
      <c r="GG139" s="19"/>
      <c r="GI139" s="8"/>
      <c r="GJ139" s="7"/>
      <c r="GK139" s="19"/>
      <c r="GL139" s="19"/>
      <c r="GM139" s="19"/>
      <c r="GN139" s="19"/>
      <c r="GP139" s="8"/>
      <c r="GQ139" s="7"/>
      <c r="GR139" s="19"/>
      <c r="GS139" s="19"/>
      <c r="GT139" s="19"/>
      <c r="GU139" s="19"/>
      <c r="GW139" s="8"/>
      <c r="GX139" s="7"/>
      <c r="GY139" s="19"/>
      <c r="GZ139" s="19"/>
      <c r="HA139" s="19"/>
      <c r="HB139" s="19"/>
      <c r="HD139" s="8"/>
      <c r="HE139" s="7"/>
      <c r="HF139" s="19"/>
      <c r="HG139" s="19"/>
      <c r="HH139" s="19"/>
      <c r="HI139" s="19"/>
      <c r="HK139" s="8"/>
      <c r="HL139" s="7"/>
      <c r="HM139" s="19"/>
      <c r="HN139" s="19"/>
      <c r="HO139" s="19"/>
      <c r="HP139" s="19"/>
      <c r="HR139" s="8"/>
      <c r="HS139" s="7"/>
      <c r="HT139" s="19"/>
      <c r="HU139" s="19"/>
      <c r="HV139" s="19"/>
      <c r="HW139" s="19"/>
      <c r="HY139" s="8"/>
      <c r="HZ139" s="7"/>
      <c r="IA139" s="19"/>
      <c r="IB139" s="19"/>
      <c r="IC139" s="19"/>
      <c r="ID139" s="19"/>
      <c r="IF139" s="8"/>
      <c r="IG139" s="7"/>
      <c r="IH139" s="19"/>
      <c r="II139" s="19"/>
      <c r="IJ139" s="19"/>
      <c r="IK139" s="19"/>
      <c r="IM139" s="8"/>
      <c r="IN139" s="7"/>
      <c r="IO139" s="19"/>
      <c r="IP139" s="19"/>
      <c r="IQ139" s="19"/>
      <c r="IR139" s="19"/>
      <c r="IT139" s="8"/>
      <c r="IU139" s="7"/>
      <c r="IV139" s="19"/>
      <c r="IW139" s="19"/>
      <c r="IX139" s="19"/>
      <c r="IY139" s="19"/>
      <c r="JA139" s="8"/>
      <c r="JB139" s="7"/>
      <c r="JC139" s="19"/>
      <c r="JD139" s="19"/>
      <c r="JE139" s="19"/>
      <c r="JF139" s="19"/>
      <c r="JH139" s="8"/>
      <c r="JI139" s="7"/>
      <c r="JJ139" s="19"/>
      <c r="JK139" s="19"/>
      <c r="JL139" s="19"/>
      <c r="JM139" s="19"/>
      <c r="JO139" s="8"/>
      <c r="JP139" s="7"/>
      <c r="JQ139" s="19"/>
      <c r="JR139" s="19"/>
      <c r="JS139" s="19"/>
      <c r="JT139" s="19"/>
      <c r="JV139" s="8"/>
      <c r="JW139" s="7"/>
      <c r="JX139" s="19"/>
      <c r="JY139" s="19"/>
      <c r="JZ139" s="19"/>
      <c r="KA139" s="19"/>
      <c r="KC139" s="8"/>
      <c r="KD139" s="7"/>
      <c r="KE139" s="19"/>
      <c r="KF139" s="19"/>
      <c r="KG139" s="19"/>
      <c r="KH139" s="19"/>
      <c r="KJ139" s="8"/>
      <c r="KK139" s="7"/>
      <c r="KL139" s="19"/>
      <c r="KM139" s="19"/>
      <c r="KN139" s="19"/>
      <c r="KO139" s="19"/>
      <c r="KQ139" s="8"/>
      <c r="KR139" s="7"/>
      <c r="KS139" s="19"/>
      <c r="KT139" s="19"/>
      <c r="KU139" s="19"/>
      <c r="KV139" s="19"/>
      <c r="KX139" s="8"/>
      <c r="KY139" s="7"/>
      <c r="KZ139" s="19"/>
      <c r="LA139" s="19"/>
      <c r="LB139" s="19"/>
      <c r="LC139" s="19"/>
      <c r="LE139" s="8"/>
      <c r="LF139" s="7"/>
      <c r="LG139" s="19"/>
      <c r="LH139" s="19"/>
      <c r="LI139" s="19"/>
      <c r="LJ139" s="19"/>
      <c r="LL139" s="8"/>
      <c r="LM139" s="7"/>
      <c r="LN139" s="19"/>
      <c r="LO139" s="19"/>
      <c r="LP139" s="19"/>
      <c r="LQ139" s="19"/>
      <c r="LS139" s="8"/>
      <c r="LT139" s="7"/>
      <c r="LU139" s="19"/>
      <c r="LV139" s="19"/>
      <c r="LW139" s="19"/>
      <c r="LX139" s="19"/>
      <c r="LZ139" s="8"/>
      <c r="MA139" s="7"/>
      <c r="MB139" s="19"/>
      <c r="MC139" s="19"/>
      <c r="MD139" s="19"/>
      <c r="ME139" s="19"/>
      <c r="MG139" s="8"/>
      <c r="MH139" s="7"/>
      <c r="MI139" s="19"/>
      <c r="MJ139" s="19"/>
      <c r="MK139" s="19"/>
      <c r="ML139" s="19"/>
      <c r="MN139" s="8"/>
      <c r="MO139" s="7"/>
      <c r="MP139" s="19"/>
      <c r="MQ139" s="19"/>
      <c r="MR139" s="19"/>
      <c r="MS139" s="19"/>
      <c r="MU139" s="8"/>
      <c r="MV139" s="7"/>
      <c r="MW139" s="19"/>
      <c r="MX139" s="19"/>
      <c r="MY139" s="19"/>
      <c r="MZ139" s="19"/>
      <c r="NB139" s="8"/>
      <c r="NC139" s="7"/>
      <c r="ND139" s="19"/>
      <c r="NE139" s="19"/>
      <c r="NF139" s="19"/>
      <c r="NG139" s="19"/>
      <c r="NI139" s="8"/>
      <c r="NJ139" s="7"/>
      <c r="NK139" s="19"/>
      <c r="NL139" s="19"/>
      <c r="NM139" s="19"/>
      <c r="NN139" s="19"/>
      <c r="NP139" s="8"/>
      <c r="NQ139" s="7"/>
      <c r="NR139" s="19"/>
      <c r="NS139" s="19"/>
      <c r="NT139" s="19"/>
      <c r="NU139" s="19"/>
      <c r="NW139" s="8"/>
      <c r="NX139" s="7"/>
      <c r="NY139" s="19"/>
      <c r="NZ139" s="19"/>
      <c r="OA139" s="19"/>
      <c r="OB139" s="19"/>
      <c r="OD139" s="8"/>
      <c r="OE139" s="7"/>
      <c r="OF139" s="19"/>
      <c r="OG139" s="19"/>
      <c r="OH139" s="19"/>
      <c r="OI139" s="19"/>
      <c r="OK139" s="8"/>
      <c r="OL139" s="7"/>
      <c r="OM139" s="19"/>
      <c r="ON139" s="19"/>
      <c r="OO139" s="19"/>
      <c r="OP139" s="19"/>
      <c r="OR139" s="8"/>
      <c r="OS139" s="7"/>
      <c r="OT139" s="19"/>
      <c r="OU139" s="19"/>
      <c r="OV139" s="19"/>
      <c r="OW139" s="19"/>
      <c r="OY139" s="8"/>
      <c r="OZ139" s="7"/>
      <c r="PA139" s="19"/>
      <c r="PB139" s="19"/>
      <c r="PC139" s="19"/>
      <c r="PD139" s="19"/>
      <c r="PF139" s="8"/>
      <c r="PG139" s="7"/>
      <c r="PH139" s="19"/>
      <c r="PI139" s="19"/>
      <c r="PJ139" s="19"/>
      <c r="PK139" s="19"/>
      <c r="PM139" s="8"/>
    </row>
    <row r="140" spans="1:429" s="1" customFormat="1" ht="26" customHeight="1" outlineLevel="1">
      <c r="B140" s="471"/>
      <c r="C140" s="7"/>
      <c r="D140" s="19"/>
      <c r="E140" s="19"/>
      <c r="F140" s="19"/>
      <c r="G140" s="19"/>
      <c r="I140" s="8"/>
      <c r="J140" s="7"/>
      <c r="K140" s="19"/>
      <c r="L140" s="19"/>
      <c r="M140" s="19"/>
      <c r="N140" s="19"/>
      <c r="P140" s="8"/>
      <c r="Q140" s="7"/>
      <c r="R140" s="19"/>
      <c r="S140" s="19"/>
      <c r="T140" s="19"/>
      <c r="U140" s="19"/>
      <c r="W140" s="8"/>
      <c r="X140" s="7"/>
      <c r="Y140" s="19"/>
      <c r="Z140" s="19"/>
      <c r="AA140" s="19"/>
      <c r="AB140" s="19"/>
      <c r="AD140" s="8"/>
      <c r="AE140" s="7"/>
      <c r="AF140" s="19"/>
      <c r="AG140" s="19"/>
      <c r="AH140" s="19"/>
      <c r="AI140" s="19"/>
      <c r="AK140" s="8"/>
      <c r="AL140" s="7"/>
      <c r="AM140" s="19"/>
      <c r="AN140" s="19"/>
      <c r="AO140" s="19"/>
      <c r="AP140" s="19"/>
      <c r="AR140" s="8"/>
      <c r="AS140" s="7"/>
      <c r="AT140" s="19"/>
      <c r="AU140" s="19"/>
      <c r="AV140" s="19"/>
      <c r="AW140" s="19"/>
      <c r="AY140" s="8"/>
      <c r="AZ140" s="7"/>
      <c r="BA140" s="19"/>
      <c r="BB140" s="19"/>
      <c r="BC140" s="19"/>
      <c r="BD140" s="19"/>
      <c r="BF140" s="8"/>
      <c r="BG140" s="7"/>
      <c r="BH140" s="19"/>
      <c r="BI140" s="19"/>
      <c r="BJ140" s="19"/>
      <c r="BK140" s="19"/>
      <c r="BM140" s="8"/>
      <c r="BN140" s="7"/>
      <c r="BO140" s="19"/>
      <c r="BP140" s="19"/>
      <c r="BQ140" s="19"/>
      <c r="BR140" s="19"/>
      <c r="BT140" s="8"/>
      <c r="BU140" s="7"/>
      <c r="BV140" s="19"/>
      <c r="BW140" s="19"/>
      <c r="BX140" s="19"/>
      <c r="BY140" s="19"/>
      <c r="CA140" s="8"/>
      <c r="CB140" s="7"/>
      <c r="CC140" s="19"/>
      <c r="CD140" s="19"/>
      <c r="CE140" s="19"/>
      <c r="CF140" s="19"/>
      <c r="CH140" s="8"/>
      <c r="CI140" s="7"/>
      <c r="CJ140" s="19"/>
      <c r="CK140" s="19"/>
      <c r="CL140" s="19"/>
      <c r="CM140" s="19"/>
      <c r="CO140" s="8"/>
      <c r="CP140" s="7"/>
      <c r="CQ140" s="19"/>
      <c r="CR140" s="19"/>
      <c r="CS140" s="19"/>
      <c r="CT140" s="19"/>
      <c r="CV140" s="8"/>
      <c r="CW140" s="7"/>
      <c r="CX140" s="19"/>
      <c r="CY140" s="19"/>
      <c r="CZ140" s="19"/>
      <c r="DA140" s="19"/>
      <c r="DC140" s="8"/>
      <c r="DD140" s="7"/>
      <c r="DE140" s="19"/>
      <c r="DF140" s="19"/>
      <c r="DG140" s="19"/>
      <c r="DH140" s="19"/>
      <c r="DJ140" s="8"/>
      <c r="DK140" s="7" t="s">
        <v>115</v>
      </c>
      <c r="DL140" s="19" t="s">
        <v>492</v>
      </c>
      <c r="DM140" s="19"/>
      <c r="DN140" s="19"/>
      <c r="DO140" s="19"/>
      <c r="DQ140" s="8">
        <v>10</v>
      </c>
      <c r="DR140" s="7"/>
      <c r="DS140" s="19" t="s">
        <v>180</v>
      </c>
      <c r="DT140" s="19"/>
      <c r="DU140" s="19"/>
      <c r="DV140" s="19"/>
      <c r="DX140" s="8">
        <v>10</v>
      </c>
      <c r="DY140" s="7"/>
      <c r="DZ140" s="19" t="s">
        <v>180</v>
      </c>
      <c r="EA140" s="19"/>
      <c r="EB140" s="19"/>
      <c r="EC140" s="19"/>
      <c r="EE140" s="8">
        <v>10</v>
      </c>
      <c r="EF140" s="7" t="s">
        <v>115</v>
      </c>
      <c r="EG140" s="19" t="s">
        <v>498</v>
      </c>
      <c r="EH140" s="19"/>
      <c r="EI140" s="19"/>
      <c r="EJ140" s="19"/>
      <c r="EL140" s="8">
        <v>10</v>
      </c>
      <c r="EM140" s="7"/>
      <c r="EN140" s="19" t="s">
        <v>180</v>
      </c>
      <c r="EO140" s="19"/>
      <c r="EP140" s="19"/>
      <c r="EQ140" s="19"/>
      <c r="ES140" s="8">
        <v>10</v>
      </c>
      <c r="ET140" s="7"/>
      <c r="EU140" s="19" t="s">
        <v>180</v>
      </c>
      <c r="EV140" s="19"/>
      <c r="EW140" s="19"/>
      <c r="EX140" s="19"/>
      <c r="EZ140" s="8">
        <v>10</v>
      </c>
      <c r="FA140" s="7"/>
      <c r="FB140" s="19"/>
      <c r="FC140" s="19"/>
      <c r="FD140" s="19"/>
      <c r="FE140" s="19"/>
      <c r="FG140" s="8"/>
      <c r="FH140" s="7"/>
      <c r="FI140" s="19"/>
      <c r="FJ140" s="19"/>
      <c r="FK140" s="19"/>
      <c r="FL140" s="19"/>
      <c r="FN140" s="8"/>
      <c r="FO140" s="7"/>
      <c r="FP140" s="19"/>
      <c r="FQ140" s="19"/>
      <c r="FR140" s="19"/>
      <c r="FS140" s="19"/>
      <c r="FU140" s="8"/>
      <c r="FV140" s="7"/>
      <c r="FW140" s="19"/>
      <c r="FX140" s="19"/>
      <c r="FY140" s="19"/>
      <c r="FZ140" s="19"/>
      <c r="GB140" s="8"/>
      <c r="GC140" s="7"/>
      <c r="GD140" s="19"/>
      <c r="GE140" s="19"/>
      <c r="GF140" s="19"/>
      <c r="GG140" s="19"/>
      <c r="GI140" s="8"/>
      <c r="GJ140" s="7"/>
      <c r="GK140" s="19"/>
      <c r="GL140" s="19"/>
      <c r="GM140" s="19"/>
      <c r="GN140" s="19"/>
      <c r="GP140" s="8"/>
      <c r="GQ140" s="7"/>
      <c r="GR140" s="19"/>
      <c r="GS140" s="19"/>
      <c r="GT140" s="19"/>
      <c r="GU140" s="19"/>
      <c r="GW140" s="8"/>
      <c r="GX140" s="7"/>
      <c r="GY140" s="19"/>
      <c r="GZ140" s="19"/>
      <c r="HA140" s="19"/>
      <c r="HB140" s="19"/>
      <c r="HD140" s="8"/>
      <c r="HE140" s="7"/>
      <c r="HF140" s="19"/>
      <c r="HG140" s="19"/>
      <c r="HH140" s="19"/>
      <c r="HI140" s="19"/>
      <c r="HK140" s="8"/>
      <c r="HL140" s="7"/>
      <c r="HM140" s="19"/>
      <c r="HN140" s="19"/>
      <c r="HO140" s="19"/>
      <c r="HP140" s="19"/>
      <c r="HR140" s="8"/>
      <c r="HS140" s="7"/>
      <c r="HT140" s="19"/>
      <c r="HU140" s="19"/>
      <c r="HV140" s="19"/>
      <c r="HW140" s="19"/>
      <c r="HY140" s="8"/>
      <c r="HZ140" s="7"/>
      <c r="IA140" s="19"/>
      <c r="IB140" s="19"/>
      <c r="IC140" s="19"/>
      <c r="ID140" s="19"/>
      <c r="IF140" s="8"/>
      <c r="IG140" s="7"/>
      <c r="IH140" s="19"/>
      <c r="II140" s="19"/>
      <c r="IJ140" s="19"/>
      <c r="IK140" s="19"/>
      <c r="IM140" s="8"/>
      <c r="IN140" s="7"/>
      <c r="IO140" s="19"/>
      <c r="IP140" s="19"/>
      <c r="IQ140" s="19"/>
      <c r="IR140" s="19"/>
      <c r="IT140" s="8"/>
      <c r="IU140" s="7"/>
      <c r="IV140" s="19"/>
      <c r="IW140" s="19"/>
      <c r="IX140" s="19"/>
      <c r="IY140" s="19"/>
      <c r="JA140" s="8"/>
      <c r="JB140" s="7"/>
      <c r="JC140" s="19"/>
      <c r="JD140" s="19"/>
      <c r="JE140" s="19"/>
      <c r="JF140" s="19"/>
      <c r="JH140" s="8"/>
      <c r="JI140" s="7"/>
      <c r="JJ140" s="19"/>
      <c r="JK140" s="19"/>
      <c r="JL140" s="19"/>
      <c r="JM140" s="19"/>
      <c r="JO140" s="8"/>
      <c r="JP140" s="7"/>
      <c r="JQ140" s="19"/>
      <c r="JR140" s="19"/>
      <c r="JS140" s="19"/>
      <c r="JT140" s="19"/>
      <c r="JV140" s="8"/>
      <c r="JW140" s="7"/>
      <c r="JX140" s="19"/>
      <c r="JY140" s="19"/>
      <c r="JZ140" s="19"/>
      <c r="KA140" s="19"/>
      <c r="KC140" s="8"/>
      <c r="KD140" s="7"/>
      <c r="KE140" s="19"/>
      <c r="KF140" s="19"/>
      <c r="KG140" s="19"/>
      <c r="KH140" s="19"/>
      <c r="KJ140" s="8"/>
      <c r="KK140" s="7"/>
      <c r="KL140" s="19"/>
      <c r="KM140" s="19"/>
      <c r="KN140" s="19"/>
      <c r="KO140" s="19"/>
      <c r="KQ140" s="8"/>
      <c r="KR140" s="7"/>
      <c r="KS140" s="19"/>
      <c r="KT140" s="19"/>
      <c r="KU140" s="19"/>
      <c r="KV140" s="19"/>
      <c r="KX140" s="8"/>
      <c r="KY140" s="7"/>
      <c r="KZ140" s="19"/>
      <c r="LA140" s="19"/>
      <c r="LB140" s="19"/>
      <c r="LC140" s="19"/>
      <c r="LE140" s="8"/>
      <c r="LF140" s="7"/>
      <c r="LG140" s="19"/>
      <c r="LH140" s="19"/>
      <c r="LI140" s="19"/>
      <c r="LJ140" s="19"/>
      <c r="LL140" s="8"/>
      <c r="LM140" s="7"/>
      <c r="LN140" s="19"/>
      <c r="LO140" s="19"/>
      <c r="LP140" s="19"/>
      <c r="LQ140" s="19"/>
      <c r="LS140" s="8"/>
      <c r="LT140" s="7"/>
      <c r="LU140" s="19"/>
      <c r="LV140" s="19"/>
      <c r="LW140" s="19"/>
      <c r="LX140" s="19"/>
      <c r="LZ140" s="8"/>
      <c r="MA140" s="7"/>
      <c r="MB140" s="19"/>
      <c r="MC140" s="19"/>
      <c r="MD140" s="19"/>
      <c r="ME140" s="19"/>
      <c r="MG140" s="8"/>
      <c r="MH140" s="7"/>
      <c r="MI140" s="19"/>
      <c r="MJ140" s="19"/>
      <c r="MK140" s="19"/>
      <c r="ML140" s="19"/>
      <c r="MN140" s="8"/>
      <c r="MO140" s="7"/>
      <c r="MP140" s="19"/>
      <c r="MQ140" s="19"/>
      <c r="MR140" s="19"/>
      <c r="MS140" s="19"/>
      <c r="MU140" s="8"/>
      <c r="MV140" s="7"/>
      <c r="MW140" s="19"/>
      <c r="MX140" s="19"/>
      <c r="MY140" s="19"/>
      <c r="MZ140" s="19"/>
      <c r="NB140" s="8"/>
      <c r="NC140" s="7"/>
      <c r="ND140" s="19"/>
      <c r="NE140" s="19"/>
      <c r="NF140" s="19"/>
      <c r="NG140" s="19"/>
      <c r="NI140" s="8"/>
      <c r="NJ140" s="7"/>
      <c r="NK140" s="19"/>
      <c r="NL140" s="19"/>
      <c r="NM140" s="19"/>
      <c r="NN140" s="19"/>
      <c r="NP140" s="8"/>
      <c r="NQ140" s="7"/>
      <c r="NR140" s="19"/>
      <c r="NS140" s="19"/>
      <c r="NT140" s="19"/>
      <c r="NU140" s="19"/>
      <c r="NW140" s="8"/>
      <c r="NX140" s="7"/>
      <c r="NY140" s="19"/>
      <c r="NZ140" s="19"/>
      <c r="OA140" s="19"/>
      <c r="OB140" s="19"/>
      <c r="OD140" s="8"/>
      <c r="OE140" s="7"/>
      <c r="OF140" s="19"/>
      <c r="OG140" s="19"/>
      <c r="OH140" s="19"/>
      <c r="OI140" s="19"/>
      <c r="OK140" s="8"/>
      <c r="OL140" s="7"/>
      <c r="OM140" s="19"/>
      <c r="ON140" s="19"/>
      <c r="OO140" s="19"/>
      <c r="OP140" s="19"/>
      <c r="OR140" s="8"/>
      <c r="OS140" s="7"/>
      <c r="OT140" s="19"/>
      <c r="OU140" s="19"/>
      <c r="OV140" s="19"/>
      <c r="OW140" s="19"/>
      <c r="OY140" s="8"/>
      <c r="OZ140" s="7"/>
      <c r="PA140" s="19"/>
      <c r="PB140" s="19"/>
      <c r="PC140" s="19"/>
      <c r="PD140" s="19"/>
      <c r="PF140" s="8"/>
      <c r="PG140" s="7"/>
      <c r="PH140" s="19"/>
      <c r="PI140" s="19"/>
      <c r="PJ140" s="19"/>
      <c r="PK140" s="19"/>
      <c r="PM140" s="8"/>
    </row>
    <row r="141" spans="1:429" s="1" customFormat="1" ht="26" customHeight="1" outlineLevel="1">
      <c r="B141" s="471"/>
      <c r="C141" s="7"/>
      <c r="D141" s="19"/>
      <c r="E141" s="19"/>
      <c r="F141" s="19"/>
      <c r="G141" s="19"/>
      <c r="I141" s="8"/>
      <c r="J141" s="7"/>
      <c r="K141" s="19"/>
      <c r="L141" s="19"/>
      <c r="M141" s="19"/>
      <c r="N141" s="19"/>
      <c r="P141" s="8"/>
      <c r="Q141" s="7"/>
      <c r="R141" s="19"/>
      <c r="S141" s="19"/>
      <c r="T141" s="19"/>
      <c r="U141" s="19"/>
      <c r="W141" s="8"/>
      <c r="X141" s="7"/>
      <c r="Y141" s="19"/>
      <c r="Z141" s="19"/>
      <c r="AA141" s="19"/>
      <c r="AB141" s="19"/>
      <c r="AD141" s="8"/>
      <c r="AE141" s="7"/>
      <c r="AF141" s="19"/>
      <c r="AG141" s="19"/>
      <c r="AH141" s="19"/>
      <c r="AI141" s="19"/>
      <c r="AK141" s="8"/>
      <c r="AL141" s="7"/>
      <c r="AM141" s="19"/>
      <c r="AN141" s="19"/>
      <c r="AO141" s="19"/>
      <c r="AP141" s="19"/>
      <c r="AR141" s="8"/>
      <c r="AS141" s="7"/>
      <c r="AT141" s="19"/>
      <c r="AU141" s="19"/>
      <c r="AV141" s="19"/>
      <c r="AW141" s="19"/>
      <c r="AY141" s="8"/>
      <c r="AZ141" s="7"/>
      <c r="BA141" s="19"/>
      <c r="BB141" s="19"/>
      <c r="BC141" s="19"/>
      <c r="BD141" s="19"/>
      <c r="BF141" s="8"/>
      <c r="BG141" s="7"/>
      <c r="BH141" s="19"/>
      <c r="BI141" s="19"/>
      <c r="BJ141" s="19"/>
      <c r="BK141" s="19"/>
      <c r="BM141" s="8"/>
      <c r="BN141" s="7"/>
      <c r="BO141" s="19"/>
      <c r="BP141" s="19"/>
      <c r="BQ141" s="19"/>
      <c r="BR141" s="19"/>
      <c r="BT141" s="8"/>
      <c r="BU141" s="7"/>
      <c r="BV141" s="19"/>
      <c r="BW141" s="19"/>
      <c r="BX141" s="19"/>
      <c r="BY141" s="19"/>
      <c r="CA141" s="8"/>
      <c r="CB141" s="7"/>
      <c r="CC141" s="19"/>
      <c r="CD141" s="19"/>
      <c r="CE141" s="19"/>
      <c r="CF141" s="19"/>
      <c r="CH141" s="8"/>
      <c r="CI141" s="7"/>
      <c r="CJ141" s="19"/>
      <c r="CK141" s="19"/>
      <c r="CL141" s="19"/>
      <c r="CM141" s="19"/>
      <c r="CO141" s="8"/>
      <c r="CP141" s="7"/>
      <c r="CQ141" s="19"/>
      <c r="CR141" s="19"/>
      <c r="CS141" s="19"/>
      <c r="CT141" s="19"/>
      <c r="CV141" s="8"/>
      <c r="CW141" s="7"/>
      <c r="CX141" s="19"/>
      <c r="CY141" s="19"/>
      <c r="CZ141" s="19"/>
      <c r="DA141" s="19"/>
      <c r="DC141" s="8"/>
      <c r="DD141" s="7"/>
      <c r="DE141" s="19"/>
      <c r="DF141" s="19"/>
      <c r="DG141" s="19"/>
      <c r="DH141" s="19"/>
      <c r="DJ141" s="8"/>
      <c r="DK141" s="7"/>
      <c r="DL141" s="19"/>
      <c r="DM141" s="19"/>
      <c r="DN141" s="19"/>
      <c r="DO141" s="19"/>
      <c r="DQ141" s="8"/>
      <c r="DR141" s="7"/>
      <c r="DS141" s="19"/>
      <c r="DT141" s="19"/>
      <c r="DU141" s="19"/>
      <c r="DV141" s="19"/>
      <c r="DX141" s="8"/>
      <c r="DY141" s="7"/>
      <c r="DZ141" s="19"/>
      <c r="EA141" s="19"/>
      <c r="EB141" s="19"/>
      <c r="EC141" s="19"/>
      <c r="EE141" s="8"/>
      <c r="EF141" s="7"/>
      <c r="EG141" s="19"/>
      <c r="EH141" s="19"/>
      <c r="EI141" s="19"/>
      <c r="EJ141" s="19"/>
      <c r="EL141" s="8"/>
      <c r="EM141" s="7"/>
      <c r="EN141" s="19"/>
      <c r="EO141" s="19"/>
      <c r="EP141" s="19"/>
      <c r="EQ141" s="19"/>
      <c r="ES141" s="8"/>
      <c r="ET141" s="7"/>
      <c r="EU141" s="19"/>
      <c r="EV141" s="19"/>
      <c r="EW141" s="19"/>
      <c r="EX141" s="19"/>
      <c r="EZ141" s="8"/>
      <c r="FA141" s="7"/>
      <c r="FB141" s="19"/>
      <c r="FC141" s="19"/>
      <c r="FD141" s="19"/>
      <c r="FE141" s="19"/>
      <c r="FG141" s="8"/>
      <c r="FH141" s="7"/>
      <c r="FI141" s="19"/>
      <c r="FJ141" s="19"/>
      <c r="FK141" s="19"/>
      <c r="FL141" s="19"/>
      <c r="FN141" s="8"/>
      <c r="FO141" s="7"/>
      <c r="FP141" s="19"/>
      <c r="FQ141" s="19"/>
      <c r="FR141" s="19"/>
      <c r="FS141" s="19"/>
      <c r="FU141" s="8"/>
      <c r="FV141" s="7"/>
      <c r="FW141" s="19"/>
      <c r="FX141" s="19"/>
      <c r="FY141" s="19"/>
      <c r="FZ141" s="19"/>
      <c r="GB141" s="8"/>
      <c r="GC141" s="7"/>
      <c r="GD141" s="19"/>
      <c r="GE141" s="19"/>
      <c r="GF141" s="19"/>
      <c r="GG141" s="19"/>
      <c r="GI141" s="8"/>
      <c r="GJ141" s="7"/>
      <c r="GK141" s="19"/>
      <c r="GL141" s="19"/>
      <c r="GM141" s="19"/>
      <c r="GN141" s="19"/>
      <c r="GP141" s="8"/>
      <c r="GQ141" s="7"/>
      <c r="GR141" s="19"/>
      <c r="GS141" s="19"/>
      <c r="GT141" s="19"/>
      <c r="GU141" s="19"/>
      <c r="GW141" s="8"/>
      <c r="GX141" s="7"/>
      <c r="GY141" s="19"/>
      <c r="GZ141" s="19"/>
      <c r="HA141" s="19"/>
      <c r="HB141" s="19"/>
      <c r="HD141" s="8"/>
      <c r="HE141" s="7"/>
      <c r="HF141" s="19"/>
      <c r="HG141" s="19"/>
      <c r="HH141" s="19"/>
      <c r="HI141" s="19"/>
      <c r="HK141" s="8"/>
      <c r="HL141" s="7"/>
      <c r="HM141" s="19"/>
      <c r="HN141" s="19"/>
      <c r="HO141" s="19"/>
      <c r="HP141" s="19"/>
      <c r="HR141" s="8"/>
      <c r="HS141" s="7"/>
      <c r="HT141" s="19"/>
      <c r="HU141" s="19"/>
      <c r="HV141" s="19"/>
      <c r="HW141" s="19"/>
      <c r="HY141" s="8"/>
      <c r="HZ141" s="7"/>
      <c r="IA141" s="19"/>
      <c r="IB141" s="19"/>
      <c r="IC141" s="19"/>
      <c r="ID141" s="19"/>
      <c r="IF141" s="8"/>
      <c r="IG141" s="7"/>
      <c r="IH141" s="19"/>
      <c r="II141" s="19"/>
      <c r="IJ141" s="19"/>
      <c r="IK141" s="19"/>
      <c r="IM141" s="8"/>
      <c r="IN141" s="7"/>
      <c r="IO141" s="19"/>
      <c r="IP141" s="19"/>
      <c r="IQ141" s="19"/>
      <c r="IR141" s="19"/>
      <c r="IT141" s="8"/>
      <c r="IU141" s="7"/>
      <c r="IV141" s="19"/>
      <c r="IW141" s="19"/>
      <c r="IX141" s="19"/>
      <c r="IY141" s="19"/>
      <c r="JA141" s="8"/>
      <c r="JB141" s="7"/>
      <c r="JC141" s="19"/>
      <c r="JD141" s="19"/>
      <c r="JE141" s="19"/>
      <c r="JF141" s="19"/>
      <c r="JH141" s="8"/>
      <c r="JI141" s="7"/>
      <c r="JJ141" s="19"/>
      <c r="JK141" s="19"/>
      <c r="JL141" s="19"/>
      <c r="JM141" s="19"/>
      <c r="JO141" s="8"/>
      <c r="JP141" s="7"/>
      <c r="JQ141" s="19"/>
      <c r="JR141" s="19"/>
      <c r="JS141" s="19"/>
      <c r="JT141" s="19"/>
      <c r="JV141" s="8"/>
      <c r="JW141" s="7"/>
      <c r="JX141" s="19"/>
      <c r="JY141" s="19"/>
      <c r="JZ141" s="19"/>
      <c r="KA141" s="19"/>
      <c r="KC141" s="8"/>
      <c r="KD141" s="7"/>
      <c r="KE141" s="19"/>
      <c r="KF141" s="19"/>
      <c r="KG141" s="19"/>
      <c r="KH141" s="19"/>
      <c r="KJ141" s="8"/>
      <c r="KK141" s="7"/>
      <c r="KL141" s="19"/>
      <c r="KM141" s="19"/>
      <c r="KN141" s="19"/>
      <c r="KO141" s="19"/>
      <c r="KQ141" s="8"/>
      <c r="KR141" s="7"/>
      <c r="KS141" s="19"/>
      <c r="KT141" s="19"/>
      <c r="KU141" s="19"/>
      <c r="KV141" s="19"/>
      <c r="KX141" s="8"/>
      <c r="KY141" s="7"/>
      <c r="KZ141" s="19"/>
      <c r="LA141" s="19"/>
      <c r="LB141" s="19"/>
      <c r="LC141" s="19"/>
      <c r="LE141" s="8"/>
      <c r="LF141" s="7"/>
      <c r="LG141" s="19"/>
      <c r="LH141" s="19"/>
      <c r="LI141" s="19"/>
      <c r="LJ141" s="19"/>
      <c r="LL141" s="8"/>
      <c r="LM141" s="7"/>
      <c r="LN141" s="19"/>
      <c r="LO141" s="19"/>
      <c r="LP141" s="19"/>
      <c r="LQ141" s="19"/>
      <c r="LS141" s="8"/>
      <c r="LT141" s="7"/>
      <c r="LU141" s="19"/>
      <c r="LV141" s="19"/>
      <c r="LW141" s="19"/>
      <c r="LX141" s="19"/>
      <c r="LZ141" s="8"/>
      <c r="MA141" s="7"/>
      <c r="MB141" s="19"/>
      <c r="MC141" s="19"/>
      <c r="MD141" s="19"/>
      <c r="ME141" s="19"/>
      <c r="MG141" s="8"/>
      <c r="MH141" s="7"/>
      <c r="MI141" s="19"/>
      <c r="MJ141" s="19"/>
      <c r="MK141" s="19"/>
      <c r="ML141" s="19"/>
      <c r="MN141" s="8"/>
      <c r="MO141" s="7"/>
      <c r="MP141" s="19"/>
      <c r="MQ141" s="19"/>
      <c r="MR141" s="19"/>
      <c r="MS141" s="19"/>
      <c r="MU141" s="8"/>
      <c r="MV141" s="7"/>
      <c r="MW141" s="19"/>
      <c r="MX141" s="19"/>
      <c r="MY141" s="19"/>
      <c r="MZ141" s="19"/>
      <c r="NB141" s="8"/>
      <c r="NC141" s="7"/>
      <c r="ND141" s="19"/>
      <c r="NE141" s="19"/>
      <c r="NF141" s="19"/>
      <c r="NG141" s="19"/>
      <c r="NI141" s="8"/>
      <c r="NJ141" s="7"/>
      <c r="NK141" s="19"/>
      <c r="NL141" s="19"/>
      <c r="NM141" s="19"/>
      <c r="NN141" s="19"/>
      <c r="NP141" s="8"/>
      <c r="NQ141" s="7"/>
      <c r="NR141" s="19"/>
      <c r="NS141" s="19"/>
      <c r="NT141" s="19"/>
      <c r="NU141" s="19"/>
      <c r="NW141" s="8"/>
      <c r="NX141" s="7"/>
      <c r="NY141" s="19"/>
      <c r="NZ141" s="19"/>
      <c r="OA141" s="19"/>
      <c r="OB141" s="19"/>
      <c r="OD141" s="8"/>
      <c r="OE141" s="7"/>
      <c r="OF141" s="19"/>
      <c r="OG141" s="19"/>
      <c r="OH141" s="19"/>
      <c r="OI141" s="19"/>
      <c r="OK141" s="8"/>
      <c r="OL141" s="7"/>
      <c r="OM141" s="19"/>
      <c r="ON141" s="19"/>
      <c r="OO141" s="19"/>
      <c r="OP141" s="19"/>
      <c r="OR141" s="8"/>
      <c r="OS141" s="7"/>
      <c r="OT141" s="19"/>
      <c r="OU141" s="19"/>
      <c r="OV141" s="19"/>
      <c r="OW141" s="19"/>
      <c r="OY141" s="8"/>
      <c r="OZ141" s="7"/>
      <c r="PA141" s="19"/>
      <c r="PB141" s="19"/>
      <c r="PC141" s="19"/>
      <c r="PD141" s="19"/>
      <c r="PF141" s="8"/>
      <c r="PG141" s="7"/>
      <c r="PH141" s="19"/>
      <c r="PI141" s="19"/>
      <c r="PJ141" s="19"/>
      <c r="PK141" s="19"/>
      <c r="PM141" s="8"/>
    </row>
    <row r="142" spans="1:429" s="475" customFormat="1" ht="19" customHeight="1">
      <c r="A142" s="6" t="s">
        <v>76</v>
      </c>
      <c r="B142" s="472"/>
      <c r="C142" s="10"/>
      <c r="D142" s="20"/>
      <c r="E142" s="20"/>
      <c r="F142" s="20"/>
      <c r="G142" s="20"/>
      <c r="H142" s="10"/>
      <c r="I142" s="10"/>
      <c r="J142" s="10"/>
      <c r="K142" s="20"/>
      <c r="L142" s="20"/>
      <c r="M142" s="20"/>
      <c r="N142" s="20"/>
      <c r="O142" s="10"/>
      <c r="P142" s="10"/>
      <c r="Q142" s="10"/>
      <c r="R142" s="20"/>
      <c r="S142" s="20"/>
      <c r="T142" s="20"/>
      <c r="U142" s="20"/>
      <c r="V142" s="10"/>
      <c r="W142" s="10"/>
      <c r="X142" s="10"/>
      <c r="Y142" s="20"/>
      <c r="Z142" s="20"/>
      <c r="AA142" s="20"/>
      <c r="AB142" s="20"/>
      <c r="AC142" s="10"/>
      <c r="AD142" s="10"/>
      <c r="AE142" s="10"/>
      <c r="AF142" s="20"/>
      <c r="AG142" s="20"/>
      <c r="AH142" s="20"/>
      <c r="AI142" s="20"/>
      <c r="AJ142" s="10"/>
      <c r="AK142" s="10"/>
      <c r="AL142" s="10"/>
      <c r="AM142" s="20"/>
      <c r="AN142" s="20"/>
      <c r="AO142" s="20"/>
      <c r="AP142" s="20"/>
      <c r="AQ142" s="10"/>
      <c r="AR142" s="10"/>
      <c r="AS142" s="10"/>
      <c r="AT142" s="20"/>
      <c r="AU142" s="20"/>
      <c r="AV142" s="20"/>
      <c r="AW142" s="20"/>
      <c r="AX142" s="10"/>
      <c r="AY142" s="10"/>
      <c r="AZ142" s="10"/>
      <c r="BA142" s="20"/>
      <c r="BB142" s="20"/>
      <c r="BC142" s="20"/>
      <c r="BD142" s="20"/>
      <c r="BE142" s="10"/>
      <c r="BF142" s="10"/>
      <c r="BG142" s="10"/>
      <c r="BH142" s="20"/>
      <c r="BI142" s="20"/>
      <c r="BJ142" s="20"/>
      <c r="BK142" s="20"/>
      <c r="BL142" s="10"/>
      <c r="BM142" s="10"/>
      <c r="BN142" s="10"/>
      <c r="BO142" s="20"/>
      <c r="BP142" s="20"/>
      <c r="BQ142" s="20"/>
      <c r="BR142" s="20"/>
      <c r="BS142" s="10"/>
      <c r="BT142" s="10"/>
      <c r="BU142" s="10"/>
      <c r="BV142" s="20"/>
      <c r="BW142" s="20"/>
      <c r="BX142" s="20"/>
      <c r="BY142" s="20"/>
      <c r="BZ142" s="10"/>
      <c r="CA142" s="10"/>
      <c r="CB142" s="10"/>
      <c r="CC142" s="20"/>
      <c r="CD142" s="20"/>
      <c r="CE142" s="20"/>
      <c r="CF142" s="20"/>
      <c r="CG142" s="10"/>
      <c r="CH142" s="10"/>
      <c r="CI142" s="10"/>
      <c r="CJ142" s="20"/>
      <c r="CK142" s="20"/>
      <c r="CL142" s="20"/>
      <c r="CM142" s="20"/>
      <c r="CN142" s="10"/>
      <c r="CO142" s="10"/>
      <c r="CP142" s="10"/>
      <c r="CQ142" s="20"/>
      <c r="CR142" s="20"/>
      <c r="CS142" s="20"/>
      <c r="CT142" s="20"/>
      <c r="CU142" s="10"/>
      <c r="CV142" s="10"/>
      <c r="CW142" s="10"/>
      <c r="CX142" s="20"/>
      <c r="CY142" s="20"/>
      <c r="CZ142" s="20"/>
      <c r="DA142" s="20"/>
      <c r="DB142" s="10"/>
      <c r="DC142" s="10"/>
      <c r="DD142" s="10"/>
      <c r="DE142" s="20"/>
      <c r="DF142" s="20"/>
      <c r="DG142" s="20"/>
      <c r="DH142" s="20"/>
      <c r="DI142" s="10"/>
      <c r="DJ142" s="10"/>
      <c r="DK142" s="10"/>
      <c r="DL142" s="20"/>
      <c r="DM142" s="20"/>
      <c r="DN142" s="20"/>
      <c r="DO142" s="20"/>
      <c r="DP142" s="10"/>
      <c r="DQ142" s="10"/>
      <c r="DR142" s="10"/>
      <c r="DS142" s="20"/>
      <c r="DT142" s="20"/>
      <c r="DU142" s="20"/>
      <c r="DV142" s="20"/>
      <c r="DW142" s="10"/>
      <c r="DX142" s="10"/>
      <c r="DY142" s="10"/>
      <c r="DZ142" s="20"/>
      <c r="EA142" s="20"/>
      <c r="EB142" s="20"/>
      <c r="EC142" s="20"/>
      <c r="ED142" s="10"/>
      <c r="EE142" s="10"/>
      <c r="EF142" s="10"/>
      <c r="EG142" s="20"/>
      <c r="EH142" s="20"/>
      <c r="EI142" s="20"/>
      <c r="EJ142" s="20"/>
      <c r="EK142" s="10"/>
      <c r="EL142" s="10"/>
      <c r="EM142" s="10"/>
      <c r="EN142" s="20"/>
      <c r="EO142" s="20"/>
      <c r="EP142" s="20"/>
      <c r="EQ142" s="20"/>
      <c r="ER142" s="10"/>
      <c r="ES142" s="10"/>
      <c r="ET142" s="10"/>
      <c r="EU142" s="20"/>
      <c r="EV142" s="20"/>
      <c r="EW142" s="20"/>
      <c r="EX142" s="20"/>
      <c r="EY142" s="10"/>
      <c r="EZ142" s="10"/>
      <c r="FA142" s="10"/>
      <c r="FB142" s="20"/>
      <c r="FC142" s="20"/>
      <c r="FD142" s="20"/>
      <c r="FE142" s="20"/>
      <c r="FF142" s="10"/>
      <c r="FG142" s="10"/>
      <c r="FH142" s="10"/>
      <c r="FI142" s="20"/>
      <c r="FJ142" s="20"/>
      <c r="FK142" s="20"/>
      <c r="FL142" s="20"/>
      <c r="FM142" s="10"/>
      <c r="FN142" s="10"/>
      <c r="FO142" s="10"/>
      <c r="FP142" s="20"/>
      <c r="FQ142" s="20"/>
      <c r="FR142" s="20"/>
      <c r="FS142" s="20"/>
      <c r="FT142" s="10"/>
      <c r="FU142" s="10"/>
      <c r="FV142" s="10"/>
      <c r="FW142" s="20"/>
      <c r="FX142" s="20"/>
      <c r="FY142" s="20"/>
      <c r="FZ142" s="20"/>
      <c r="GA142" s="10"/>
      <c r="GB142" s="10"/>
      <c r="GC142" s="10"/>
      <c r="GD142" s="20"/>
      <c r="GE142" s="20"/>
      <c r="GF142" s="20"/>
      <c r="GG142" s="20"/>
      <c r="GH142" s="10"/>
      <c r="GI142" s="10"/>
      <c r="GJ142" s="10"/>
      <c r="GK142" s="20"/>
      <c r="GL142" s="20"/>
      <c r="GM142" s="20"/>
      <c r="GN142" s="20"/>
      <c r="GO142" s="10"/>
      <c r="GP142" s="10"/>
      <c r="GQ142" s="10"/>
      <c r="GR142" s="20"/>
      <c r="GS142" s="20"/>
      <c r="GT142" s="20"/>
      <c r="GU142" s="20"/>
      <c r="GV142" s="10"/>
      <c r="GW142" s="10"/>
      <c r="GX142" s="10"/>
      <c r="GY142" s="20"/>
      <c r="GZ142" s="20"/>
      <c r="HA142" s="20"/>
      <c r="HB142" s="20"/>
      <c r="HC142" s="10"/>
      <c r="HD142" s="10"/>
      <c r="HE142" s="10"/>
      <c r="HF142" s="20"/>
      <c r="HG142" s="20"/>
      <c r="HH142" s="20"/>
      <c r="HI142" s="20"/>
      <c r="HJ142" s="10"/>
      <c r="HK142" s="10"/>
      <c r="HL142" s="10"/>
      <c r="HM142" s="20"/>
      <c r="HN142" s="20"/>
      <c r="HO142" s="20"/>
      <c r="HP142" s="20"/>
      <c r="HQ142" s="10"/>
      <c r="HR142" s="10"/>
      <c r="HS142" s="10"/>
      <c r="HT142" s="20"/>
      <c r="HU142" s="20"/>
      <c r="HV142" s="20"/>
      <c r="HW142" s="20"/>
      <c r="HX142" s="10"/>
      <c r="HY142" s="10"/>
      <c r="HZ142" s="10"/>
      <c r="IA142" s="20"/>
      <c r="IB142" s="20"/>
      <c r="IC142" s="20"/>
      <c r="ID142" s="20"/>
      <c r="IE142" s="10"/>
      <c r="IF142" s="10"/>
      <c r="IG142" s="10"/>
      <c r="IH142" s="20"/>
      <c r="II142" s="20"/>
      <c r="IJ142" s="20"/>
      <c r="IK142" s="20"/>
      <c r="IL142" s="10"/>
      <c r="IM142" s="10"/>
      <c r="IN142" s="10"/>
      <c r="IO142" s="20"/>
      <c r="IP142" s="20"/>
      <c r="IQ142" s="20"/>
      <c r="IR142" s="20"/>
      <c r="IS142" s="10"/>
      <c r="IT142" s="10"/>
      <c r="IU142" s="10"/>
      <c r="IV142" s="20"/>
      <c r="IW142" s="20"/>
      <c r="IX142" s="20"/>
      <c r="IY142" s="20"/>
      <c r="IZ142" s="10"/>
      <c r="JA142" s="10"/>
      <c r="JB142" s="10"/>
      <c r="JC142" s="20"/>
      <c r="JD142" s="20"/>
      <c r="JE142" s="20"/>
      <c r="JF142" s="20"/>
      <c r="JG142" s="10"/>
      <c r="JH142" s="10"/>
      <c r="JI142" s="10"/>
      <c r="JJ142" s="20"/>
      <c r="JK142" s="20"/>
      <c r="JL142" s="20"/>
      <c r="JM142" s="20"/>
      <c r="JN142" s="10"/>
      <c r="JO142" s="10"/>
      <c r="JP142" s="10"/>
      <c r="JQ142" s="20"/>
      <c r="JR142" s="20"/>
      <c r="JS142" s="20"/>
      <c r="JT142" s="20"/>
      <c r="JU142" s="10"/>
      <c r="JV142" s="10"/>
      <c r="JW142" s="10"/>
      <c r="JX142" s="20"/>
      <c r="JY142" s="20"/>
      <c r="JZ142" s="20"/>
      <c r="KA142" s="20"/>
      <c r="KB142" s="10"/>
      <c r="KC142" s="10"/>
      <c r="KD142" s="10"/>
      <c r="KE142" s="20"/>
      <c r="KF142" s="20"/>
      <c r="KG142" s="20"/>
      <c r="KH142" s="20"/>
      <c r="KI142" s="10"/>
      <c r="KJ142" s="10"/>
      <c r="KK142" s="10"/>
      <c r="KL142" s="20"/>
      <c r="KM142" s="20"/>
      <c r="KN142" s="20"/>
      <c r="KO142" s="20"/>
      <c r="KP142" s="10"/>
      <c r="KQ142" s="10"/>
      <c r="KR142" s="10"/>
      <c r="KS142" s="20"/>
      <c r="KT142" s="20"/>
      <c r="KU142" s="20"/>
      <c r="KV142" s="20"/>
      <c r="KW142" s="10"/>
      <c r="KX142" s="10"/>
      <c r="KY142" s="10"/>
      <c r="KZ142" s="20"/>
      <c r="LA142" s="20"/>
      <c r="LB142" s="20"/>
      <c r="LC142" s="20"/>
      <c r="LD142" s="10"/>
      <c r="LE142" s="10"/>
      <c r="LF142" s="10"/>
      <c r="LG142" s="20"/>
      <c r="LH142" s="20"/>
      <c r="LI142" s="20"/>
      <c r="LJ142" s="20"/>
      <c r="LK142" s="10"/>
      <c r="LL142" s="10"/>
      <c r="LM142" s="10"/>
      <c r="LN142" s="20"/>
      <c r="LO142" s="20"/>
      <c r="LP142" s="20"/>
      <c r="LQ142" s="20"/>
      <c r="LR142" s="10"/>
      <c r="LS142" s="10"/>
      <c r="LT142" s="10"/>
      <c r="LU142" s="20"/>
      <c r="LV142" s="20"/>
      <c r="LW142" s="20"/>
      <c r="LX142" s="20"/>
      <c r="LY142" s="10"/>
      <c r="LZ142" s="10"/>
      <c r="MA142" s="10"/>
      <c r="MB142" s="20"/>
      <c r="MC142" s="20"/>
      <c r="MD142" s="20"/>
      <c r="ME142" s="20"/>
      <c r="MF142" s="10"/>
      <c r="MG142" s="10"/>
      <c r="MH142" s="10"/>
      <c r="MI142" s="20"/>
      <c r="MJ142" s="20"/>
      <c r="MK142" s="20"/>
      <c r="ML142" s="20"/>
      <c r="MM142" s="10"/>
      <c r="MN142" s="10"/>
      <c r="MO142" s="10"/>
      <c r="MP142" s="20"/>
      <c r="MQ142" s="20"/>
      <c r="MR142" s="20"/>
      <c r="MS142" s="20"/>
      <c r="MT142" s="10"/>
      <c r="MU142" s="10"/>
      <c r="MV142" s="10"/>
      <c r="MW142" s="20"/>
      <c r="MX142" s="20"/>
      <c r="MY142" s="20"/>
      <c r="MZ142" s="20"/>
      <c r="NA142" s="10"/>
      <c r="NB142" s="10"/>
      <c r="NC142" s="10"/>
      <c r="ND142" s="20"/>
      <c r="NE142" s="20"/>
      <c r="NF142" s="20"/>
      <c r="NG142" s="20"/>
      <c r="NH142" s="10"/>
      <c r="NI142" s="10"/>
      <c r="NJ142" s="10"/>
      <c r="NK142" s="20"/>
      <c r="NL142" s="20"/>
      <c r="NM142" s="20"/>
      <c r="NN142" s="20"/>
      <c r="NO142" s="10"/>
      <c r="NP142" s="10"/>
      <c r="NQ142" s="10"/>
      <c r="NR142" s="20"/>
      <c r="NS142" s="20"/>
      <c r="NT142" s="20"/>
      <c r="NU142" s="20"/>
      <c r="NV142" s="10"/>
      <c r="NW142" s="10"/>
      <c r="NX142" s="10"/>
      <c r="NY142" s="20"/>
      <c r="NZ142" s="20"/>
      <c r="OA142" s="20"/>
      <c r="OB142" s="20"/>
      <c r="OC142" s="10"/>
      <c r="OD142" s="10"/>
      <c r="OE142" s="10"/>
      <c r="OF142" s="20"/>
      <c r="OG142" s="20"/>
      <c r="OH142" s="20"/>
      <c r="OI142" s="20"/>
      <c r="OJ142" s="10"/>
      <c r="OK142" s="10"/>
      <c r="OL142" s="10"/>
      <c r="OM142" s="20"/>
      <c r="ON142" s="20"/>
      <c r="OO142" s="20"/>
      <c r="OP142" s="20"/>
      <c r="OQ142" s="10"/>
      <c r="OR142" s="10"/>
      <c r="OS142" s="10"/>
      <c r="OT142" s="20"/>
      <c r="OU142" s="20"/>
      <c r="OV142" s="20"/>
      <c r="OW142" s="20"/>
      <c r="OX142" s="10"/>
      <c r="OY142" s="10"/>
      <c r="OZ142" s="10"/>
      <c r="PA142" s="20"/>
      <c r="PB142" s="20"/>
      <c r="PC142" s="20"/>
      <c r="PD142" s="20"/>
      <c r="PE142" s="10"/>
      <c r="PF142" s="10"/>
      <c r="PG142" s="10"/>
      <c r="PH142" s="20"/>
      <c r="PI142" s="20"/>
      <c r="PJ142" s="20"/>
      <c r="PK142" s="20"/>
      <c r="PL142" s="10"/>
      <c r="PM142" s="10"/>
    </row>
    <row r="143" spans="1:429" s="1" customFormat="1" ht="26" customHeight="1" outlineLevel="1">
      <c r="B143" s="471"/>
      <c r="C143" s="7"/>
      <c r="D143" s="19"/>
      <c r="E143" s="19"/>
      <c r="F143" s="19"/>
      <c r="G143" s="19"/>
      <c r="I143" s="8"/>
      <c r="J143" s="7"/>
      <c r="K143" s="19"/>
      <c r="L143" s="19"/>
      <c r="M143" s="19"/>
      <c r="N143" s="19"/>
      <c r="P143" s="8"/>
      <c r="Q143" s="7"/>
      <c r="R143" s="19"/>
      <c r="S143" s="19"/>
      <c r="T143" s="19"/>
      <c r="U143" s="19"/>
      <c r="W143" s="8"/>
      <c r="X143" s="7"/>
      <c r="Y143" s="19"/>
      <c r="Z143" s="19"/>
      <c r="AA143" s="19"/>
      <c r="AB143" s="19"/>
      <c r="AD143" s="8"/>
      <c r="AE143" s="7"/>
      <c r="AF143" s="19"/>
      <c r="AG143" s="19"/>
      <c r="AH143" s="19"/>
      <c r="AI143" s="19"/>
      <c r="AK143" s="8"/>
      <c r="AL143" s="7"/>
      <c r="AM143" s="19"/>
      <c r="AN143" s="19"/>
      <c r="AO143" s="19"/>
      <c r="AP143" s="19"/>
      <c r="AR143" s="8"/>
      <c r="AS143" s="7"/>
      <c r="AT143" s="19"/>
      <c r="AU143" s="19"/>
      <c r="AV143" s="19"/>
      <c r="AW143" s="19"/>
      <c r="AY143" s="8"/>
      <c r="AZ143" s="7"/>
      <c r="BA143" s="19"/>
      <c r="BB143" s="19"/>
      <c r="BC143" s="19"/>
      <c r="BD143" s="19"/>
      <c r="BF143" s="8"/>
      <c r="BG143" s="7"/>
      <c r="BH143" s="19"/>
      <c r="BI143" s="19"/>
      <c r="BJ143" s="19"/>
      <c r="BK143" s="19"/>
      <c r="BM143" s="8"/>
      <c r="BN143" s="7"/>
      <c r="BO143" s="19"/>
      <c r="BP143" s="19"/>
      <c r="BQ143" s="19"/>
      <c r="BR143" s="19"/>
      <c r="BT143" s="8"/>
      <c r="BU143" s="7"/>
      <c r="BV143" s="19"/>
      <c r="BW143" s="19"/>
      <c r="BX143" s="19"/>
      <c r="BY143" s="19"/>
      <c r="CA143" s="8"/>
      <c r="CB143" s="7"/>
      <c r="CC143" s="19"/>
      <c r="CD143" s="19"/>
      <c r="CE143" s="19"/>
      <c r="CF143" s="19"/>
      <c r="CH143" s="8"/>
      <c r="CI143" s="7"/>
      <c r="CJ143" s="19"/>
      <c r="CK143" s="19"/>
      <c r="CL143" s="19"/>
      <c r="CM143" s="19"/>
      <c r="CO143" s="8"/>
      <c r="CP143" s="7"/>
      <c r="CQ143" s="19"/>
      <c r="CR143" s="19"/>
      <c r="CS143" s="19"/>
      <c r="CT143" s="19"/>
      <c r="CV143" s="8"/>
      <c r="CW143" s="7"/>
      <c r="CX143" s="19"/>
      <c r="CY143" s="19"/>
      <c r="CZ143" s="19"/>
      <c r="DA143" s="19"/>
      <c r="DC143" s="8"/>
      <c r="DD143" s="7"/>
      <c r="DE143" s="19"/>
      <c r="DF143" s="19"/>
      <c r="DG143" s="19"/>
      <c r="DH143" s="19"/>
      <c r="DJ143" s="8"/>
      <c r="DK143" s="7"/>
      <c r="DL143" s="19"/>
      <c r="DM143" s="19"/>
      <c r="DN143" s="19"/>
      <c r="DO143" s="19"/>
      <c r="DQ143" s="8"/>
      <c r="DR143" s="7"/>
      <c r="DS143" s="19"/>
      <c r="DT143" s="19"/>
      <c r="DU143" s="19"/>
      <c r="DV143" s="19"/>
      <c r="DX143" s="8"/>
      <c r="DY143" s="7"/>
      <c r="DZ143" s="19"/>
      <c r="EA143" s="19"/>
      <c r="EB143" s="19"/>
      <c r="EC143" s="19"/>
      <c r="EE143" s="8"/>
      <c r="EF143" s="7"/>
      <c r="EG143" s="19"/>
      <c r="EH143" s="19"/>
      <c r="EI143" s="19"/>
      <c r="EJ143" s="19"/>
      <c r="EL143" s="8"/>
      <c r="EM143" s="7"/>
      <c r="EN143" s="19"/>
      <c r="EO143" s="19"/>
      <c r="EP143" s="19"/>
      <c r="EQ143" s="19"/>
      <c r="ES143" s="8"/>
      <c r="ET143" s="7"/>
      <c r="EU143" s="19"/>
      <c r="EV143" s="19"/>
      <c r="EW143" s="19"/>
      <c r="EX143" s="19"/>
      <c r="EZ143" s="8"/>
      <c r="FA143" s="7"/>
      <c r="FB143" s="19"/>
      <c r="FC143" s="19"/>
      <c r="FD143" s="19"/>
      <c r="FE143" s="19"/>
      <c r="FG143" s="8"/>
      <c r="FH143" s="7"/>
      <c r="FI143" s="19"/>
      <c r="FJ143" s="19"/>
      <c r="FK143" s="19"/>
      <c r="FL143" s="19"/>
      <c r="FN143" s="8"/>
      <c r="FO143" s="7"/>
      <c r="FP143" s="19"/>
      <c r="FQ143" s="19"/>
      <c r="FR143" s="19"/>
      <c r="FS143" s="19"/>
      <c r="FU143" s="8"/>
      <c r="FV143" s="7"/>
      <c r="FW143" s="19"/>
      <c r="FX143" s="19"/>
      <c r="FY143" s="19"/>
      <c r="FZ143" s="19"/>
      <c r="GB143" s="8"/>
      <c r="GC143" s="7"/>
      <c r="GD143" s="19"/>
      <c r="GE143" s="19"/>
      <c r="GF143" s="19"/>
      <c r="GG143" s="19"/>
      <c r="GI143" s="8"/>
      <c r="GJ143" s="7"/>
      <c r="GK143" s="19"/>
      <c r="GL143" s="19"/>
      <c r="GM143" s="19"/>
      <c r="GN143" s="19"/>
      <c r="GP143" s="8"/>
      <c r="GQ143" s="7"/>
      <c r="GR143" s="19"/>
      <c r="GS143" s="19"/>
      <c r="GT143" s="19"/>
      <c r="GU143" s="19"/>
      <c r="GW143" s="8"/>
      <c r="GX143" s="7"/>
      <c r="GY143" s="19"/>
      <c r="GZ143" s="19"/>
      <c r="HA143" s="19"/>
      <c r="HB143" s="19"/>
      <c r="HD143" s="8"/>
      <c r="HE143" s="7"/>
      <c r="HF143" s="19"/>
      <c r="HG143" s="19"/>
      <c r="HH143" s="19"/>
      <c r="HI143" s="19"/>
      <c r="HK143" s="8"/>
      <c r="HL143" s="7"/>
      <c r="HM143" s="19"/>
      <c r="HN143" s="19"/>
      <c r="HO143" s="19"/>
      <c r="HP143" s="19"/>
      <c r="HR143" s="8"/>
      <c r="HS143" s="7"/>
      <c r="HT143" s="19"/>
      <c r="HU143" s="19"/>
      <c r="HV143" s="19"/>
      <c r="HW143" s="19"/>
      <c r="HY143" s="8"/>
      <c r="HZ143" s="7"/>
      <c r="IA143" s="19"/>
      <c r="IB143" s="19"/>
      <c r="IC143" s="19"/>
      <c r="ID143" s="19"/>
      <c r="IF143" s="8"/>
      <c r="IG143" s="7"/>
      <c r="IH143" s="19"/>
      <c r="II143" s="19"/>
      <c r="IJ143" s="19"/>
      <c r="IK143" s="19"/>
      <c r="IM143" s="8"/>
      <c r="IN143" s="7"/>
      <c r="IO143" s="19"/>
      <c r="IP143" s="19"/>
      <c r="IQ143" s="19"/>
      <c r="IR143" s="19"/>
      <c r="IT143" s="8"/>
      <c r="IU143" s="7"/>
      <c r="IV143" s="19"/>
      <c r="IW143" s="19"/>
      <c r="IX143" s="19"/>
      <c r="IY143" s="19"/>
      <c r="JA143" s="8"/>
      <c r="JB143" s="7"/>
      <c r="JC143" s="19"/>
      <c r="JD143" s="19"/>
      <c r="JE143" s="19"/>
      <c r="JF143" s="19"/>
      <c r="JH143" s="8"/>
      <c r="JI143" s="7"/>
      <c r="JJ143" s="19"/>
      <c r="JK143" s="19"/>
      <c r="JL143" s="19"/>
      <c r="JM143" s="19"/>
      <c r="JO143" s="8"/>
      <c r="JP143" s="7"/>
      <c r="JQ143" s="19"/>
      <c r="JR143" s="19"/>
      <c r="JS143" s="19"/>
      <c r="JT143" s="19"/>
      <c r="JV143" s="8"/>
      <c r="JW143" s="7"/>
      <c r="JX143" s="19"/>
      <c r="JY143" s="19"/>
      <c r="JZ143" s="19"/>
      <c r="KA143" s="19"/>
      <c r="KC143" s="8"/>
      <c r="KD143" s="7"/>
      <c r="KE143" s="19"/>
      <c r="KF143" s="19"/>
      <c r="KG143" s="19"/>
      <c r="KH143" s="19"/>
      <c r="KJ143" s="8"/>
      <c r="KK143" s="7"/>
      <c r="KL143" s="19"/>
      <c r="KM143" s="19"/>
      <c r="KN143" s="19"/>
      <c r="KO143" s="19"/>
      <c r="KQ143" s="8"/>
      <c r="KR143" s="7"/>
      <c r="KS143" s="19"/>
      <c r="KT143" s="19"/>
      <c r="KU143" s="19"/>
      <c r="KV143" s="19"/>
      <c r="KX143" s="8"/>
      <c r="KY143" s="7"/>
      <c r="KZ143" s="19"/>
      <c r="LA143" s="19"/>
      <c r="LB143" s="19"/>
      <c r="LC143" s="19"/>
      <c r="LE143" s="8"/>
      <c r="LF143" s="7"/>
      <c r="LG143" s="19"/>
      <c r="LH143" s="19"/>
      <c r="LI143" s="19"/>
      <c r="LJ143" s="19"/>
      <c r="LL143" s="8"/>
      <c r="LM143" s="7"/>
      <c r="LN143" s="19"/>
      <c r="LO143" s="19"/>
      <c r="LP143" s="19"/>
      <c r="LQ143" s="19"/>
      <c r="LS143" s="8"/>
      <c r="LT143" s="7"/>
      <c r="LU143" s="19"/>
      <c r="LV143" s="19"/>
      <c r="LW143" s="19"/>
      <c r="LX143" s="19"/>
      <c r="LZ143" s="8"/>
      <c r="MA143" s="7"/>
      <c r="MB143" s="19"/>
      <c r="MC143" s="19"/>
      <c r="MD143" s="19"/>
      <c r="ME143" s="19"/>
      <c r="MG143" s="8"/>
      <c r="MH143" s="7"/>
      <c r="MI143" s="19"/>
      <c r="MJ143" s="19"/>
      <c r="MK143" s="19"/>
      <c r="ML143" s="19"/>
      <c r="MN143" s="8"/>
      <c r="MO143" s="7"/>
      <c r="MP143" s="19"/>
      <c r="MQ143" s="19"/>
      <c r="MR143" s="19"/>
      <c r="MS143" s="19"/>
      <c r="MU143" s="8"/>
      <c r="MV143" s="7"/>
      <c r="MW143" s="19"/>
      <c r="MX143" s="19"/>
      <c r="MY143" s="19"/>
      <c r="MZ143" s="19"/>
      <c r="NB143" s="8"/>
      <c r="NC143" s="7"/>
      <c r="ND143" s="19"/>
      <c r="NE143" s="19"/>
      <c r="NF143" s="19"/>
      <c r="NG143" s="19"/>
      <c r="NI143" s="8"/>
      <c r="NJ143" s="7"/>
      <c r="NK143" s="19"/>
      <c r="NL143" s="19"/>
      <c r="NM143" s="19"/>
      <c r="NN143" s="19"/>
      <c r="NP143" s="8"/>
      <c r="NQ143" s="7"/>
      <c r="NR143" s="19"/>
      <c r="NS143" s="19"/>
      <c r="NT143" s="19"/>
      <c r="NU143" s="19"/>
      <c r="NW143" s="8"/>
      <c r="NX143" s="7"/>
      <c r="NY143" s="19"/>
      <c r="NZ143" s="19"/>
      <c r="OA143" s="19"/>
      <c r="OB143" s="19"/>
      <c r="OD143" s="8"/>
      <c r="OE143" s="7"/>
      <c r="OF143" s="19"/>
      <c r="OG143" s="19"/>
      <c r="OH143" s="19"/>
      <c r="OI143" s="19"/>
      <c r="OK143" s="8"/>
      <c r="OL143" s="7"/>
      <c r="OM143" s="19"/>
      <c r="ON143" s="19"/>
      <c r="OO143" s="19"/>
      <c r="OP143" s="19"/>
      <c r="OR143" s="8"/>
      <c r="OS143" s="7"/>
      <c r="OT143" s="19"/>
      <c r="OU143" s="19"/>
      <c r="OV143" s="19"/>
      <c r="OW143" s="19"/>
      <c r="OY143" s="8"/>
      <c r="OZ143" s="7"/>
      <c r="PA143" s="19"/>
      <c r="PB143" s="19"/>
      <c r="PC143" s="19"/>
      <c r="PD143" s="19"/>
      <c r="PF143" s="8"/>
      <c r="PG143" s="7"/>
      <c r="PH143" s="19"/>
      <c r="PI143" s="19"/>
      <c r="PJ143" s="19"/>
      <c r="PK143" s="19"/>
      <c r="PM143" s="8"/>
    </row>
    <row r="144" spans="1:429" s="1" customFormat="1" ht="26" customHeight="1" outlineLevel="1">
      <c r="B144" s="471"/>
      <c r="C144" s="7"/>
      <c r="D144" s="19"/>
      <c r="E144" s="19"/>
      <c r="F144" s="19"/>
      <c r="G144" s="19"/>
      <c r="I144" s="8"/>
      <c r="J144" s="7"/>
      <c r="K144" s="19"/>
      <c r="L144" s="19"/>
      <c r="M144" s="19"/>
      <c r="N144" s="19"/>
      <c r="P144" s="8"/>
      <c r="Q144" s="7"/>
      <c r="R144" s="19"/>
      <c r="S144" s="19"/>
      <c r="T144" s="19"/>
      <c r="U144" s="19"/>
      <c r="W144" s="8"/>
      <c r="X144" s="7"/>
      <c r="Y144" s="19"/>
      <c r="Z144" s="19"/>
      <c r="AA144" s="19"/>
      <c r="AB144" s="19"/>
      <c r="AD144" s="8"/>
      <c r="AE144" s="7"/>
      <c r="AF144" s="19"/>
      <c r="AG144" s="19"/>
      <c r="AH144" s="19"/>
      <c r="AI144" s="19"/>
      <c r="AK144" s="8"/>
      <c r="AL144" s="7"/>
      <c r="AM144" s="19"/>
      <c r="AN144" s="19"/>
      <c r="AO144" s="19"/>
      <c r="AP144" s="19"/>
      <c r="AR144" s="8"/>
      <c r="AS144" s="7"/>
      <c r="AT144" s="19"/>
      <c r="AU144" s="19"/>
      <c r="AV144" s="19"/>
      <c r="AW144" s="19"/>
      <c r="AY144" s="8"/>
      <c r="AZ144" s="7"/>
      <c r="BA144" s="19"/>
      <c r="BB144" s="19"/>
      <c r="BC144" s="19"/>
      <c r="BD144" s="19"/>
      <c r="BF144" s="8"/>
      <c r="BG144" s="7"/>
      <c r="BH144" s="19"/>
      <c r="BI144" s="19"/>
      <c r="BJ144" s="19"/>
      <c r="BK144" s="19"/>
      <c r="BM144" s="8"/>
      <c r="BN144" s="7"/>
      <c r="BO144" s="19"/>
      <c r="BP144" s="19"/>
      <c r="BQ144" s="19"/>
      <c r="BR144" s="19"/>
      <c r="BT144" s="8"/>
      <c r="BU144" s="7"/>
      <c r="BV144" s="19"/>
      <c r="BW144" s="19"/>
      <c r="BX144" s="19"/>
      <c r="BY144" s="19"/>
      <c r="CA144" s="8"/>
      <c r="CB144" s="7"/>
      <c r="CC144" s="19"/>
      <c r="CD144" s="19"/>
      <c r="CE144" s="19"/>
      <c r="CF144" s="19"/>
      <c r="CH144" s="8"/>
      <c r="CI144" s="7"/>
      <c r="CJ144" s="19"/>
      <c r="CK144" s="19"/>
      <c r="CL144" s="19"/>
      <c r="CM144" s="19"/>
      <c r="CO144" s="8"/>
      <c r="CP144" s="7"/>
      <c r="CQ144" s="19"/>
      <c r="CR144" s="19"/>
      <c r="CS144" s="19"/>
      <c r="CT144" s="19"/>
      <c r="CV144" s="8"/>
      <c r="CW144" s="7"/>
      <c r="CX144" s="19"/>
      <c r="CY144" s="19"/>
      <c r="CZ144" s="19"/>
      <c r="DA144" s="19"/>
      <c r="DC144" s="8"/>
      <c r="DD144" s="7"/>
      <c r="DE144" s="19"/>
      <c r="DF144" s="19"/>
      <c r="DG144" s="19"/>
      <c r="DH144" s="19"/>
      <c r="DJ144" s="8"/>
      <c r="DK144" s="7"/>
      <c r="DL144" s="19"/>
      <c r="DM144" s="19"/>
      <c r="DN144" s="19"/>
      <c r="DO144" s="19"/>
      <c r="DQ144" s="8"/>
      <c r="DR144" s="7"/>
      <c r="DS144" s="19"/>
      <c r="DT144" s="19"/>
      <c r="DU144" s="19"/>
      <c r="DV144" s="19"/>
      <c r="DX144" s="8"/>
      <c r="DY144" s="7"/>
      <c r="DZ144" s="19"/>
      <c r="EA144" s="19"/>
      <c r="EB144" s="19"/>
      <c r="EC144" s="19"/>
      <c r="EE144" s="8"/>
      <c r="EF144" s="7"/>
      <c r="EG144" s="19"/>
      <c r="EH144" s="19"/>
      <c r="EI144" s="19"/>
      <c r="EJ144" s="19"/>
      <c r="EL144" s="8"/>
      <c r="EM144" s="7"/>
      <c r="EN144" s="19"/>
      <c r="EO144" s="19"/>
      <c r="EP144" s="19"/>
      <c r="EQ144" s="19"/>
      <c r="ES144" s="8"/>
      <c r="ET144" s="7"/>
      <c r="EU144" s="19"/>
      <c r="EV144" s="19"/>
      <c r="EW144" s="19"/>
      <c r="EX144" s="19"/>
      <c r="EZ144" s="8"/>
      <c r="FA144" s="7"/>
      <c r="FB144" s="19"/>
      <c r="FC144" s="19"/>
      <c r="FD144" s="19"/>
      <c r="FE144" s="19"/>
      <c r="FG144" s="8"/>
      <c r="FH144" s="7"/>
      <c r="FI144" s="19"/>
      <c r="FJ144" s="19"/>
      <c r="FK144" s="19"/>
      <c r="FL144" s="19"/>
      <c r="FN144" s="8"/>
      <c r="FO144" s="7"/>
      <c r="FP144" s="19"/>
      <c r="FQ144" s="19"/>
      <c r="FR144" s="19"/>
      <c r="FS144" s="19"/>
      <c r="FU144" s="8"/>
      <c r="FV144" s="7"/>
      <c r="FW144" s="19"/>
      <c r="FX144" s="19"/>
      <c r="FY144" s="19"/>
      <c r="FZ144" s="19"/>
      <c r="GB144" s="8"/>
      <c r="GC144" s="7"/>
      <c r="GD144" s="19"/>
      <c r="GE144" s="19"/>
      <c r="GF144" s="19"/>
      <c r="GG144" s="19"/>
      <c r="GI144" s="8"/>
      <c r="GJ144" s="7"/>
      <c r="GK144" s="19"/>
      <c r="GL144" s="19"/>
      <c r="GM144" s="19"/>
      <c r="GN144" s="19"/>
      <c r="GP144" s="8"/>
      <c r="GQ144" s="7"/>
      <c r="GR144" s="19"/>
      <c r="GS144" s="19"/>
      <c r="GT144" s="19"/>
      <c r="GU144" s="19"/>
      <c r="GW144" s="8"/>
      <c r="GX144" s="7"/>
      <c r="GY144" s="19"/>
      <c r="GZ144" s="19"/>
      <c r="HA144" s="19"/>
      <c r="HB144" s="19"/>
      <c r="HD144" s="8"/>
      <c r="HE144" s="7"/>
      <c r="HF144" s="19"/>
      <c r="HG144" s="19"/>
      <c r="HH144" s="19"/>
      <c r="HI144" s="19"/>
      <c r="HK144" s="8"/>
      <c r="HL144" s="7"/>
      <c r="HM144" s="19"/>
      <c r="HN144" s="19"/>
      <c r="HO144" s="19"/>
      <c r="HP144" s="19"/>
      <c r="HR144" s="8"/>
      <c r="HS144" s="7"/>
      <c r="HT144" s="19"/>
      <c r="HU144" s="19"/>
      <c r="HV144" s="19"/>
      <c r="HW144" s="19"/>
      <c r="HY144" s="8"/>
      <c r="HZ144" s="7"/>
      <c r="IA144" s="19"/>
      <c r="IB144" s="19"/>
      <c r="IC144" s="19"/>
      <c r="ID144" s="19"/>
      <c r="IF144" s="8"/>
      <c r="IG144" s="7"/>
      <c r="IH144" s="19"/>
      <c r="II144" s="19"/>
      <c r="IJ144" s="19"/>
      <c r="IK144" s="19"/>
      <c r="IM144" s="8"/>
      <c r="IN144" s="7"/>
      <c r="IO144" s="19"/>
      <c r="IP144" s="19"/>
      <c r="IQ144" s="19"/>
      <c r="IR144" s="19"/>
      <c r="IT144" s="8"/>
      <c r="IU144" s="7"/>
      <c r="IV144" s="19"/>
      <c r="IW144" s="19"/>
      <c r="IX144" s="19"/>
      <c r="IY144" s="19"/>
      <c r="JA144" s="8"/>
      <c r="JB144" s="7"/>
      <c r="JC144" s="19"/>
      <c r="JD144" s="19"/>
      <c r="JE144" s="19"/>
      <c r="JF144" s="19"/>
      <c r="JH144" s="8"/>
      <c r="JI144" s="7"/>
      <c r="JJ144" s="19"/>
      <c r="JK144" s="19"/>
      <c r="JL144" s="19"/>
      <c r="JM144" s="19"/>
      <c r="JO144" s="8"/>
      <c r="JP144" s="7"/>
      <c r="JQ144" s="19"/>
      <c r="JR144" s="19"/>
      <c r="JS144" s="19"/>
      <c r="JT144" s="19"/>
      <c r="JV144" s="8"/>
      <c r="JW144" s="7"/>
      <c r="JX144" s="19"/>
      <c r="JY144" s="19"/>
      <c r="JZ144" s="19"/>
      <c r="KA144" s="19"/>
      <c r="KC144" s="8"/>
      <c r="KD144" s="7"/>
      <c r="KE144" s="19"/>
      <c r="KF144" s="19"/>
      <c r="KG144" s="19"/>
      <c r="KH144" s="19"/>
      <c r="KJ144" s="8"/>
      <c r="KK144" s="7"/>
      <c r="KL144" s="19"/>
      <c r="KM144" s="19"/>
      <c r="KN144" s="19"/>
      <c r="KO144" s="19"/>
      <c r="KQ144" s="8"/>
      <c r="KR144" s="7"/>
      <c r="KS144" s="19"/>
      <c r="KT144" s="19"/>
      <c r="KU144" s="19"/>
      <c r="KV144" s="19"/>
      <c r="KX144" s="8"/>
      <c r="KY144" s="7"/>
      <c r="KZ144" s="19"/>
      <c r="LA144" s="19"/>
      <c r="LB144" s="19"/>
      <c r="LC144" s="19"/>
      <c r="LE144" s="8"/>
      <c r="LF144" s="7"/>
      <c r="LG144" s="19"/>
      <c r="LH144" s="19"/>
      <c r="LI144" s="19"/>
      <c r="LJ144" s="19"/>
      <c r="LL144" s="8"/>
      <c r="LM144" s="7"/>
      <c r="LN144" s="19"/>
      <c r="LO144" s="19"/>
      <c r="LP144" s="19"/>
      <c r="LQ144" s="19"/>
      <c r="LS144" s="8"/>
      <c r="LT144" s="7"/>
      <c r="LU144" s="19"/>
      <c r="LV144" s="19"/>
      <c r="LW144" s="19"/>
      <c r="LX144" s="19"/>
      <c r="LZ144" s="8"/>
      <c r="MA144" s="7"/>
      <c r="MB144" s="19"/>
      <c r="MC144" s="19"/>
      <c r="MD144" s="19"/>
      <c r="ME144" s="19"/>
      <c r="MG144" s="8"/>
      <c r="MH144" s="7"/>
      <c r="MI144" s="19"/>
      <c r="MJ144" s="19"/>
      <c r="MK144" s="19"/>
      <c r="ML144" s="19"/>
      <c r="MN144" s="8"/>
      <c r="MO144" s="7"/>
      <c r="MP144" s="19"/>
      <c r="MQ144" s="19"/>
      <c r="MR144" s="19"/>
      <c r="MS144" s="19"/>
      <c r="MU144" s="8"/>
      <c r="MV144" s="7"/>
      <c r="MW144" s="19"/>
      <c r="MX144" s="19"/>
      <c r="MY144" s="19"/>
      <c r="MZ144" s="19"/>
      <c r="NB144" s="8"/>
      <c r="NC144" s="7"/>
      <c r="ND144" s="19"/>
      <c r="NE144" s="19"/>
      <c r="NF144" s="19"/>
      <c r="NG144" s="19"/>
      <c r="NI144" s="8"/>
      <c r="NJ144" s="7"/>
      <c r="NK144" s="19"/>
      <c r="NL144" s="19"/>
      <c r="NM144" s="19"/>
      <c r="NN144" s="19"/>
      <c r="NP144" s="8"/>
      <c r="NQ144" s="7"/>
      <c r="NR144" s="19"/>
      <c r="NS144" s="19"/>
      <c r="NT144" s="19"/>
      <c r="NU144" s="19"/>
      <c r="NW144" s="8"/>
      <c r="NX144" s="7"/>
      <c r="NY144" s="19"/>
      <c r="NZ144" s="19"/>
      <c r="OA144" s="19"/>
      <c r="OB144" s="19"/>
      <c r="OD144" s="8"/>
      <c r="OE144" s="7"/>
      <c r="OF144" s="19"/>
      <c r="OG144" s="19"/>
      <c r="OH144" s="19"/>
      <c r="OI144" s="19"/>
      <c r="OK144" s="8"/>
      <c r="OL144" s="7"/>
      <c r="OM144" s="19"/>
      <c r="ON144" s="19"/>
      <c r="OO144" s="19"/>
      <c r="OP144" s="19"/>
      <c r="OR144" s="8"/>
      <c r="OS144" s="7"/>
      <c r="OT144" s="19"/>
      <c r="OU144" s="19"/>
      <c r="OV144" s="19"/>
      <c r="OW144" s="19"/>
      <c r="OY144" s="8"/>
      <c r="OZ144" s="7"/>
      <c r="PA144" s="19"/>
      <c r="PB144" s="19"/>
      <c r="PC144" s="19"/>
      <c r="PD144" s="19"/>
      <c r="PF144" s="8"/>
      <c r="PG144" s="7"/>
      <c r="PH144" s="19"/>
      <c r="PI144" s="19"/>
      <c r="PJ144" s="19"/>
      <c r="PK144" s="19"/>
      <c r="PM144" s="8"/>
    </row>
    <row r="145" spans="1:429" s="1" customFormat="1" ht="26" customHeight="1" outlineLevel="1">
      <c r="B145" s="471"/>
      <c r="C145" s="7"/>
      <c r="D145" s="19"/>
      <c r="E145" s="19"/>
      <c r="F145" s="19"/>
      <c r="G145" s="19"/>
      <c r="I145" s="8"/>
      <c r="J145" s="7"/>
      <c r="K145" s="19"/>
      <c r="L145" s="19"/>
      <c r="M145" s="19"/>
      <c r="N145" s="19"/>
      <c r="P145" s="8"/>
      <c r="Q145" s="7"/>
      <c r="R145" s="19"/>
      <c r="S145" s="19"/>
      <c r="T145" s="19"/>
      <c r="U145" s="19"/>
      <c r="W145" s="8"/>
      <c r="X145" s="7"/>
      <c r="Y145" s="19"/>
      <c r="Z145" s="19"/>
      <c r="AA145" s="19"/>
      <c r="AB145" s="19"/>
      <c r="AD145" s="8"/>
      <c r="AE145" s="7"/>
      <c r="AF145" s="19"/>
      <c r="AG145" s="19"/>
      <c r="AH145" s="19"/>
      <c r="AI145" s="19"/>
      <c r="AK145" s="8"/>
      <c r="AL145" s="7"/>
      <c r="AM145" s="19"/>
      <c r="AN145" s="19"/>
      <c r="AO145" s="19"/>
      <c r="AP145" s="19"/>
      <c r="AR145" s="8"/>
      <c r="AS145" s="7"/>
      <c r="AT145" s="19"/>
      <c r="AU145" s="19"/>
      <c r="AV145" s="19"/>
      <c r="AW145" s="19"/>
      <c r="AY145" s="8"/>
      <c r="AZ145" s="7"/>
      <c r="BA145" s="19"/>
      <c r="BB145" s="19"/>
      <c r="BC145" s="19"/>
      <c r="BD145" s="19"/>
      <c r="BF145" s="8"/>
      <c r="BG145" s="7"/>
      <c r="BH145" s="19"/>
      <c r="BI145" s="19"/>
      <c r="BJ145" s="19"/>
      <c r="BK145" s="19"/>
      <c r="BM145" s="8"/>
      <c r="BN145" s="7"/>
      <c r="BO145" s="19"/>
      <c r="BP145" s="19"/>
      <c r="BQ145" s="19"/>
      <c r="BR145" s="19"/>
      <c r="BT145" s="8"/>
      <c r="BU145" s="7"/>
      <c r="BV145" s="19"/>
      <c r="BW145" s="19"/>
      <c r="BX145" s="19"/>
      <c r="BY145" s="19"/>
      <c r="CA145" s="8"/>
      <c r="CB145" s="7"/>
      <c r="CC145" s="19"/>
      <c r="CD145" s="19"/>
      <c r="CE145" s="19"/>
      <c r="CF145" s="19"/>
      <c r="CH145" s="8"/>
      <c r="CI145" s="7"/>
      <c r="CJ145" s="19"/>
      <c r="CK145" s="19"/>
      <c r="CL145" s="19"/>
      <c r="CM145" s="19"/>
      <c r="CO145" s="8"/>
      <c r="CP145" s="7"/>
      <c r="CQ145" s="19"/>
      <c r="CR145" s="19"/>
      <c r="CS145" s="19"/>
      <c r="CT145" s="19"/>
      <c r="CV145" s="8"/>
      <c r="CW145" s="7"/>
      <c r="CX145" s="19"/>
      <c r="CY145" s="19"/>
      <c r="CZ145" s="19"/>
      <c r="DA145" s="19"/>
      <c r="DC145" s="8"/>
      <c r="DD145" s="7"/>
      <c r="DE145" s="19"/>
      <c r="DF145" s="19"/>
      <c r="DG145" s="19"/>
      <c r="DH145" s="19"/>
      <c r="DJ145" s="8"/>
      <c r="DK145" s="7"/>
      <c r="DL145" s="19"/>
      <c r="DM145" s="19"/>
      <c r="DN145" s="19"/>
      <c r="DO145" s="19"/>
      <c r="DQ145" s="8"/>
      <c r="DR145" s="7"/>
      <c r="DS145" s="19"/>
      <c r="DT145" s="19"/>
      <c r="DU145" s="19"/>
      <c r="DV145" s="19"/>
      <c r="DX145" s="8"/>
      <c r="DY145" s="7"/>
      <c r="DZ145" s="19"/>
      <c r="EA145" s="19"/>
      <c r="EB145" s="19"/>
      <c r="EC145" s="19"/>
      <c r="EE145" s="8"/>
      <c r="EF145" s="7"/>
      <c r="EG145" s="19"/>
      <c r="EH145" s="19"/>
      <c r="EI145" s="19"/>
      <c r="EJ145" s="19"/>
      <c r="EL145" s="8"/>
      <c r="EM145" s="7"/>
      <c r="EN145" s="19"/>
      <c r="EO145" s="19"/>
      <c r="EP145" s="19"/>
      <c r="EQ145" s="19"/>
      <c r="ES145" s="8"/>
      <c r="ET145" s="7"/>
      <c r="EU145" s="19"/>
      <c r="EV145" s="19"/>
      <c r="EW145" s="19"/>
      <c r="EX145" s="19"/>
      <c r="EZ145" s="8"/>
      <c r="FA145" s="7"/>
      <c r="FB145" s="19"/>
      <c r="FC145" s="19"/>
      <c r="FD145" s="19"/>
      <c r="FE145" s="19"/>
      <c r="FG145" s="8"/>
      <c r="FH145" s="7"/>
      <c r="FI145" s="19"/>
      <c r="FJ145" s="19"/>
      <c r="FK145" s="19"/>
      <c r="FL145" s="19"/>
      <c r="FN145" s="8"/>
      <c r="FO145" s="7"/>
      <c r="FP145" s="19"/>
      <c r="FQ145" s="19"/>
      <c r="FR145" s="19"/>
      <c r="FS145" s="19"/>
      <c r="FU145" s="8"/>
      <c r="FV145" s="7"/>
      <c r="FW145" s="19"/>
      <c r="FX145" s="19"/>
      <c r="FY145" s="19"/>
      <c r="FZ145" s="19"/>
      <c r="GB145" s="8"/>
      <c r="GC145" s="7"/>
      <c r="GD145" s="19"/>
      <c r="GE145" s="19"/>
      <c r="GF145" s="19"/>
      <c r="GG145" s="19"/>
      <c r="GI145" s="8"/>
      <c r="GJ145" s="7"/>
      <c r="GK145" s="19"/>
      <c r="GL145" s="19"/>
      <c r="GM145" s="19"/>
      <c r="GN145" s="19"/>
      <c r="GP145" s="8"/>
      <c r="GQ145" s="7"/>
      <c r="GR145" s="19"/>
      <c r="GS145" s="19"/>
      <c r="GT145" s="19"/>
      <c r="GU145" s="19"/>
      <c r="GW145" s="8"/>
      <c r="GX145" s="7"/>
      <c r="GY145" s="19"/>
      <c r="GZ145" s="19"/>
      <c r="HA145" s="19"/>
      <c r="HB145" s="19"/>
      <c r="HD145" s="8"/>
      <c r="HE145" s="7"/>
      <c r="HF145" s="19"/>
      <c r="HG145" s="19"/>
      <c r="HH145" s="19"/>
      <c r="HI145" s="19"/>
      <c r="HK145" s="8"/>
      <c r="HL145" s="7"/>
      <c r="HM145" s="19"/>
      <c r="HN145" s="19"/>
      <c r="HO145" s="19"/>
      <c r="HP145" s="19"/>
      <c r="HR145" s="8"/>
      <c r="HS145" s="7"/>
      <c r="HT145" s="19"/>
      <c r="HU145" s="19"/>
      <c r="HV145" s="19"/>
      <c r="HW145" s="19"/>
      <c r="HY145" s="8"/>
      <c r="HZ145" s="7"/>
      <c r="IA145" s="19"/>
      <c r="IB145" s="19"/>
      <c r="IC145" s="19"/>
      <c r="ID145" s="19"/>
      <c r="IF145" s="8"/>
      <c r="IG145" s="7"/>
      <c r="IH145" s="19"/>
      <c r="II145" s="19"/>
      <c r="IJ145" s="19"/>
      <c r="IK145" s="19"/>
      <c r="IM145" s="8"/>
      <c r="IN145" s="7"/>
      <c r="IO145" s="19"/>
      <c r="IP145" s="19"/>
      <c r="IQ145" s="19"/>
      <c r="IR145" s="19"/>
      <c r="IT145" s="8"/>
      <c r="IU145" s="7"/>
      <c r="IV145" s="19"/>
      <c r="IW145" s="19"/>
      <c r="IX145" s="19"/>
      <c r="IY145" s="19"/>
      <c r="JA145" s="8"/>
      <c r="JB145" s="7"/>
      <c r="JC145" s="19"/>
      <c r="JD145" s="19"/>
      <c r="JE145" s="19"/>
      <c r="JF145" s="19"/>
      <c r="JH145" s="8"/>
      <c r="JI145" s="7"/>
      <c r="JJ145" s="19"/>
      <c r="JK145" s="19"/>
      <c r="JL145" s="19"/>
      <c r="JM145" s="19"/>
      <c r="JO145" s="8"/>
      <c r="JP145" s="7"/>
      <c r="JQ145" s="19"/>
      <c r="JR145" s="19"/>
      <c r="JS145" s="19"/>
      <c r="JT145" s="19"/>
      <c r="JV145" s="8"/>
      <c r="JW145" s="7"/>
      <c r="JX145" s="19"/>
      <c r="JY145" s="19"/>
      <c r="JZ145" s="19"/>
      <c r="KA145" s="19"/>
      <c r="KC145" s="8"/>
      <c r="KD145" s="7"/>
      <c r="KE145" s="19"/>
      <c r="KF145" s="19"/>
      <c r="KG145" s="19"/>
      <c r="KH145" s="19"/>
      <c r="KJ145" s="8"/>
      <c r="KK145" s="7"/>
      <c r="KL145" s="19"/>
      <c r="KM145" s="19"/>
      <c r="KN145" s="19"/>
      <c r="KO145" s="19"/>
      <c r="KQ145" s="8"/>
      <c r="KR145" s="7"/>
      <c r="KS145" s="19"/>
      <c r="KT145" s="19"/>
      <c r="KU145" s="19"/>
      <c r="KV145" s="19"/>
      <c r="KX145" s="8"/>
      <c r="KY145" s="7"/>
      <c r="KZ145" s="19"/>
      <c r="LA145" s="19"/>
      <c r="LB145" s="19"/>
      <c r="LC145" s="19"/>
      <c r="LE145" s="8"/>
      <c r="LF145" s="7"/>
      <c r="LG145" s="19"/>
      <c r="LH145" s="19"/>
      <c r="LI145" s="19"/>
      <c r="LJ145" s="19"/>
      <c r="LL145" s="8"/>
      <c r="LM145" s="7"/>
      <c r="LN145" s="19"/>
      <c r="LO145" s="19"/>
      <c r="LP145" s="19"/>
      <c r="LQ145" s="19"/>
      <c r="LS145" s="8"/>
      <c r="LT145" s="7"/>
      <c r="LU145" s="19"/>
      <c r="LV145" s="19"/>
      <c r="LW145" s="19"/>
      <c r="LX145" s="19"/>
      <c r="LZ145" s="8"/>
      <c r="MA145" s="7"/>
      <c r="MB145" s="19"/>
      <c r="MC145" s="19"/>
      <c r="MD145" s="19"/>
      <c r="ME145" s="19"/>
      <c r="MG145" s="8"/>
      <c r="MH145" s="7"/>
      <c r="MI145" s="19"/>
      <c r="MJ145" s="19"/>
      <c r="MK145" s="19"/>
      <c r="ML145" s="19"/>
      <c r="MN145" s="8"/>
      <c r="MO145" s="7"/>
      <c r="MP145" s="19"/>
      <c r="MQ145" s="19"/>
      <c r="MR145" s="19"/>
      <c r="MS145" s="19"/>
      <c r="MU145" s="8"/>
      <c r="MV145" s="7"/>
      <c r="MW145" s="19"/>
      <c r="MX145" s="19"/>
      <c r="MY145" s="19"/>
      <c r="MZ145" s="19"/>
      <c r="NB145" s="8"/>
      <c r="NC145" s="7"/>
      <c r="ND145" s="19"/>
      <c r="NE145" s="19"/>
      <c r="NF145" s="19"/>
      <c r="NG145" s="19"/>
      <c r="NI145" s="8"/>
      <c r="NJ145" s="7"/>
      <c r="NK145" s="19"/>
      <c r="NL145" s="19"/>
      <c r="NM145" s="19"/>
      <c r="NN145" s="19"/>
      <c r="NP145" s="8"/>
      <c r="NQ145" s="7"/>
      <c r="NR145" s="19"/>
      <c r="NS145" s="19"/>
      <c r="NT145" s="19"/>
      <c r="NU145" s="19"/>
      <c r="NW145" s="8"/>
      <c r="NX145" s="7"/>
      <c r="NY145" s="19"/>
      <c r="NZ145" s="19"/>
      <c r="OA145" s="19"/>
      <c r="OB145" s="19"/>
      <c r="OD145" s="8"/>
      <c r="OE145" s="7"/>
      <c r="OF145" s="19"/>
      <c r="OG145" s="19"/>
      <c r="OH145" s="19"/>
      <c r="OI145" s="19"/>
      <c r="OK145" s="8"/>
      <c r="OL145" s="7"/>
      <c r="OM145" s="19"/>
      <c r="ON145" s="19"/>
      <c r="OO145" s="19"/>
      <c r="OP145" s="19"/>
      <c r="OR145" s="8"/>
      <c r="OS145" s="7"/>
      <c r="OT145" s="19"/>
      <c r="OU145" s="19"/>
      <c r="OV145" s="19"/>
      <c r="OW145" s="19"/>
      <c r="OY145" s="8"/>
      <c r="OZ145" s="7"/>
      <c r="PA145" s="19"/>
      <c r="PB145" s="19"/>
      <c r="PC145" s="19"/>
      <c r="PD145" s="19"/>
      <c r="PF145" s="8"/>
      <c r="PG145" s="7"/>
      <c r="PH145" s="19"/>
      <c r="PI145" s="19"/>
      <c r="PJ145" s="19"/>
      <c r="PK145" s="19"/>
      <c r="PM145" s="8"/>
    </row>
    <row r="146" spans="1:429" s="1" customFormat="1" ht="26" customHeight="1" outlineLevel="1">
      <c r="B146" s="471"/>
      <c r="C146" s="7"/>
      <c r="D146" s="19"/>
      <c r="E146" s="19"/>
      <c r="F146" s="19"/>
      <c r="G146" s="19"/>
      <c r="I146" s="8"/>
      <c r="J146" s="7"/>
      <c r="K146" s="19"/>
      <c r="L146" s="19"/>
      <c r="M146" s="19"/>
      <c r="N146" s="19"/>
      <c r="P146" s="8"/>
      <c r="Q146" s="7"/>
      <c r="R146" s="19"/>
      <c r="S146" s="19"/>
      <c r="T146" s="19"/>
      <c r="U146" s="19"/>
      <c r="W146" s="8"/>
      <c r="X146" s="7"/>
      <c r="Y146" s="19"/>
      <c r="Z146" s="19"/>
      <c r="AA146" s="19"/>
      <c r="AB146" s="19"/>
      <c r="AD146" s="8"/>
      <c r="AE146" s="7"/>
      <c r="AF146" s="19"/>
      <c r="AG146" s="19"/>
      <c r="AH146" s="19"/>
      <c r="AI146" s="19"/>
      <c r="AK146" s="8"/>
      <c r="AL146" s="7"/>
      <c r="AM146" s="19"/>
      <c r="AN146" s="19"/>
      <c r="AO146" s="19"/>
      <c r="AP146" s="19"/>
      <c r="AR146" s="8"/>
      <c r="AS146" s="7"/>
      <c r="AT146" s="19"/>
      <c r="AU146" s="19"/>
      <c r="AV146" s="19"/>
      <c r="AW146" s="19"/>
      <c r="AY146" s="8"/>
      <c r="AZ146" s="7"/>
      <c r="BA146" s="19"/>
      <c r="BB146" s="19"/>
      <c r="BC146" s="19"/>
      <c r="BD146" s="19"/>
      <c r="BF146" s="8"/>
      <c r="BG146" s="7"/>
      <c r="BH146" s="19"/>
      <c r="BI146" s="19"/>
      <c r="BJ146" s="19"/>
      <c r="BK146" s="19"/>
      <c r="BM146" s="8"/>
      <c r="BN146" s="7"/>
      <c r="BO146" s="19"/>
      <c r="BP146" s="19"/>
      <c r="BQ146" s="19"/>
      <c r="BR146" s="19"/>
      <c r="BT146" s="8"/>
      <c r="BU146" s="7"/>
      <c r="BV146" s="19"/>
      <c r="BW146" s="19"/>
      <c r="BX146" s="19"/>
      <c r="BY146" s="19"/>
      <c r="CA146" s="8"/>
      <c r="CB146" s="7"/>
      <c r="CC146" s="19"/>
      <c r="CD146" s="19"/>
      <c r="CE146" s="19"/>
      <c r="CF146" s="19"/>
      <c r="CH146" s="8"/>
      <c r="CI146" s="7"/>
      <c r="CJ146" s="19"/>
      <c r="CK146" s="19"/>
      <c r="CL146" s="19"/>
      <c r="CM146" s="19"/>
      <c r="CO146" s="8"/>
      <c r="CP146" s="7"/>
      <c r="CQ146" s="19"/>
      <c r="CR146" s="19"/>
      <c r="CS146" s="19"/>
      <c r="CT146" s="19"/>
      <c r="CV146" s="8"/>
      <c r="CW146" s="7"/>
      <c r="CX146" s="19"/>
      <c r="CY146" s="19"/>
      <c r="CZ146" s="19"/>
      <c r="DA146" s="19"/>
      <c r="DC146" s="8"/>
      <c r="DD146" s="7"/>
      <c r="DE146" s="19"/>
      <c r="DF146" s="19"/>
      <c r="DG146" s="19"/>
      <c r="DH146" s="19"/>
      <c r="DJ146" s="8"/>
      <c r="DK146" s="7"/>
      <c r="DL146" s="19"/>
      <c r="DM146" s="19"/>
      <c r="DN146" s="19"/>
      <c r="DO146" s="19"/>
      <c r="DQ146" s="8"/>
      <c r="DR146" s="7"/>
      <c r="DS146" s="19"/>
      <c r="DT146" s="19"/>
      <c r="DU146" s="19"/>
      <c r="DV146" s="19"/>
      <c r="DX146" s="8"/>
      <c r="DY146" s="7"/>
      <c r="DZ146" s="19"/>
      <c r="EA146" s="19"/>
      <c r="EB146" s="19"/>
      <c r="EC146" s="19"/>
      <c r="EE146" s="8"/>
      <c r="EF146" s="7"/>
      <c r="EG146" s="19"/>
      <c r="EH146" s="19"/>
      <c r="EI146" s="19"/>
      <c r="EJ146" s="19"/>
      <c r="EL146" s="8"/>
      <c r="EM146" s="7"/>
      <c r="EN146" s="19"/>
      <c r="EO146" s="19"/>
      <c r="EP146" s="19"/>
      <c r="EQ146" s="19"/>
      <c r="ES146" s="8"/>
      <c r="ET146" s="7"/>
      <c r="EU146" s="19"/>
      <c r="EV146" s="19"/>
      <c r="EW146" s="19"/>
      <c r="EX146" s="19"/>
      <c r="EZ146" s="8"/>
      <c r="FA146" s="7"/>
      <c r="FB146" s="19"/>
      <c r="FC146" s="19"/>
      <c r="FD146" s="19"/>
      <c r="FE146" s="19"/>
      <c r="FG146" s="8"/>
      <c r="FH146" s="7"/>
      <c r="FI146" s="19"/>
      <c r="FJ146" s="19"/>
      <c r="FK146" s="19"/>
      <c r="FL146" s="19"/>
      <c r="FN146" s="8"/>
      <c r="FO146" s="7"/>
      <c r="FP146" s="19"/>
      <c r="FQ146" s="19"/>
      <c r="FR146" s="19"/>
      <c r="FS146" s="19"/>
      <c r="FU146" s="8"/>
      <c r="FV146" s="7"/>
      <c r="FW146" s="19"/>
      <c r="FX146" s="19"/>
      <c r="FY146" s="19"/>
      <c r="FZ146" s="19"/>
      <c r="GB146" s="8"/>
      <c r="GC146" s="7"/>
      <c r="GD146" s="19"/>
      <c r="GE146" s="19"/>
      <c r="GF146" s="19"/>
      <c r="GG146" s="19"/>
      <c r="GI146" s="8"/>
      <c r="GJ146" s="7"/>
      <c r="GK146" s="19"/>
      <c r="GL146" s="19"/>
      <c r="GM146" s="19"/>
      <c r="GN146" s="19"/>
      <c r="GP146" s="8"/>
      <c r="GQ146" s="7"/>
      <c r="GR146" s="19"/>
      <c r="GS146" s="19"/>
      <c r="GT146" s="19"/>
      <c r="GU146" s="19"/>
      <c r="GW146" s="8"/>
      <c r="GX146" s="7"/>
      <c r="GY146" s="19"/>
      <c r="GZ146" s="19"/>
      <c r="HA146" s="19"/>
      <c r="HB146" s="19"/>
      <c r="HD146" s="8"/>
      <c r="HE146" s="7"/>
      <c r="HF146" s="19"/>
      <c r="HG146" s="19"/>
      <c r="HH146" s="19"/>
      <c r="HI146" s="19"/>
      <c r="HK146" s="8"/>
      <c r="HL146" s="7"/>
      <c r="HM146" s="19"/>
      <c r="HN146" s="19"/>
      <c r="HO146" s="19"/>
      <c r="HP146" s="19"/>
      <c r="HR146" s="8"/>
      <c r="HS146" s="7"/>
      <c r="HT146" s="19"/>
      <c r="HU146" s="19"/>
      <c r="HV146" s="19"/>
      <c r="HW146" s="19"/>
      <c r="HY146" s="8"/>
      <c r="HZ146" s="7"/>
      <c r="IA146" s="19"/>
      <c r="IB146" s="19"/>
      <c r="IC146" s="19"/>
      <c r="ID146" s="19"/>
      <c r="IF146" s="8"/>
      <c r="IG146" s="7"/>
      <c r="IH146" s="19"/>
      <c r="II146" s="19"/>
      <c r="IJ146" s="19"/>
      <c r="IK146" s="19"/>
      <c r="IM146" s="8"/>
      <c r="IN146" s="7"/>
      <c r="IO146" s="19"/>
      <c r="IP146" s="19"/>
      <c r="IQ146" s="19"/>
      <c r="IR146" s="19"/>
      <c r="IT146" s="8"/>
      <c r="IU146" s="7"/>
      <c r="IV146" s="19"/>
      <c r="IW146" s="19"/>
      <c r="IX146" s="19"/>
      <c r="IY146" s="19"/>
      <c r="JA146" s="8"/>
      <c r="JB146" s="7"/>
      <c r="JC146" s="19"/>
      <c r="JD146" s="19"/>
      <c r="JE146" s="19"/>
      <c r="JF146" s="19"/>
      <c r="JH146" s="8"/>
      <c r="JI146" s="7"/>
      <c r="JJ146" s="19"/>
      <c r="JK146" s="19"/>
      <c r="JL146" s="19"/>
      <c r="JM146" s="19"/>
      <c r="JO146" s="8"/>
      <c r="JP146" s="7"/>
      <c r="JQ146" s="19"/>
      <c r="JR146" s="19"/>
      <c r="JS146" s="19"/>
      <c r="JT146" s="19"/>
      <c r="JV146" s="8"/>
      <c r="JW146" s="7"/>
      <c r="JX146" s="19"/>
      <c r="JY146" s="19"/>
      <c r="JZ146" s="19"/>
      <c r="KA146" s="19"/>
      <c r="KC146" s="8"/>
      <c r="KD146" s="7"/>
      <c r="KE146" s="19"/>
      <c r="KF146" s="19"/>
      <c r="KG146" s="19"/>
      <c r="KH146" s="19"/>
      <c r="KJ146" s="8"/>
      <c r="KK146" s="7"/>
      <c r="KL146" s="19"/>
      <c r="KM146" s="19"/>
      <c r="KN146" s="19"/>
      <c r="KO146" s="19"/>
      <c r="KQ146" s="8"/>
      <c r="KR146" s="7"/>
      <c r="KS146" s="19"/>
      <c r="KT146" s="19"/>
      <c r="KU146" s="19"/>
      <c r="KV146" s="19"/>
      <c r="KX146" s="8"/>
      <c r="KY146" s="7"/>
      <c r="KZ146" s="19"/>
      <c r="LA146" s="19"/>
      <c r="LB146" s="19"/>
      <c r="LC146" s="19"/>
      <c r="LE146" s="8"/>
      <c r="LF146" s="7"/>
      <c r="LG146" s="19"/>
      <c r="LH146" s="19"/>
      <c r="LI146" s="19"/>
      <c r="LJ146" s="19"/>
      <c r="LL146" s="8"/>
      <c r="LM146" s="7"/>
      <c r="LN146" s="19"/>
      <c r="LO146" s="19"/>
      <c r="LP146" s="19"/>
      <c r="LQ146" s="19"/>
      <c r="LS146" s="8"/>
      <c r="LT146" s="7"/>
      <c r="LU146" s="19"/>
      <c r="LV146" s="19"/>
      <c r="LW146" s="19"/>
      <c r="LX146" s="19"/>
      <c r="LZ146" s="8"/>
      <c r="MA146" s="7"/>
      <c r="MB146" s="19"/>
      <c r="MC146" s="19"/>
      <c r="MD146" s="19"/>
      <c r="ME146" s="19"/>
      <c r="MG146" s="8"/>
      <c r="MH146" s="7"/>
      <c r="MI146" s="19"/>
      <c r="MJ146" s="19"/>
      <c r="MK146" s="19"/>
      <c r="ML146" s="19"/>
      <c r="MN146" s="8"/>
      <c r="MO146" s="7"/>
      <c r="MP146" s="19"/>
      <c r="MQ146" s="19"/>
      <c r="MR146" s="19"/>
      <c r="MS146" s="19"/>
      <c r="MU146" s="8"/>
      <c r="MV146" s="7"/>
      <c r="MW146" s="19"/>
      <c r="MX146" s="19"/>
      <c r="MY146" s="19"/>
      <c r="MZ146" s="19"/>
      <c r="NB146" s="8"/>
      <c r="NC146" s="7"/>
      <c r="ND146" s="19"/>
      <c r="NE146" s="19"/>
      <c r="NF146" s="19"/>
      <c r="NG146" s="19"/>
      <c r="NI146" s="8"/>
      <c r="NJ146" s="7"/>
      <c r="NK146" s="19"/>
      <c r="NL146" s="19"/>
      <c r="NM146" s="19"/>
      <c r="NN146" s="19"/>
      <c r="NP146" s="8"/>
      <c r="NQ146" s="7"/>
      <c r="NR146" s="19"/>
      <c r="NS146" s="19"/>
      <c r="NT146" s="19"/>
      <c r="NU146" s="19"/>
      <c r="NW146" s="8"/>
      <c r="NX146" s="7"/>
      <c r="NY146" s="19"/>
      <c r="NZ146" s="19"/>
      <c r="OA146" s="19"/>
      <c r="OB146" s="19"/>
      <c r="OD146" s="8"/>
      <c r="OE146" s="7"/>
      <c r="OF146" s="19"/>
      <c r="OG146" s="19"/>
      <c r="OH146" s="19"/>
      <c r="OI146" s="19"/>
      <c r="OK146" s="8"/>
      <c r="OL146" s="7"/>
      <c r="OM146" s="19"/>
      <c r="ON146" s="19"/>
      <c r="OO146" s="19"/>
      <c r="OP146" s="19"/>
      <c r="OR146" s="8"/>
      <c r="OS146" s="7"/>
      <c r="OT146" s="19"/>
      <c r="OU146" s="19"/>
      <c r="OV146" s="19"/>
      <c r="OW146" s="19"/>
      <c r="OY146" s="8"/>
      <c r="OZ146" s="7"/>
      <c r="PA146" s="19"/>
      <c r="PB146" s="19"/>
      <c r="PC146" s="19"/>
      <c r="PD146" s="19"/>
      <c r="PF146" s="8"/>
      <c r="PG146" s="7"/>
      <c r="PH146" s="19"/>
      <c r="PI146" s="19"/>
      <c r="PJ146" s="19"/>
      <c r="PK146" s="19"/>
      <c r="PM146" s="8"/>
    </row>
    <row r="147" spans="1:429" s="1" customFormat="1" ht="26" customHeight="1" outlineLevel="1">
      <c r="B147" s="471"/>
      <c r="C147" s="7"/>
      <c r="D147" s="19"/>
      <c r="E147" s="19"/>
      <c r="F147" s="19"/>
      <c r="G147" s="19"/>
      <c r="I147" s="8"/>
      <c r="J147" s="7"/>
      <c r="K147" s="19"/>
      <c r="L147" s="19"/>
      <c r="M147" s="19"/>
      <c r="N147" s="19"/>
      <c r="P147" s="8"/>
      <c r="Q147" s="7"/>
      <c r="R147" s="19"/>
      <c r="S147" s="19"/>
      <c r="T147" s="19"/>
      <c r="U147" s="19"/>
      <c r="W147" s="8"/>
      <c r="X147" s="7"/>
      <c r="Y147" s="19"/>
      <c r="Z147" s="19"/>
      <c r="AA147" s="19"/>
      <c r="AB147" s="19"/>
      <c r="AD147" s="8"/>
      <c r="AE147" s="7"/>
      <c r="AF147" s="19"/>
      <c r="AG147" s="19"/>
      <c r="AH147" s="19"/>
      <c r="AI147" s="19"/>
      <c r="AK147" s="8"/>
      <c r="AL147" s="7"/>
      <c r="AM147" s="19"/>
      <c r="AN147" s="19"/>
      <c r="AO147" s="19"/>
      <c r="AP147" s="19"/>
      <c r="AR147" s="8"/>
      <c r="AS147" s="7"/>
      <c r="AT147" s="19"/>
      <c r="AU147" s="19"/>
      <c r="AV147" s="19"/>
      <c r="AW147" s="19"/>
      <c r="AY147" s="8"/>
      <c r="AZ147" s="7"/>
      <c r="BA147" s="19"/>
      <c r="BB147" s="19"/>
      <c r="BC147" s="19"/>
      <c r="BD147" s="19"/>
      <c r="BF147" s="8"/>
      <c r="BG147" s="7"/>
      <c r="BH147" s="19"/>
      <c r="BI147" s="19"/>
      <c r="BJ147" s="19"/>
      <c r="BK147" s="19"/>
      <c r="BM147" s="8"/>
      <c r="BN147" s="7"/>
      <c r="BO147" s="19"/>
      <c r="BP147" s="19"/>
      <c r="BQ147" s="19"/>
      <c r="BR147" s="19"/>
      <c r="BT147" s="8"/>
      <c r="BU147" s="7"/>
      <c r="BV147" s="19"/>
      <c r="BW147" s="19"/>
      <c r="BX147" s="19"/>
      <c r="BY147" s="19"/>
      <c r="CA147" s="8"/>
      <c r="CB147" s="7"/>
      <c r="CC147" s="19"/>
      <c r="CD147" s="19"/>
      <c r="CE147" s="19"/>
      <c r="CF147" s="19"/>
      <c r="CH147" s="8"/>
      <c r="CI147" s="7"/>
      <c r="CJ147" s="19"/>
      <c r="CK147" s="19"/>
      <c r="CL147" s="19"/>
      <c r="CM147" s="19"/>
      <c r="CO147" s="8"/>
      <c r="CP147" s="7"/>
      <c r="CQ147" s="19"/>
      <c r="CR147" s="19"/>
      <c r="CS147" s="19"/>
      <c r="CT147" s="19"/>
      <c r="CV147" s="8"/>
      <c r="CW147" s="7"/>
      <c r="CX147" s="19"/>
      <c r="CY147" s="19"/>
      <c r="CZ147" s="19"/>
      <c r="DA147" s="19"/>
      <c r="DC147" s="8"/>
      <c r="DD147" s="7"/>
      <c r="DE147" s="19"/>
      <c r="DF147" s="19"/>
      <c r="DG147" s="19"/>
      <c r="DH147" s="19"/>
      <c r="DJ147" s="8"/>
      <c r="DK147" s="7"/>
      <c r="DL147" s="19"/>
      <c r="DM147" s="19"/>
      <c r="DN147" s="19"/>
      <c r="DO147" s="19"/>
      <c r="DQ147" s="8"/>
      <c r="DR147" s="7"/>
      <c r="DS147" s="19"/>
      <c r="DT147" s="19"/>
      <c r="DU147" s="19"/>
      <c r="DV147" s="19"/>
      <c r="DX147" s="8"/>
      <c r="DY147" s="7"/>
      <c r="DZ147" s="19"/>
      <c r="EA147" s="19"/>
      <c r="EB147" s="19"/>
      <c r="EC147" s="19"/>
      <c r="EE147" s="8"/>
      <c r="EF147" s="7"/>
      <c r="EG147" s="19"/>
      <c r="EH147" s="19"/>
      <c r="EI147" s="19"/>
      <c r="EJ147" s="19"/>
      <c r="EL147" s="8"/>
      <c r="EM147" s="7"/>
      <c r="EN147" s="19"/>
      <c r="EO147" s="19"/>
      <c r="EP147" s="19"/>
      <c r="EQ147" s="19"/>
      <c r="ES147" s="8"/>
      <c r="ET147" s="7"/>
      <c r="EU147" s="19"/>
      <c r="EV147" s="19"/>
      <c r="EW147" s="19"/>
      <c r="EX147" s="19"/>
      <c r="EZ147" s="8"/>
      <c r="FA147" s="7"/>
      <c r="FB147" s="19"/>
      <c r="FC147" s="19"/>
      <c r="FD147" s="19"/>
      <c r="FE147" s="19"/>
      <c r="FG147" s="8"/>
      <c r="FH147" s="7"/>
      <c r="FI147" s="19"/>
      <c r="FJ147" s="19"/>
      <c r="FK147" s="19"/>
      <c r="FL147" s="19"/>
      <c r="FN147" s="8"/>
      <c r="FO147" s="7"/>
      <c r="FP147" s="19"/>
      <c r="FQ147" s="19"/>
      <c r="FR147" s="19"/>
      <c r="FS147" s="19"/>
      <c r="FU147" s="8"/>
      <c r="FV147" s="7"/>
      <c r="FW147" s="19"/>
      <c r="FX147" s="19"/>
      <c r="FY147" s="19"/>
      <c r="FZ147" s="19"/>
      <c r="GB147" s="8"/>
      <c r="GC147" s="7"/>
      <c r="GD147" s="19"/>
      <c r="GE147" s="19"/>
      <c r="GF147" s="19"/>
      <c r="GG147" s="19"/>
      <c r="GI147" s="8"/>
      <c r="GJ147" s="7"/>
      <c r="GK147" s="19"/>
      <c r="GL147" s="19"/>
      <c r="GM147" s="19"/>
      <c r="GN147" s="19"/>
      <c r="GP147" s="8"/>
      <c r="GQ147" s="7"/>
      <c r="GR147" s="19"/>
      <c r="GS147" s="19"/>
      <c r="GT147" s="19"/>
      <c r="GU147" s="19"/>
      <c r="GW147" s="8"/>
      <c r="GX147" s="7"/>
      <c r="GY147" s="19"/>
      <c r="GZ147" s="19"/>
      <c r="HA147" s="19"/>
      <c r="HB147" s="19"/>
      <c r="HD147" s="8"/>
      <c r="HE147" s="7"/>
      <c r="HF147" s="19"/>
      <c r="HG147" s="19"/>
      <c r="HH147" s="19"/>
      <c r="HI147" s="19"/>
      <c r="HK147" s="8"/>
      <c r="HL147" s="7"/>
      <c r="HM147" s="19"/>
      <c r="HN147" s="19"/>
      <c r="HO147" s="19"/>
      <c r="HP147" s="19"/>
      <c r="HR147" s="8"/>
      <c r="HS147" s="7"/>
      <c r="HT147" s="19"/>
      <c r="HU147" s="19"/>
      <c r="HV147" s="19"/>
      <c r="HW147" s="19"/>
      <c r="HY147" s="8"/>
      <c r="HZ147" s="7"/>
      <c r="IA147" s="19"/>
      <c r="IB147" s="19"/>
      <c r="IC147" s="19"/>
      <c r="ID147" s="19"/>
      <c r="IF147" s="8"/>
      <c r="IG147" s="7"/>
      <c r="IH147" s="19"/>
      <c r="II147" s="19"/>
      <c r="IJ147" s="19"/>
      <c r="IK147" s="19"/>
      <c r="IM147" s="8"/>
      <c r="IN147" s="7"/>
      <c r="IO147" s="19"/>
      <c r="IP147" s="19"/>
      <c r="IQ147" s="19"/>
      <c r="IR147" s="19"/>
      <c r="IT147" s="8"/>
      <c r="IU147" s="7"/>
      <c r="IV147" s="19"/>
      <c r="IW147" s="19"/>
      <c r="IX147" s="19"/>
      <c r="IY147" s="19"/>
      <c r="JA147" s="8"/>
      <c r="JB147" s="7"/>
      <c r="JC147" s="19"/>
      <c r="JD147" s="19"/>
      <c r="JE147" s="19"/>
      <c r="JF147" s="19"/>
      <c r="JH147" s="8"/>
      <c r="JI147" s="7"/>
      <c r="JJ147" s="19"/>
      <c r="JK147" s="19"/>
      <c r="JL147" s="19"/>
      <c r="JM147" s="19"/>
      <c r="JO147" s="8"/>
      <c r="JP147" s="7"/>
      <c r="JQ147" s="19"/>
      <c r="JR147" s="19"/>
      <c r="JS147" s="19"/>
      <c r="JT147" s="19"/>
      <c r="JV147" s="8"/>
      <c r="JW147" s="7"/>
      <c r="JX147" s="19"/>
      <c r="JY147" s="19"/>
      <c r="JZ147" s="19"/>
      <c r="KA147" s="19"/>
      <c r="KC147" s="8"/>
      <c r="KD147" s="7"/>
      <c r="KE147" s="19"/>
      <c r="KF147" s="19"/>
      <c r="KG147" s="19"/>
      <c r="KH147" s="19"/>
      <c r="KJ147" s="8"/>
      <c r="KK147" s="7"/>
      <c r="KL147" s="19"/>
      <c r="KM147" s="19"/>
      <c r="KN147" s="19"/>
      <c r="KO147" s="19"/>
      <c r="KQ147" s="8"/>
      <c r="KR147" s="7"/>
      <c r="KS147" s="19"/>
      <c r="KT147" s="19"/>
      <c r="KU147" s="19"/>
      <c r="KV147" s="19"/>
      <c r="KX147" s="8"/>
      <c r="KY147" s="7"/>
      <c r="KZ147" s="19"/>
      <c r="LA147" s="19"/>
      <c r="LB147" s="19"/>
      <c r="LC147" s="19"/>
      <c r="LE147" s="8"/>
      <c r="LF147" s="7"/>
      <c r="LG147" s="19"/>
      <c r="LH147" s="19"/>
      <c r="LI147" s="19"/>
      <c r="LJ147" s="19"/>
      <c r="LL147" s="8"/>
      <c r="LM147" s="7"/>
      <c r="LN147" s="19"/>
      <c r="LO147" s="19"/>
      <c r="LP147" s="19"/>
      <c r="LQ147" s="19"/>
      <c r="LS147" s="8"/>
      <c r="LT147" s="7"/>
      <c r="LU147" s="19"/>
      <c r="LV147" s="19"/>
      <c r="LW147" s="19"/>
      <c r="LX147" s="19"/>
      <c r="LZ147" s="8"/>
      <c r="MA147" s="7"/>
      <c r="MB147" s="19"/>
      <c r="MC147" s="19"/>
      <c r="MD147" s="19"/>
      <c r="ME147" s="19"/>
      <c r="MG147" s="8"/>
      <c r="MH147" s="7"/>
      <c r="MI147" s="19"/>
      <c r="MJ147" s="19"/>
      <c r="MK147" s="19"/>
      <c r="ML147" s="19"/>
      <c r="MN147" s="8"/>
      <c r="MO147" s="7"/>
      <c r="MP147" s="19"/>
      <c r="MQ147" s="19"/>
      <c r="MR147" s="19"/>
      <c r="MS147" s="19"/>
      <c r="MU147" s="8"/>
      <c r="MV147" s="7"/>
      <c r="MW147" s="19"/>
      <c r="MX147" s="19"/>
      <c r="MY147" s="19"/>
      <c r="MZ147" s="19"/>
      <c r="NB147" s="8"/>
      <c r="NC147" s="7"/>
      <c r="ND147" s="19"/>
      <c r="NE147" s="19"/>
      <c r="NF147" s="19"/>
      <c r="NG147" s="19"/>
      <c r="NI147" s="8"/>
      <c r="NJ147" s="7"/>
      <c r="NK147" s="19"/>
      <c r="NL147" s="19"/>
      <c r="NM147" s="19"/>
      <c r="NN147" s="19"/>
      <c r="NP147" s="8"/>
      <c r="NQ147" s="7"/>
      <c r="NR147" s="19"/>
      <c r="NS147" s="19"/>
      <c r="NT147" s="19"/>
      <c r="NU147" s="19"/>
      <c r="NW147" s="8"/>
      <c r="NX147" s="7"/>
      <c r="NY147" s="19"/>
      <c r="NZ147" s="19"/>
      <c r="OA147" s="19"/>
      <c r="OB147" s="19"/>
      <c r="OD147" s="8"/>
      <c r="OE147" s="7"/>
      <c r="OF147" s="19"/>
      <c r="OG147" s="19"/>
      <c r="OH147" s="19"/>
      <c r="OI147" s="19"/>
      <c r="OK147" s="8"/>
      <c r="OL147" s="7"/>
      <c r="OM147" s="19"/>
      <c r="ON147" s="19"/>
      <c r="OO147" s="19"/>
      <c r="OP147" s="19"/>
      <c r="OR147" s="8"/>
      <c r="OS147" s="7"/>
      <c r="OT147" s="19"/>
      <c r="OU147" s="19"/>
      <c r="OV147" s="19"/>
      <c r="OW147" s="19"/>
      <c r="OY147" s="8"/>
      <c r="OZ147" s="7"/>
      <c r="PA147" s="19"/>
      <c r="PB147" s="19"/>
      <c r="PC147" s="19"/>
      <c r="PD147" s="19"/>
      <c r="PF147" s="8"/>
      <c r="PG147" s="7"/>
      <c r="PH147" s="19"/>
      <c r="PI147" s="19"/>
      <c r="PJ147" s="19"/>
      <c r="PK147" s="19"/>
      <c r="PM147" s="8"/>
    </row>
    <row r="148" spans="1:429" s="1" customFormat="1" ht="26" customHeight="1" outlineLevel="1">
      <c r="B148" s="471"/>
      <c r="C148" s="7"/>
      <c r="D148" s="19"/>
      <c r="E148" s="19"/>
      <c r="F148" s="19"/>
      <c r="G148" s="19"/>
      <c r="I148" s="8"/>
      <c r="J148" s="7"/>
      <c r="K148" s="19"/>
      <c r="L148" s="19"/>
      <c r="M148" s="19"/>
      <c r="N148" s="19"/>
      <c r="P148" s="8"/>
      <c r="Q148" s="7"/>
      <c r="R148" s="19"/>
      <c r="S148" s="19"/>
      <c r="T148" s="19"/>
      <c r="U148" s="19"/>
      <c r="W148" s="8"/>
      <c r="X148" s="7"/>
      <c r="Y148" s="19"/>
      <c r="Z148" s="19"/>
      <c r="AA148" s="19"/>
      <c r="AB148" s="19"/>
      <c r="AD148" s="8"/>
      <c r="AE148" s="7"/>
      <c r="AF148" s="19"/>
      <c r="AG148" s="19"/>
      <c r="AH148" s="19"/>
      <c r="AI148" s="19"/>
      <c r="AK148" s="8"/>
      <c r="AL148" s="7"/>
      <c r="AM148" s="19"/>
      <c r="AN148" s="19"/>
      <c r="AO148" s="19"/>
      <c r="AP148" s="19"/>
      <c r="AR148" s="8"/>
      <c r="AS148" s="7"/>
      <c r="AT148" s="19"/>
      <c r="AU148" s="19"/>
      <c r="AV148" s="19"/>
      <c r="AW148" s="19"/>
      <c r="AY148" s="8"/>
      <c r="AZ148" s="7"/>
      <c r="BA148" s="19"/>
      <c r="BB148" s="19"/>
      <c r="BC148" s="19"/>
      <c r="BD148" s="19"/>
      <c r="BF148" s="8"/>
      <c r="BG148" s="7"/>
      <c r="BH148" s="19"/>
      <c r="BI148" s="19"/>
      <c r="BJ148" s="19"/>
      <c r="BK148" s="19"/>
      <c r="BM148" s="8"/>
      <c r="BN148" s="7"/>
      <c r="BO148" s="19"/>
      <c r="BP148" s="19"/>
      <c r="BQ148" s="19"/>
      <c r="BR148" s="19"/>
      <c r="BT148" s="8"/>
      <c r="BU148" s="7"/>
      <c r="BV148" s="19"/>
      <c r="BW148" s="19"/>
      <c r="BX148" s="19"/>
      <c r="BY148" s="19"/>
      <c r="CA148" s="8"/>
      <c r="CB148" s="7"/>
      <c r="CC148" s="19"/>
      <c r="CD148" s="19"/>
      <c r="CE148" s="19"/>
      <c r="CF148" s="19"/>
      <c r="CH148" s="8"/>
      <c r="CI148" s="7"/>
      <c r="CJ148" s="19"/>
      <c r="CK148" s="19"/>
      <c r="CL148" s="19"/>
      <c r="CM148" s="19"/>
      <c r="CO148" s="8"/>
      <c r="CP148" s="7"/>
      <c r="CQ148" s="19"/>
      <c r="CR148" s="19"/>
      <c r="CS148" s="19"/>
      <c r="CT148" s="19"/>
      <c r="CV148" s="8"/>
      <c r="CW148" s="7"/>
      <c r="CX148" s="19"/>
      <c r="CY148" s="19"/>
      <c r="CZ148" s="19"/>
      <c r="DA148" s="19"/>
      <c r="DC148" s="8"/>
      <c r="DD148" s="7"/>
      <c r="DE148" s="19"/>
      <c r="DF148" s="19"/>
      <c r="DG148" s="19"/>
      <c r="DH148" s="19"/>
      <c r="DJ148" s="8"/>
      <c r="DK148" s="7"/>
      <c r="DL148" s="19"/>
      <c r="DM148" s="19"/>
      <c r="DN148" s="19"/>
      <c r="DO148" s="19"/>
      <c r="DQ148" s="8"/>
      <c r="DR148" s="7"/>
      <c r="DS148" s="19"/>
      <c r="DT148" s="19"/>
      <c r="DU148" s="19"/>
      <c r="DV148" s="19"/>
      <c r="DX148" s="8"/>
      <c r="DY148" s="7"/>
      <c r="DZ148" s="19"/>
      <c r="EA148" s="19"/>
      <c r="EB148" s="19"/>
      <c r="EC148" s="19"/>
      <c r="EE148" s="8"/>
      <c r="EF148" s="7"/>
      <c r="EG148" s="19"/>
      <c r="EH148" s="19"/>
      <c r="EI148" s="19"/>
      <c r="EJ148" s="19"/>
      <c r="EL148" s="8"/>
      <c r="EM148" s="7"/>
      <c r="EN148" s="19"/>
      <c r="EO148" s="19"/>
      <c r="EP148" s="19"/>
      <c r="EQ148" s="19"/>
      <c r="ES148" s="8"/>
      <c r="ET148" s="7"/>
      <c r="EU148" s="19"/>
      <c r="EV148" s="19"/>
      <c r="EW148" s="19"/>
      <c r="EX148" s="19"/>
      <c r="EZ148" s="8"/>
      <c r="FA148" s="7"/>
      <c r="FB148" s="19"/>
      <c r="FC148" s="19"/>
      <c r="FD148" s="19"/>
      <c r="FE148" s="19"/>
      <c r="FG148" s="8"/>
      <c r="FH148" s="7"/>
      <c r="FI148" s="19"/>
      <c r="FJ148" s="19"/>
      <c r="FK148" s="19"/>
      <c r="FL148" s="19"/>
      <c r="FN148" s="8"/>
      <c r="FO148" s="7"/>
      <c r="FP148" s="19"/>
      <c r="FQ148" s="19"/>
      <c r="FR148" s="19"/>
      <c r="FS148" s="19"/>
      <c r="FU148" s="8"/>
      <c r="FV148" s="7"/>
      <c r="FW148" s="19"/>
      <c r="FX148" s="19"/>
      <c r="FY148" s="19"/>
      <c r="FZ148" s="19"/>
      <c r="GB148" s="8"/>
      <c r="GC148" s="7"/>
      <c r="GD148" s="19"/>
      <c r="GE148" s="19"/>
      <c r="GF148" s="19"/>
      <c r="GG148" s="19"/>
      <c r="GI148" s="8"/>
      <c r="GJ148" s="7"/>
      <c r="GK148" s="19"/>
      <c r="GL148" s="19"/>
      <c r="GM148" s="19"/>
      <c r="GN148" s="19"/>
      <c r="GP148" s="8"/>
      <c r="GQ148" s="7"/>
      <c r="GR148" s="19"/>
      <c r="GS148" s="19"/>
      <c r="GT148" s="19"/>
      <c r="GU148" s="19"/>
      <c r="GW148" s="8"/>
      <c r="GX148" s="7"/>
      <c r="GY148" s="19"/>
      <c r="GZ148" s="19"/>
      <c r="HA148" s="19"/>
      <c r="HB148" s="19"/>
      <c r="HD148" s="8"/>
      <c r="HE148" s="7"/>
      <c r="HF148" s="19"/>
      <c r="HG148" s="19"/>
      <c r="HH148" s="19"/>
      <c r="HI148" s="19"/>
      <c r="HK148" s="8"/>
      <c r="HL148" s="7"/>
      <c r="HM148" s="19"/>
      <c r="HN148" s="19"/>
      <c r="HO148" s="19"/>
      <c r="HP148" s="19"/>
      <c r="HR148" s="8"/>
      <c r="HS148" s="7"/>
      <c r="HT148" s="19"/>
      <c r="HU148" s="19"/>
      <c r="HV148" s="19"/>
      <c r="HW148" s="19"/>
      <c r="HY148" s="8"/>
      <c r="HZ148" s="7"/>
      <c r="IA148" s="19"/>
      <c r="IB148" s="19"/>
      <c r="IC148" s="19"/>
      <c r="ID148" s="19"/>
      <c r="IF148" s="8"/>
      <c r="IG148" s="7"/>
      <c r="IH148" s="19"/>
      <c r="II148" s="19"/>
      <c r="IJ148" s="19"/>
      <c r="IK148" s="19"/>
      <c r="IM148" s="8"/>
      <c r="IN148" s="7"/>
      <c r="IO148" s="19"/>
      <c r="IP148" s="19"/>
      <c r="IQ148" s="19"/>
      <c r="IR148" s="19"/>
      <c r="IT148" s="8"/>
      <c r="IU148" s="7"/>
      <c r="IV148" s="19"/>
      <c r="IW148" s="19"/>
      <c r="IX148" s="19"/>
      <c r="IY148" s="19"/>
      <c r="JA148" s="8"/>
      <c r="JB148" s="7"/>
      <c r="JC148" s="19"/>
      <c r="JD148" s="19"/>
      <c r="JE148" s="19"/>
      <c r="JF148" s="19"/>
      <c r="JH148" s="8"/>
      <c r="JI148" s="7"/>
      <c r="JJ148" s="19"/>
      <c r="JK148" s="19"/>
      <c r="JL148" s="19"/>
      <c r="JM148" s="19"/>
      <c r="JO148" s="8"/>
      <c r="JP148" s="7"/>
      <c r="JQ148" s="19"/>
      <c r="JR148" s="19"/>
      <c r="JS148" s="19"/>
      <c r="JT148" s="19"/>
      <c r="JV148" s="8"/>
      <c r="JW148" s="7"/>
      <c r="JX148" s="19"/>
      <c r="JY148" s="19"/>
      <c r="JZ148" s="19"/>
      <c r="KA148" s="19"/>
      <c r="KC148" s="8"/>
      <c r="KD148" s="7"/>
      <c r="KE148" s="19"/>
      <c r="KF148" s="19"/>
      <c r="KG148" s="19"/>
      <c r="KH148" s="19"/>
      <c r="KJ148" s="8"/>
      <c r="KK148" s="7"/>
      <c r="KL148" s="19"/>
      <c r="KM148" s="19"/>
      <c r="KN148" s="19"/>
      <c r="KO148" s="19"/>
      <c r="KQ148" s="8"/>
      <c r="KR148" s="7"/>
      <c r="KS148" s="19"/>
      <c r="KT148" s="19"/>
      <c r="KU148" s="19"/>
      <c r="KV148" s="19"/>
      <c r="KX148" s="8"/>
      <c r="KY148" s="7"/>
      <c r="KZ148" s="19"/>
      <c r="LA148" s="19"/>
      <c r="LB148" s="19"/>
      <c r="LC148" s="19"/>
      <c r="LE148" s="8"/>
      <c r="LF148" s="7"/>
      <c r="LG148" s="19"/>
      <c r="LH148" s="19"/>
      <c r="LI148" s="19"/>
      <c r="LJ148" s="19"/>
      <c r="LL148" s="8"/>
      <c r="LM148" s="7"/>
      <c r="LN148" s="19"/>
      <c r="LO148" s="19"/>
      <c r="LP148" s="19"/>
      <c r="LQ148" s="19"/>
      <c r="LS148" s="8"/>
      <c r="LT148" s="7"/>
      <c r="LU148" s="19"/>
      <c r="LV148" s="19"/>
      <c r="LW148" s="19"/>
      <c r="LX148" s="19"/>
      <c r="LZ148" s="8"/>
      <c r="MA148" s="7"/>
      <c r="MB148" s="19"/>
      <c r="MC148" s="19"/>
      <c r="MD148" s="19"/>
      <c r="ME148" s="19"/>
      <c r="MG148" s="8"/>
      <c r="MH148" s="7"/>
      <c r="MI148" s="19"/>
      <c r="MJ148" s="19"/>
      <c r="MK148" s="19"/>
      <c r="ML148" s="19"/>
      <c r="MN148" s="8"/>
      <c r="MO148" s="7"/>
      <c r="MP148" s="19"/>
      <c r="MQ148" s="19"/>
      <c r="MR148" s="19"/>
      <c r="MS148" s="19"/>
      <c r="MU148" s="8"/>
      <c r="MV148" s="7"/>
      <c r="MW148" s="19"/>
      <c r="MX148" s="19"/>
      <c r="MY148" s="19"/>
      <c r="MZ148" s="19"/>
      <c r="NB148" s="8"/>
      <c r="NC148" s="7"/>
      <c r="ND148" s="19"/>
      <c r="NE148" s="19"/>
      <c r="NF148" s="19"/>
      <c r="NG148" s="19"/>
      <c r="NI148" s="8"/>
      <c r="NJ148" s="7"/>
      <c r="NK148" s="19"/>
      <c r="NL148" s="19"/>
      <c r="NM148" s="19"/>
      <c r="NN148" s="19"/>
      <c r="NP148" s="8"/>
      <c r="NQ148" s="7"/>
      <c r="NR148" s="19"/>
      <c r="NS148" s="19"/>
      <c r="NT148" s="19"/>
      <c r="NU148" s="19"/>
      <c r="NW148" s="8"/>
      <c r="NX148" s="7"/>
      <c r="NY148" s="19"/>
      <c r="NZ148" s="19"/>
      <c r="OA148" s="19"/>
      <c r="OB148" s="19"/>
      <c r="OD148" s="8"/>
      <c r="OE148" s="7"/>
      <c r="OF148" s="19"/>
      <c r="OG148" s="19"/>
      <c r="OH148" s="19"/>
      <c r="OI148" s="19"/>
      <c r="OK148" s="8"/>
      <c r="OL148" s="7"/>
      <c r="OM148" s="19"/>
      <c r="ON148" s="19"/>
      <c r="OO148" s="19"/>
      <c r="OP148" s="19"/>
      <c r="OR148" s="8"/>
      <c r="OS148" s="7"/>
      <c r="OT148" s="19"/>
      <c r="OU148" s="19"/>
      <c r="OV148" s="19"/>
      <c r="OW148" s="19"/>
      <c r="OY148" s="8"/>
      <c r="OZ148" s="7"/>
      <c r="PA148" s="19"/>
      <c r="PB148" s="19"/>
      <c r="PC148" s="19"/>
      <c r="PD148" s="19"/>
      <c r="PF148" s="8"/>
      <c r="PG148" s="7"/>
      <c r="PH148" s="19"/>
      <c r="PI148" s="19"/>
      <c r="PJ148" s="19"/>
      <c r="PK148" s="19"/>
      <c r="PM148" s="8"/>
    </row>
    <row r="149" spans="1:429" s="1" customFormat="1" ht="26" customHeight="1" outlineLevel="1">
      <c r="B149" s="471"/>
      <c r="C149" s="7"/>
      <c r="D149" s="19"/>
      <c r="E149" s="19"/>
      <c r="F149" s="19"/>
      <c r="G149" s="19"/>
      <c r="I149" s="8"/>
      <c r="J149" s="7"/>
      <c r="K149" s="19"/>
      <c r="L149" s="19"/>
      <c r="M149" s="19"/>
      <c r="N149" s="19"/>
      <c r="P149" s="8"/>
      <c r="Q149" s="7"/>
      <c r="R149" s="19"/>
      <c r="S149" s="19"/>
      <c r="T149" s="19"/>
      <c r="U149" s="19"/>
      <c r="W149" s="8"/>
      <c r="X149" s="7"/>
      <c r="Y149" s="19"/>
      <c r="Z149" s="19"/>
      <c r="AA149" s="19"/>
      <c r="AB149" s="19"/>
      <c r="AD149" s="8"/>
      <c r="AE149" s="7"/>
      <c r="AF149" s="19"/>
      <c r="AG149" s="19"/>
      <c r="AH149" s="19"/>
      <c r="AI149" s="19"/>
      <c r="AK149" s="8"/>
      <c r="AL149" s="7"/>
      <c r="AM149" s="19"/>
      <c r="AN149" s="19"/>
      <c r="AO149" s="19"/>
      <c r="AP149" s="19"/>
      <c r="AR149" s="8"/>
      <c r="AS149" s="7"/>
      <c r="AT149" s="19"/>
      <c r="AU149" s="19"/>
      <c r="AV149" s="19"/>
      <c r="AW149" s="19"/>
      <c r="AY149" s="8"/>
      <c r="AZ149" s="7"/>
      <c r="BA149" s="19"/>
      <c r="BB149" s="19"/>
      <c r="BC149" s="19"/>
      <c r="BD149" s="19"/>
      <c r="BF149" s="8"/>
      <c r="BG149" s="7"/>
      <c r="BH149" s="19"/>
      <c r="BI149" s="19"/>
      <c r="BJ149" s="19"/>
      <c r="BK149" s="19"/>
      <c r="BM149" s="8"/>
      <c r="BN149" s="7"/>
      <c r="BO149" s="19"/>
      <c r="BP149" s="19"/>
      <c r="BQ149" s="19"/>
      <c r="BR149" s="19"/>
      <c r="BT149" s="8"/>
      <c r="BU149" s="7"/>
      <c r="BV149" s="19"/>
      <c r="BW149" s="19"/>
      <c r="BX149" s="19"/>
      <c r="BY149" s="19"/>
      <c r="CA149" s="8"/>
      <c r="CB149" s="7"/>
      <c r="CC149" s="19"/>
      <c r="CD149" s="19"/>
      <c r="CE149" s="19"/>
      <c r="CF149" s="19"/>
      <c r="CH149" s="8"/>
      <c r="CI149" s="7"/>
      <c r="CJ149" s="19"/>
      <c r="CK149" s="19"/>
      <c r="CL149" s="19"/>
      <c r="CM149" s="19"/>
      <c r="CO149" s="8"/>
      <c r="CP149" s="7"/>
      <c r="CQ149" s="19"/>
      <c r="CR149" s="19"/>
      <c r="CS149" s="19"/>
      <c r="CT149" s="19"/>
      <c r="CV149" s="8"/>
      <c r="CW149" s="7"/>
      <c r="CX149" s="19"/>
      <c r="CY149" s="19"/>
      <c r="CZ149" s="19"/>
      <c r="DA149" s="19"/>
      <c r="DC149" s="8"/>
      <c r="DD149" s="7"/>
      <c r="DE149" s="19"/>
      <c r="DF149" s="19"/>
      <c r="DG149" s="19"/>
      <c r="DH149" s="19"/>
      <c r="DJ149" s="8"/>
      <c r="DK149" s="7"/>
      <c r="DL149" s="19"/>
      <c r="DM149" s="19"/>
      <c r="DN149" s="19"/>
      <c r="DO149" s="19"/>
      <c r="DQ149" s="8"/>
      <c r="DR149" s="7"/>
      <c r="DS149" s="19"/>
      <c r="DT149" s="19"/>
      <c r="DU149" s="19"/>
      <c r="DV149" s="19"/>
      <c r="DX149" s="8"/>
      <c r="DY149" s="7"/>
      <c r="DZ149" s="19"/>
      <c r="EA149" s="19"/>
      <c r="EB149" s="19"/>
      <c r="EC149" s="19"/>
      <c r="EE149" s="8"/>
      <c r="EF149" s="7"/>
      <c r="EG149" s="19"/>
      <c r="EH149" s="19"/>
      <c r="EI149" s="19"/>
      <c r="EJ149" s="19"/>
      <c r="EL149" s="8"/>
      <c r="EM149" s="7"/>
      <c r="EN149" s="19"/>
      <c r="EO149" s="19"/>
      <c r="EP149" s="19"/>
      <c r="EQ149" s="19"/>
      <c r="ES149" s="8"/>
      <c r="ET149" s="7"/>
      <c r="EU149" s="19"/>
      <c r="EV149" s="19"/>
      <c r="EW149" s="19"/>
      <c r="EX149" s="19"/>
      <c r="EZ149" s="8"/>
      <c r="FA149" s="7"/>
      <c r="FB149" s="19"/>
      <c r="FC149" s="19"/>
      <c r="FD149" s="19"/>
      <c r="FE149" s="19"/>
      <c r="FG149" s="8"/>
      <c r="FH149" s="7"/>
      <c r="FI149" s="19"/>
      <c r="FJ149" s="19"/>
      <c r="FK149" s="19"/>
      <c r="FL149" s="19"/>
      <c r="FN149" s="8"/>
      <c r="FO149" s="7"/>
      <c r="FP149" s="19"/>
      <c r="FQ149" s="19"/>
      <c r="FR149" s="19"/>
      <c r="FS149" s="19"/>
      <c r="FU149" s="8"/>
      <c r="FV149" s="7"/>
      <c r="FW149" s="19"/>
      <c r="FX149" s="19"/>
      <c r="FY149" s="19"/>
      <c r="FZ149" s="19"/>
      <c r="GB149" s="8"/>
      <c r="GC149" s="7"/>
      <c r="GD149" s="19"/>
      <c r="GE149" s="19"/>
      <c r="GF149" s="19"/>
      <c r="GG149" s="19"/>
      <c r="GI149" s="8"/>
      <c r="GJ149" s="7"/>
      <c r="GK149" s="19"/>
      <c r="GL149" s="19"/>
      <c r="GM149" s="19"/>
      <c r="GN149" s="19"/>
      <c r="GP149" s="8"/>
      <c r="GQ149" s="7"/>
      <c r="GR149" s="19"/>
      <c r="GS149" s="19"/>
      <c r="GT149" s="19"/>
      <c r="GU149" s="19"/>
      <c r="GW149" s="8"/>
      <c r="GX149" s="7"/>
      <c r="GY149" s="19"/>
      <c r="GZ149" s="19"/>
      <c r="HA149" s="19"/>
      <c r="HB149" s="19"/>
      <c r="HD149" s="8"/>
      <c r="HE149" s="7"/>
      <c r="HF149" s="19"/>
      <c r="HG149" s="19"/>
      <c r="HH149" s="19"/>
      <c r="HI149" s="19"/>
      <c r="HK149" s="8"/>
      <c r="HL149" s="7"/>
      <c r="HM149" s="19"/>
      <c r="HN149" s="19"/>
      <c r="HO149" s="19"/>
      <c r="HP149" s="19"/>
      <c r="HR149" s="8"/>
      <c r="HS149" s="7"/>
      <c r="HT149" s="19"/>
      <c r="HU149" s="19"/>
      <c r="HV149" s="19"/>
      <c r="HW149" s="19"/>
      <c r="HY149" s="8"/>
      <c r="HZ149" s="7"/>
      <c r="IA149" s="19"/>
      <c r="IB149" s="19"/>
      <c r="IC149" s="19"/>
      <c r="ID149" s="19"/>
      <c r="IF149" s="8"/>
      <c r="IG149" s="7"/>
      <c r="IH149" s="19"/>
      <c r="II149" s="19"/>
      <c r="IJ149" s="19"/>
      <c r="IK149" s="19"/>
      <c r="IM149" s="8"/>
      <c r="IN149" s="7"/>
      <c r="IO149" s="19"/>
      <c r="IP149" s="19"/>
      <c r="IQ149" s="19"/>
      <c r="IR149" s="19"/>
      <c r="IT149" s="8"/>
      <c r="IU149" s="7"/>
      <c r="IV149" s="19"/>
      <c r="IW149" s="19"/>
      <c r="IX149" s="19"/>
      <c r="IY149" s="19"/>
      <c r="JA149" s="8"/>
      <c r="JB149" s="7"/>
      <c r="JC149" s="19"/>
      <c r="JD149" s="19"/>
      <c r="JE149" s="19"/>
      <c r="JF149" s="19"/>
      <c r="JH149" s="8"/>
      <c r="JI149" s="7"/>
      <c r="JJ149" s="19"/>
      <c r="JK149" s="19"/>
      <c r="JL149" s="19"/>
      <c r="JM149" s="19"/>
      <c r="JO149" s="8"/>
      <c r="JP149" s="7"/>
      <c r="JQ149" s="19"/>
      <c r="JR149" s="19"/>
      <c r="JS149" s="19"/>
      <c r="JT149" s="19"/>
      <c r="JV149" s="8"/>
      <c r="JW149" s="7"/>
      <c r="JX149" s="19"/>
      <c r="JY149" s="19"/>
      <c r="JZ149" s="19"/>
      <c r="KA149" s="19"/>
      <c r="KC149" s="8"/>
      <c r="KD149" s="7"/>
      <c r="KE149" s="19"/>
      <c r="KF149" s="19"/>
      <c r="KG149" s="19"/>
      <c r="KH149" s="19"/>
      <c r="KJ149" s="8"/>
      <c r="KK149" s="7"/>
      <c r="KL149" s="19"/>
      <c r="KM149" s="19"/>
      <c r="KN149" s="19"/>
      <c r="KO149" s="19"/>
      <c r="KQ149" s="8"/>
      <c r="KR149" s="7"/>
      <c r="KS149" s="19"/>
      <c r="KT149" s="19"/>
      <c r="KU149" s="19"/>
      <c r="KV149" s="19"/>
      <c r="KX149" s="8"/>
      <c r="KY149" s="7"/>
      <c r="KZ149" s="19"/>
      <c r="LA149" s="19"/>
      <c r="LB149" s="19"/>
      <c r="LC149" s="19"/>
      <c r="LE149" s="8"/>
      <c r="LF149" s="7"/>
      <c r="LG149" s="19"/>
      <c r="LH149" s="19"/>
      <c r="LI149" s="19"/>
      <c r="LJ149" s="19"/>
      <c r="LL149" s="8"/>
      <c r="LM149" s="7"/>
      <c r="LN149" s="19"/>
      <c r="LO149" s="19"/>
      <c r="LP149" s="19"/>
      <c r="LQ149" s="19"/>
      <c r="LS149" s="8"/>
      <c r="LT149" s="7"/>
      <c r="LU149" s="19"/>
      <c r="LV149" s="19"/>
      <c r="LW149" s="19"/>
      <c r="LX149" s="19"/>
      <c r="LZ149" s="8"/>
      <c r="MA149" s="7"/>
      <c r="MB149" s="19"/>
      <c r="MC149" s="19"/>
      <c r="MD149" s="19"/>
      <c r="ME149" s="19"/>
      <c r="MG149" s="8"/>
      <c r="MH149" s="7"/>
      <c r="MI149" s="19"/>
      <c r="MJ149" s="19"/>
      <c r="MK149" s="19"/>
      <c r="ML149" s="19"/>
      <c r="MN149" s="8"/>
      <c r="MO149" s="7"/>
      <c r="MP149" s="19"/>
      <c r="MQ149" s="19"/>
      <c r="MR149" s="19"/>
      <c r="MS149" s="19"/>
      <c r="MU149" s="8"/>
      <c r="MV149" s="7"/>
      <c r="MW149" s="19"/>
      <c r="MX149" s="19"/>
      <c r="MY149" s="19"/>
      <c r="MZ149" s="19"/>
      <c r="NB149" s="8"/>
      <c r="NC149" s="7"/>
      <c r="ND149" s="19"/>
      <c r="NE149" s="19"/>
      <c r="NF149" s="19"/>
      <c r="NG149" s="19"/>
      <c r="NI149" s="8"/>
      <c r="NJ149" s="7"/>
      <c r="NK149" s="19"/>
      <c r="NL149" s="19"/>
      <c r="NM149" s="19"/>
      <c r="NN149" s="19"/>
      <c r="NP149" s="8"/>
      <c r="NQ149" s="7"/>
      <c r="NR149" s="19"/>
      <c r="NS149" s="19"/>
      <c r="NT149" s="19"/>
      <c r="NU149" s="19"/>
      <c r="NW149" s="8"/>
      <c r="NX149" s="7"/>
      <c r="NY149" s="19"/>
      <c r="NZ149" s="19"/>
      <c r="OA149" s="19"/>
      <c r="OB149" s="19"/>
      <c r="OD149" s="8"/>
      <c r="OE149" s="7"/>
      <c r="OF149" s="19"/>
      <c r="OG149" s="19"/>
      <c r="OH149" s="19"/>
      <c r="OI149" s="19"/>
      <c r="OK149" s="8"/>
      <c r="OL149" s="7"/>
      <c r="OM149" s="19"/>
      <c r="ON149" s="19"/>
      <c r="OO149" s="19"/>
      <c r="OP149" s="19"/>
      <c r="OR149" s="8"/>
      <c r="OS149" s="7"/>
      <c r="OT149" s="19"/>
      <c r="OU149" s="19"/>
      <c r="OV149" s="19"/>
      <c r="OW149" s="19"/>
      <c r="OY149" s="8"/>
      <c r="OZ149" s="7"/>
      <c r="PA149" s="19"/>
      <c r="PB149" s="19"/>
      <c r="PC149" s="19"/>
      <c r="PD149" s="19"/>
      <c r="PF149" s="8"/>
      <c r="PG149" s="7"/>
      <c r="PH149" s="19"/>
      <c r="PI149" s="19"/>
      <c r="PJ149" s="19"/>
      <c r="PK149" s="19"/>
      <c r="PM149" s="8"/>
    </row>
    <row r="150" spans="1:429" s="1" customFormat="1" ht="26" customHeight="1" outlineLevel="1">
      <c r="B150" s="471"/>
      <c r="C150" s="7"/>
      <c r="D150" s="19"/>
      <c r="E150" s="19"/>
      <c r="F150" s="19"/>
      <c r="G150" s="19"/>
      <c r="I150" s="8"/>
      <c r="J150" s="7"/>
      <c r="K150" s="19"/>
      <c r="L150" s="19"/>
      <c r="M150" s="19"/>
      <c r="N150" s="19"/>
      <c r="P150" s="8"/>
      <c r="Q150" s="7"/>
      <c r="R150" s="19"/>
      <c r="S150" s="19"/>
      <c r="T150" s="19"/>
      <c r="U150" s="19"/>
      <c r="W150" s="8"/>
      <c r="X150" s="7"/>
      <c r="Y150" s="19"/>
      <c r="Z150" s="19"/>
      <c r="AA150" s="19"/>
      <c r="AB150" s="19"/>
      <c r="AD150" s="8"/>
      <c r="AE150" s="7"/>
      <c r="AF150" s="19"/>
      <c r="AG150" s="19"/>
      <c r="AH150" s="19"/>
      <c r="AI150" s="19"/>
      <c r="AK150" s="8"/>
      <c r="AL150" s="7"/>
      <c r="AM150" s="19"/>
      <c r="AN150" s="19"/>
      <c r="AO150" s="19"/>
      <c r="AP150" s="19"/>
      <c r="AR150" s="8"/>
      <c r="AS150" s="7"/>
      <c r="AT150" s="19"/>
      <c r="AU150" s="19"/>
      <c r="AV150" s="19"/>
      <c r="AW150" s="19"/>
      <c r="AY150" s="8"/>
      <c r="AZ150" s="7"/>
      <c r="BA150" s="19"/>
      <c r="BB150" s="19"/>
      <c r="BC150" s="19"/>
      <c r="BD150" s="19"/>
      <c r="BF150" s="8"/>
      <c r="BG150" s="7"/>
      <c r="BH150" s="19"/>
      <c r="BI150" s="19"/>
      <c r="BJ150" s="19"/>
      <c r="BK150" s="19"/>
      <c r="BM150" s="8"/>
      <c r="BN150" s="7"/>
      <c r="BO150" s="19"/>
      <c r="BP150" s="19"/>
      <c r="BQ150" s="19"/>
      <c r="BR150" s="19"/>
      <c r="BT150" s="8"/>
      <c r="BU150" s="7"/>
      <c r="BV150" s="19"/>
      <c r="BW150" s="19"/>
      <c r="BX150" s="19"/>
      <c r="BY150" s="19"/>
      <c r="CA150" s="8"/>
      <c r="CB150" s="7"/>
      <c r="CC150" s="19"/>
      <c r="CD150" s="19"/>
      <c r="CE150" s="19"/>
      <c r="CF150" s="19"/>
      <c r="CH150" s="8"/>
      <c r="CI150" s="7"/>
      <c r="CJ150" s="19"/>
      <c r="CK150" s="19"/>
      <c r="CL150" s="19"/>
      <c r="CM150" s="19"/>
      <c r="CO150" s="8"/>
      <c r="CP150" s="7"/>
      <c r="CQ150" s="19"/>
      <c r="CR150" s="19"/>
      <c r="CS150" s="19"/>
      <c r="CT150" s="19"/>
      <c r="CV150" s="8"/>
      <c r="CW150" s="7"/>
      <c r="CX150" s="19"/>
      <c r="CY150" s="19"/>
      <c r="CZ150" s="19"/>
      <c r="DA150" s="19"/>
      <c r="DC150" s="8"/>
      <c r="DD150" s="7"/>
      <c r="DE150" s="19"/>
      <c r="DF150" s="19"/>
      <c r="DG150" s="19"/>
      <c r="DH150" s="19"/>
      <c r="DJ150" s="8"/>
      <c r="DK150" s="7"/>
      <c r="DL150" s="19"/>
      <c r="DM150" s="19"/>
      <c r="DN150" s="19"/>
      <c r="DO150" s="19"/>
      <c r="DQ150" s="8"/>
      <c r="DR150" s="7"/>
      <c r="DS150" s="19"/>
      <c r="DT150" s="19"/>
      <c r="DU150" s="19"/>
      <c r="DV150" s="19"/>
      <c r="DX150" s="8"/>
      <c r="DY150" s="7"/>
      <c r="DZ150" s="19"/>
      <c r="EA150" s="19"/>
      <c r="EB150" s="19"/>
      <c r="EC150" s="19"/>
      <c r="EE150" s="8"/>
      <c r="EF150" s="7"/>
      <c r="EG150" s="19"/>
      <c r="EH150" s="19"/>
      <c r="EI150" s="19"/>
      <c r="EJ150" s="19"/>
      <c r="EL150" s="8"/>
      <c r="EM150" s="7"/>
      <c r="EN150" s="19"/>
      <c r="EO150" s="19"/>
      <c r="EP150" s="19"/>
      <c r="EQ150" s="19"/>
      <c r="ES150" s="8"/>
      <c r="ET150" s="7"/>
      <c r="EU150" s="19"/>
      <c r="EV150" s="19"/>
      <c r="EW150" s="19"/>
      <c r="EX150" s="19"/>
      <c r="EZ150" s="8"/>
      <c r="FA150" s="7"/>
      <c r="FB150" s="19"/>
      <c r="FC150" s="19"/>
      <c r="FD150" s="19"/>
      <c r="FE150" s="19"/>
      <c r="FG150" s="8"/>
      <c r="FH150" s="7"/>
      <c r="FI150" s="19"/>
      <c r="FJ150" s="19"/>
      <c r="FK150" s="19"/>
      <c r="FL150" s="19"/>
      <c r="FN150" s="8"/>
      <c r="FO150" s="7"/>
      <c r="FP150" s="19"/>
      <c r="FQ150" s="19"/>
      <c r="FR150" s="19"/>
      <c r="FS150" s="19"/>
      <c r="FU150" s="8"/>
      <c r="FV150" s="7"/>
      <c r="FW150" s="19"/>
      <c r="FX150" s="19"/>
      <c r="FY150" s="19"/>
      <c r="FZ150" s="19"/>
      <c r="GB150" s="8"/>
      <c r="GC150" s="7"/>
      <c r="GD150" s="19"/>
      <c r="GE150" s="19"/>
      <c r="GF150" s="19"/>
      <c r="GG150" s="19"/>
      <c r="GI150" s="8"/>
      <c r="GJ150" s="7"/>
      <c r="GK150" s="19"/>
      <c r="GL150" s="19"/>
      <c r="GM150" s="19"/>
      <c r="GN150" s="19"/>
      <c r="GP150" s="8"/>
      <c r="GQ150" s="7"/>
      <c r="GR150" s="19"/>
      <c r="GS150" s="19"/>
      <c r="GT150" s="19"/>
      <c r="GU150" s="19"/>
      <c r="GW150" s="8"/>
      <c r="GX150" s="7"/>
      <c r="GY150" s="19"/>
      <c r="GZ150" s="19"/>
      <c r="HA150" s="19"/>
      <c r="HB150" s="19"/>
      <c r="HD150" s="8"/>
      <c r="HE150" s="7"/>
      <c r="HF150" s="19"/>
      <c r="HG150" s="19"/>
      <c r="HH150" s="19"/>
      <c r="HI150" s="19"/>
      <c r="HK150" s="8"/>
      <c r="HL150" s="7"/>
      <c r="HM150" s="19"/>
      <c r="HN150" s="19"/>
      <c r="HO150" s="19"/>
      <c r="HP150" s="19"/>
      <c r="HR150" s="8"/>
      <c r="HS150" s="7"/>
      <c r="HT150" s="19"/>
      <c r="HU150" s="19"/>
      <c r="HV150" s="19"/>
      <c r="HW150" s="19"/>
      <c r="HY150" s="8"/>
      <c r="HZ150" s="7"/>
      <c r="IA150" s="19"/>
      <c r="IB150" s="19"/>
      <c r="IC150" s="19"/>
      <c r="ID150" s="19"/>
      <c r="IF150" s="8"/>
      <c r="IG150" s="7"/>
      <c r="IH150" s="19"/>
      <c r="II150" s="19"/>
      <c r="IJ150" s="19"/>
      <c r="IK150" s="19"/>
      <c r="IM150" s="8"/>
      <c r="IN150" s="7"/>
      <c r="IO150" s="19"/>
      <c r="IP150" s="19"/>
      <c r="IQ150" s="19"/>
      <c r="IR150" s="19"/>
      <c r="IT150" s="8"/>
      <c r="IU150" s="7"/>
      <c r="IV150" s="19"/>
      <c r="IW150" s="19"/>
      <c r="IX150" s="19"/>
      <c r="IY150" s="19"/>
      <c r="JA150" s="8"/>
      <c r="JB150" s="7"/>
      <c r="JC150" s="19"/>
      <c r="JD150" s="19"/>
      <c r="JE150" s="19"/>
      <c r="JF150" s="19"/>
      <c r="JH150" s="8"/>
      <c r="JI150" s="7"/>
      <c r="JJ150" s="19"/>
      <c r="JK150" s="19"/>
      <c r="JL150" s="19"/>
      <c r="JM150" s="19"/>
      <c r="JO150" s="8"/>
      <c r="JP150" s="7"/>
      <c r="JQ150" s="19"/>
      <c r="JR150" s="19"/>
      <c r="JS150" s="19"/>
      <c r="JT150" s="19"/>
      <c r="JV150" s="8"/>
      <c r="JW150" s="7"/>
      <c r="JX150" s="19"/>
      <c r="JY150" s="19"/>
      <c r="JZ150" s="19"/>
      <c r="KA150" s="19"/>
      <c r="KC150" s="8"/>
      <c r="KD150" s="7"/>
      <c r="KE150" s="19"/>
      <c r="KF150" s="19"/>
      <c r="KG150" s="19"/>
      <c r="KH150" s="19"/>
      <c r="KJ150" s="8"/>
      <c r="KK150" s="7"/>
      <c r="KL150" s="19"/>
      <c r="KM150" s="19"/>
      <c r="KN150" s="19"/>
      <c r="KO150" s="19"/>
      <c r="KQ150" s="8"/>
      <c r="KR150" s="7"/>
      <c r="KS150" s="19"/>
      <c r="KT150" s="19"/>
      <c r="KU150" s="19"/>
      <c r="KV150" s="19"/>
      <c r="KX150" s="8"/>
      <c r="KY150" s="7"/>
      <c r="KZ150" s="19"/>
      <c r="LA150" s="19"/>
      <c r="LB150" s="19"/>
      <c r="LC150" s="19"/>
      <c r="LE150" s="8"/>
      <c r="LF150" s="7"/>
      <c r="LG150" s="19"/>
      <c r="LH150" s="19"/>
      <c r="LI150" s="19"/>
      <c r="LJ150" s="19"/>
      <c r="LL150" s="8"/>
      <c r="LM150" s="7"/>
      <c r="LN150" s="19"/>
      <c r="LO150" s="19"/>
      <c r="LP150" s="19"/>
      <c r="LQ150" s="19"/>
      <c r="LS150" s="8"/>
      <c r="LT150" s="7"/>
      <c r="LU150" s="19"/>
      <c r="LV150" s="19"/>
      <c r="LW150" s="19"/>
      <c r="LX150" s="19"/>
      <c r="LZ150" s="8"/>
      <c r="MA150" s="7"/>
      <c r="MB150" s="19"/>
      <c r="MC150" s="19"/>
      <c r="MD150" s="19"/>
      <c r="ME150" s="19"/>
      <c r="MG150" s="8"/>
      <c r="MH150" s="7"/>
      <c r="MI150" s="19"/>
      <c r="MJ150" s="19"/>
      <c r="MK150" s="19"/>
      <c r="ML150" s="19"/>
      <c r="MN150" s="8"/>
      <c r="MO150" s="7"/>
      <c r="MP150" s="19"/>
      <c r="MQ150" s="19"/>
      <c r="MR150" s="19"/>
      <c r="MS150" s="19"/>
      <c r="MU150" s="8"/>
      <c r="MV150" s="7"/>
      <c r="MW150" s="19"/>
      <c r="MX150" s="19"/>
      <c r="MY150" s="19"/>
      <c r="MZ150" s="19"/>
      <c r="NB150" s="8"/>
      <c r="NC150" s="7"/>
      <c r="ND150" s="19"/>
      <c r="NE150" s="19"/>
      <c r="NF150" s="19"/>
      <c r="NG150" s="19"/>
      <c r="NI150" s="8"/>
      <c r="NJ150" s="7"/>
      <c r="NK150" s="19"/>
      <c r="NL150" s="19"/>
      <c r="NM150" s="19"/>
      <c r="NN150" s="19"/>
      <c r="NP150" s="8"/>
      <c r="NQ150" s="7"/>
      <c r="NR150" s="19"/>
      <c r="NS150" s="19"/>
      <c r="NT150" s="19"/>
      <c r="NU150" s="19"/>
      <c r="NW150" s="8"/>
      <c r="NX150" s="7"/>
      <c r="NY150" s="19"/>
      <c r="NZ150" s="19"/>
      <c r="OA150" s="19"/>
      <c r="OB150" s="19"/>
      <c r="OD150" s="8"/>
      <c r="OE150" s="7"/>
      <c r="OF150" s="19"/>
      <c r="OG150" s="19"/>
      <c r="OH150" s="19"/>
      <c r="OI150" s="19"/>
      <c r="OK150" s="8"/>
      <c r="OL150" s="7"/>
      <c r="OM150" s="19"/>
      <c r="ON150" s="19"/>
      <c r="OO150" s="19"/>
      <c r="OP150" s="19"/>
      <c r="OR150" s="8"/>
      <c r="OS150" s="7"/>
      <c r="OT150" s="19"/>
      <c r="OU150" s="19"/>
      <c r="OV150" s="19"/>
      <c r="OW150" s="19"/>
      <c r="OY150" s="8"/>
      <c r="OZ150" s="7"/>
      <c r="PA150" s="19"/>
      <c r="PB150" s="19"/>
      <c r="PC150" s="19"/>
      <c r="PD150" s="19"/>
      <c r="PF150" s="8"/>
      <c r="PG150" s="7"/>
      <c r="PH150" s="19"/>
      <c r="PI150" s="19"/>
      <c r="PJ150" s="19"/>
      <c r="PK150" s="19"/>
      <c r="PM150" s="8"/>
    </row>
    <row r="151" spans="1:429" s="1" customFormat="1" ht="26" customHeight="1" outlineLevel="1">
      <c r="B151" s="471"/>
      <c r="C151" s="7"/>
      <c r="D151" s="19"/>
      <c r="E151" s="19"/>
      <c r="F151" s="19"/>
      <c r="G151" s="19"/>
      <c r="I151" s="8"/>
      <c r="J151" s="7"/>
      <c r="K151" s="19"/>
      <c r="L151" s="19"/>
      <c r="M151" s="19"/>
      <c r="N151" s="19"/>
      <c r="P151" s="8"/>
      <c r="Q151" s="7"/>
      <c r="R151" s="19"/>
      <c r="S151" s="19"/>
      <c r="T151" s="19"/>
      <c r="U151" s="19"/>
      <c r="W151" s="8"/>
      <c r="X151" s="7"/>
      <c r="Y151" s="19"/>
      <c r="Z151" s="19"/>
      <c r="AA151" s="19"/>
      <c r="AB151" s="19"/>
      <c r="AD151" s="8"/>
      <c r="AE151" s="7"/>
      <c r="AF151" s="19"/>
      <c r="AG151" s="19"/>
      <c r="AH151" s="19"/>
      <c r="AI151" s="19"/>
      <c r="AK151" s="8"/>
      <c r="AL151" s="7"/>
      <c r="AM151" s="19"/>
      <c r="AN151" s="19"/>
      <c r="AO151" s="19"/>
      <c r="AP151" s="19"/>
      <c r="AR151" s="8"/>
      <c r="AS151" s="7"/>
      <c r="AT151" s="19"/>
      <c r="AU151" s="19"/>
      <c r="AV151" s="19"/>
      <c r="AW151" s="19"/>
      <c r="AY151" s="8"/>
      <c r="AZ151" s="7"/>
      <c r="BA151" s="19"/>
      <c r="BB151" s="19"/>
      <c r="BC151" s="19"/>
      <c r="BD151" s="19"/>
      <c r="BF151" s="8"/>
      <c r="BG151" s="7"/>
      <c r="BH151" s="19"/>
      <c r="BI151" s="19"/>
      <c r="BJ151" s="19"/>
      <c r="BK151" s="19"/>
      <c r="BM151" s="8"/>
      <c r="BN151" s="7"/>
      <c r="BO151" s="19"/>
      <c r="BP151" s="19"/>
      <c r="BQ151" s="19"/>
      <c r="BR151" s="19"/>
      <c r="BT151" s="8"/>
      <c r="BU151" s="7"/>
      <c r="BV151" s="19"/>
      <c r="BW151" s="19"/>
      <c r="BX151" s="19"/>
      <c r="BY151" s="19"/>
      <c r="CA151" s="8"/>
      <c r="CB151" s="7"/>
      <c r="CC151" s="19"/>
      <c r="CD151" s="19"/>
      <c r="CE151" s="19"/>
      <c r="CF151" s="19"/>
      <c r="CH151" s="8"/>
      <c r="CI151" s="7"/>
      <c r="CJ151" s="19"/>
      <c r="CK151" s="19"/>
      <c r="CL151" s="19"/>
      <c r="CM151" s="19"/>
      <c r="CO151" s="8"/>
      <c r="CP151" s="7"/>
      <c r="CQ151" s="19"/>
      <c r="CR151" s="19"/>
      <c r="CS151" s="19"/>
      <c r="CT151" s="19"/>
      <c r="CV151" s="8"/>
      <c r="CW151" s="7"/>
      <c r="CX151" s="19"/>
      <c r="CY151" s="19"/>
      <c r="CZ151" s="19"/>
      <c r="DA151" s="19"/>
      <c r="DC151" s="8"/>
      <c r="DD151" s="7"/>
      <c r="DE151" s="19"/>
      <c r="DF151" s="19"/>
      <c r="DG151" s="19"/>
      <c r="DH151" s="19"/>
      <c r="DJ151" s="8"/>
      <c r="DK151" s="7"/>
      <c r="DL151" s="19"/>
      <c r="DM151" s="19"/>
      <c r="DN151" s="19"/>
      <c r="DO151" s="19"/>
      <c r="DQ151" s="8"/>
      <c r="DR151" s="7"/>
      <c r="DS151" s="19"/>
      <c r="DT151" s="19"/>
      <c r="DU151" s="19"/>
      <c r="DV151" s="19"/>
      <c r="DX151" s="8"/>
      <c r="DY151" s="7"/>
      <c r="DZ151" s="19"/>
      <c r="EA151" s="19"/>
      <c r="EB151" s="19"/>
      <c r="EC151" s="19"/>
      <c r="EE151" s="8"/>
      <c r="EF151" s="7"/>
      <c r="EG151" s="19"/>
      <c r="EH151" s="19"/>
      <c r="EI151" s="19"/>
      <c r="EJ151" s="19"/>
      <c r="EL151" s="8"/>
      <c r="EM151" s="7"/>
      <c r="EN151" s="19"/>
      <c r="EO151" s="19"/>
      <c r="EP151" s="19"/>
      <c r="EQ151" s="19"/>
      <c r="ES151" s="8"/>
      <c r="ET151" s="7"/>
      <c r="EU151" s="19"/>
      <c r="EV151" s="19"/>
      <c r="EW151" s="19"/>
      <c r="EX151" s="19"/>
      <c r="EZ151" s="8"/>
      <c r="FA151" s="7"/>
      <c r="FB151" s="19"/>
      <c r="FC151" s="19"/>
      <c r="FD151" s="19"/>
      <c r="FE151" s="19"/>
      <c r="FG151" s="8"/>
      <c r="FH151" s="7"/>
      <c r="FI151" s="19"/>
      <c r="FJ151" s="19"/>
      <c r="FK151" s="19"/>
      <c r="FL151" s="19"/>
      <c r="FN151" s="8"/>
      <c r="FO151" s="7"/>
      <c r="FP151" s="19"/>
      <c r="FQ151" s="19"/>
      <c r="FR151" s="19"/>
      <c r="FS151" s="19"/>
      <c r="FU151" s="8"/>
      <c r="FV151" s="7"/>
      <c r="FW151" s="19"/>
      <c r="FX151" s="19"/>
      <c r="FY151" s="19"/>
      <c r="FZ151" s="19"/>
      <c r="GB151" s="8"/>
      <c r="GC151" s="7"/>
      <c r="GD151" s="19"/>
      <c r="GE151" s="19"/>
      <c r="GF151" s="19"/>
      <c r="GG151" s="19"/>
      <c r="GI151" s="8"/>
      <c r="GJ151" s="7"/>
      <c r="GK151" s="19"/>
      <c r="GL151" s="19"/>
      <c r="GM151" s="19"/>
      <c r="GN151" s="19"/>
      <c r="GP151" s="8"/>
      <c r="GQ151" s="7"/>
      <c r="GR151" s="19"/>
      <c r="GS151" s="19"/>
      <c r="GT151" s="19"/>
      <c r="GU151" s="19"/>
      <c r="GW151" s="8"/>
      <c r="GX151" s="7"/>
      <c r="GY151" s="19"/>
      <c r="GZ151" s="19"/>
      <c r="HA151" s="19"/>
      <c r="HB151" s="19"/>
      <c r="HD151" s="8"/>
      <c r="HE151" s="7"/>
      <c r="HF151" s="19"/>
      <c r="HG151" s="19"/>
      <c r="HH151" s="19"/>
      <c r="HI151" s="19"/>
      <c r="HK151" s="8"/>
      <c r="HL151" s="7"/>
      <c r="HM151" s="19"/>
      <c r="HN151" s="19"/>
      <c r="HO151" s="19"/>
      <c r="HP151" s="19"/>
      <c r="HR151" s="8"/>
      <c r="HS151" s="7"/>
      <c r="HT151" s="19"/>
      <c r="HU151" s="19"/>
      <c r="HV151" s="19"/>
      <c r="HW151" s="19"/>
      <c r="HY151" s="8"/>
      <c r="HZ151" s="7"/>
      <c r="IA151" s="19"/>
      <c r="IB151" s="19"/>
      <c r="IC151" s="19"/>
      <c r="ID151" s="19"/>
      <c r="IF151" s="8"/>
      <c r="IG151" s="7"/>
      <c r="IH151" s="19"/>
      <c r="II151" s="19"/>
      <c r="IJ151" s="19"/>
      <c r="IK151" s="19"/>
      <c r="IM151" s="8"/>
      <c r="IN151" s="7"/>
      <c r="IO151" s="19"/>
      <c r="IP151" s="19"/>
      <c r="IQ151" s="19"/>
      <c r="IR151" s="19"/>
      <c r="IT151" s="8"/>
      <c r="IU151" s="7"/>
      <c r="IV151" s="19"/>
      <c r="IW151" s="19"/>
      <c r="IX151" s="19"/>
      <c r="IY151" s="19"/>
      <c r="JA151" s="8"/>
      <c r="JB151" s="7"/>
      <c r="JC151" s="19"/>
      <c r="JD151" s="19"/>
      <c r="JE151" s="19"/>
      <c r="JF151" s="19"/>
      <c r="JH151" s="8"/>
      <c r="JI151" s="7"/>
      <c r="JJ151" s="19"/>
      <c r="JK151" s="19"/>
      <c r="JL151" s="19"/>
      <c r="JM151" s="19"/>
      <c r="JO151" s="8"/>
      <c r="JP151" s="7"/>
      <c r="JQ151" s="19"/>
      <c r="JR151" s="19"/>
      <c r="JS151" s="19"/>
      <c r="JT151" s="19"/>
      <c r="JV151" s="8"/>
      <c r="JW151" s="7"/>
      <c r="JX151" s="19"/>
      <c r="JY151" s="19"/>
      <c r="JZ151" s="19"/>
      <c r="KA151" s="19"/>
      <c r="KC151" s="8"/>
      <c r="KD151" s="7"/>
      <c r="KE151" s="19"/>
      <c r="KF151" s="19"/>
      <c r="KG151" s="19"/>
      <c r="KH151" s="19"/>
      <c r="KJ151" s="8"/>
      <c r="KK151" s="7"/>
      <c r="KL151" s="19"/>
      <c r="KM151" s="19"/>
      <c r="KN151" s="19"/>
      <c r="KO151" s="19"/>
      <c r="KQ151" s="8"/>
      <c r="KR151" s="7"/>
      <c r="KS151" s="19"/>
      <c r="KT151" s="19"/>
      <c r="KU151" s="19"/>
      <c r="KV151" s="19"/>
      <c r="KX151" s="8"/>
      <c r="KY151" s="7"/>
      <c r="KZ151" s="19"/>
      <c r="LA151" s="19"/>
      <c r="LB151" s="19"/>
      <c r="LC151" s="19"/>
      <c r="LE151" s="8"/>
      <c r="LF151" s="7"/>
      <c r="LG151" s="19"/>
      <c r="LH151" s="19"/>
      <c r="LI151" s="19"/>
      <c r="LJ151" s="19"/>
      <c r="LL151" s="8"/>
      <c r="LM151" s="7"/>
      <c r="LN151" s="19"/>
      <c r="LO151" s="19"/>
      <c r="LP151" s="19"/>
      <c r="LQ151" s="19"/>
      <c r="LS151" s="8"/>
      <c r="LT151" s="7"/>
      <c r="LU151" s="19"/>
      <c r="LV151" s="19"/>
      <c r="LW151" s="19"/>
      <c r="LX151" s="19"/>
      <c r="LZ151" s="8"/>
      <c r="MA151" s="7"/>
      <c r="MB151" s="19"/>
      <c r="MC151" s="19"/>
      <c r="MD151" s="19"/>
      <c r="ME151" s="19"/>
      <c r="MG151" s="8"/>
      <c r="MH151" s="7"/>
      <c r="MI151" s="19"/>
      <c r="MJ151" s="19"/>
      <c r="MK151" s="19"/>
      <c r="ML151" s="19"/>
      <c r="MN151" s="8"/>
      <c r="MO151" s="7"/>
      <c r="MP151" s="19"/>
      <c r="MQ151" s="19"/>
      <c r="MR151" s="19"/>
      <c r="MS151" s="19"/>
      <c r="MU151" s="8"/>
      <c r="MV151" s="7"/>
      <c r="MW151" s="19"/>
      <c r="MX151" s="19"/>
      <c r="MY151" s="19"/>
      <c r="MZ151" s="19"/>
      <c r="NB151" s="8"/>
      <c r="NC151" s="7"/>
      <c r="ND151" s="19"/>
      <c r="NE151" s="19"/>
      <c r="NF151" s="19"/>
      <c r="NG151" s="19"/>
      <c r="NI151" s="8"/>
      <c r="NJ151" s="7"/>
      <c r="NK151" s="19"/>
      <c r="NL151" s="19"/>
      <c r="NM151" s="19"/>
      <c r="NN151" s="19"/>
      <c r="NP151" s="8"/>
      <c r="NQ151" s="7"/>
      <c r="NR151" s="19"/>
      <c r="NS151" s="19"/>
      <c r="NT151" s="19"/>
      <c r="NU151" s="19"/>
      <c r="NW151" s="8"/>
      <c r="NX151" s="7"/>
      <c r="NY151" s="19"/>
      <c r="NZ151" s="19"/>
      <c r="OA151" s="19"/>
      <c r="OB151" s="19"/>
      <c r="OD151" s="8"/>
      <c r="OE151" s="7"/>
      <c r="OF151" s="19"/>
      <c r="OG151" s="19"/>
      <c r="OH151" s="19"/>
      <c r="OI151" s="19"/>
      <c r="OK151" s="8"/>
      <c r="OL151" s="7"/>
      <c r="OM151" s="19"/>
      <c r="ON151" s="19"/>
      <c r="OO151" s="19"/>
      <c r="OP151" s="19"/>
      <c r="OR151" s="8"/>
      <c r="OS151" s="7"/>
      <c r="OT151" s="19"/>
      <c r="OU151" s="19"/>
      <c r="OV151" s="19"/>
      <c r="OW151" s="19"/>
      <c r="OY151" s="8"/>
      <c r="OZ151" s="7"/>
      <c r="PA151" s="19"/>
      <c r="PB151" s="19"/>
      <c r="PC151" s="19"/>
      <c r="PD151" s="19"/>
      <c r="PF151" s="8"/>
      <c r="PG151" s="7"/>
      <c r="PH151" s="19"/>
      <c r="PI151" s="19"/>
      <c r="PJ151" s="19"/>
      <c r="PK151" s="19"/>
      <c r="PM151" s="8"/>
    </row>
    <row r="152" spans="1:429" s="1" customFormat="1" ht="26" customHeight="1" outlineLevel="1">
      <c r="B152" s="471"/>
      <c r="C152" s="7"/>
      <c r="D152" s="19"/>
      <c r="E152" s="19"/>
      <c r="F152" s="19"/>
      <c r="G152" s="19"/>
      <c r="I152" s="8"/>
      <c r="J152" s="7"/>
      <c r="K152" s="19"/>
      <c r="L152" s="19"/>
      <c r="M152" s="19"/>
      <c r="N152" s="19"/>
      <c r="P152" s="8"/>
      <c r="Q152" s="7"/>
      <c r="R152" s="19"/>
      <c r="S152" s="19"/>
      <c r="T152" s="19"/>
      <c r="U152" s="19"/>
      <c r="W152" s="8"/>
      <c r="X152" s="7"/>
      <c r="Y152" s="19"/>
      <c r="Z152" s="19"/>
      <c r="AA152" s="19"/>
      <c r="AB152" s="19"/>
      <c r="AD152" s="8"/>
      <c r="AE152" s="7"/>
      <c r="AF152" s="19"/>
      <c r="AG152" s="19"/>
      <c r="AH152" s="19"/>
      <c r="AI152" s="19"/>
      <c r="AK152" s="8"/>
      <c r="AL152" s="7"/>
      <c r="AM152" s="19"/>
      <c r="AN152" s="19"/>
      <c r="AO152" s="19"/>
      <c r="AP152" s="19"/>
      <c r="AR152" s="8"/>
      <c r="AS152" s="7"/>
      <c r="AT152" s="19"/>
      <c r="AU152" s="19"/>
      <c r="AV152" s="19"/>
      <c r="AW152" s="19"/>
      <c r="AY152" s="8"/>
      <c r="AZ152" s="7"/>
      <c r="BA152" s="19"/>
      <c r="BB152" s="19"/>
      <c r="BC152" s="19"/>
      <c r="BD152" s="19"/>
      <c r="BF152" s="8"/>
      <c r="BG152" s="7"/>
      <c r="BH152" s="19"/>
      <c r="BI152" s="19"/>
      <c r="BJ152" s="19"/>
      <c r="BK152" s="19"/>
      <c r="BM152" s="8"/>
      <c r="BN152" s="7"/>
      <c r="BO152" s="19"/>
      <c r="BP152" s="19"/>
      <c r="BQ152" s="19"/>
      <c r="BR152" s="19"/>
      <c r="BT152" s="8"/>
      <c r="BU152" s="7"/>
      <c r="BV152" s="19"/>
      <c r="BW152" s="19"/>
      <c r="BX152" s="19"/>
      <c r="BY152" s="19"/>
      <c r="CA152" s="8"/>
      <c r="CB152" s="7"/>
      <c r="CC152" s="19"/>
      <c r="CD152" s="19"/>
      <c r="CE152" s="19"/>
      <c r="CF152" s="19"/>
      <c r="CH152" s="8"/>
      <c r="CI152" s="7"/>
      <c r="CJ152" s="19"/>
      <c r="CK152" s="19"/>
      <c r="CL152" s="19"/>
      <c r="CM152" s="19"/>
      <c r="CO152" s="8"/>
      <c r="CP152" s="7"/>
      <c r="CQ152" s="19"/>
      <c r="CR152" s="19"/>
      <c r="CS152" s="19"/>
      <c r="CT152" s="19"/>
      <c r="CV152" s="8"/>
      <c r="CW152" s="7"/>
      <c r="CX152" s="19"/>
      <c r="CY152" s="19"/>
      <c r="CZ152" s="19"/>
      <c r="DA152" s="19"/>
      <c r="DC152" s="8"/>
      <c r="DD152" s="7"/>
      <c r="DE152" s="19"/>
      <c r="DF152" s="19"/>
      <c r="DG152" s="19"/>
      <c r="DH152" s="19"/>
      <c r="DJ152" s="8"/>
      <c r="DK152" s="7"/>
      <c r="DL152" s="19"/>
      <c r="DM152" s="19"/>
      <c r="DN152" s="19"/>
      <c r="DO152" s="19"/>
      <c r="DQ152" s="8"/>
      <c r="DR152" s="7"/>
      <c r="DS152" s="19"/>
      <c r="DT152" s="19"/>
      <c r="DU152" s="19"/>
      <c r="DV152" s="19"/>
      <c r="DX152" s="8"/>
      <c r="DY152" s="7"/>
      <c r="DZ152" s="19"/>
      <c r="EA152" s="19"/>
      <c r="EB152" s="19"/>
      <c r="EC152" s="19"/>
      <c r="EE152" s="8"/>
      <c r="EF152" s="7"/>
      <c r="EG152" s="19"/>
      <c r="EH152" s="19"/>
      <c r="EI152" s="19"/>
      <c r="EJ152" s="19"/>
      <c r="EL152" s="8"/>
      <c r="EM152" s="7"/>
      <c r="EN152" s="19"/>
      <c r="EO152" s="19"/>
      <c r="EP152" s="19"/>
      <c r="EQ152" s="19"/>
      <c r="ES152" s="8"/>
      <c r="ET152" s="7"/>
      <c r="EU152" s="19"/>
      <c r="EV152" s="19"/>
      <c r="EW152" s="19"/>
      <c r="EX152" s="19"/>
      <c r="EZ152" s="8"/>
      <c r="FA152" s="7"/>
      <c r="FB152" s="19"/>
      <c r="FC152" s="19"/>
      <c r="FD152" s="19"/>
      <c r="FE152" s="19"/>
      <c r="FG152" s="8"/>
      <c r="FH152" s="7"/>
      <c r="FI152" s="19"/>
      <c r="FJ152" s="19"/>
      <c r="FK152" s="19"/>
      <c r="FL152" s="19"/>
      <c r="FN152" s="8"/>
      <c r="FO152" s="7"/>
      <c r="FP152" s="19"/>
      <c r="FQ152" s="19"/>
      <c r="FR152" s="19"/>
      <c r="FS152" s="19"/>
      <c r="FU152" s="8"/>
      <c r="FV152" s="7"/>
      <c r="FW152" s="19"/>
      <c r="FX152" s="19"/>
      <c r="FY152" s="19"/>
      <c r="FZ152" s="19"/>
      <c r="GB152" s="8"/>
      <c r="GC152" s="7"/>
      <c r="GD152" s="19"/>
      <c r="GE152" s="19"/>
      <c r="GF152" s="19"/>
      <c r="GG152" s="19"/>
      <c r="GI152" s="8"/>
      <c r="GJ152" s="7"/>
      <c r="GK152" s="19"/>
      <c r="GL152" s="19"/>
      <c r="GM152" s="19"/>
      <c r="GN152" s="19"/>
      <c r="GP152" s="8"/>
      <c r="GQ152" s="7"/>
      <c r="GR152" s="19"/>
      <c r="GS152" s="19"/>
      <c r="GT152" s="19"/>
      <c r="GU152" s="19"/>
      <c r="GW152" s="8"/>
      <c r="GX152" s="7"/>
      <c r="GY152" s="19"/>
      <c r="GZ152" s="19"/>
      <c r="HA152" s="19"/>
      <c r="HB152" s="19"/>
      <c r="HD152" s="8"/>
      <c r="HE152" s="7"/>
      <c r="HF152" s="19"/>
      <c r="HG152" s="19"/>
      <c r="HH152" s="19"/>
      <c r="HI152" s="19"/>
      <c r="HK152" s="8"/>
      <c r="HL152" s="7"/>
      <c r="HM152" s="19"/>
      <c r="HN152" s="19"/>
      <c r="HO152" s="19"/>
      <c r="HP152" s="19"/>
      <c r="HR152" s="8"/>
      <c r="HS152" s="7"/>
      <c r="HT152" s="19"/>
      <c r="HU152" s="19"/>
      <c r="HV152" s="19"/>
      <c r="HW152" s="19"/>
      <c r="HY152" s="8"/>
      <c r="HZ152" s="7"/>
      <c r="IA152" s="19"/>
      <c r="IB152" s="19"/>
      <c r="IC152" s="19"/>
      <c r="ID152" s="19"/>
      <c r="IF152" s="8"/>
      <c r="IG152" s="7"/>
      <c r="IH152" s="19"/>
      <c r="II152" s="19"/>
      <c r="IJ152" s="19"/>
      <c r="IK152" s="19"/>
      <c r="IM152" s="8"/>
      <c r="IN152" s="7"/>
      <c r="IO152" s="19"/>
      <c r="IP152" s="19"/>
      <c r="IQ152" s="19"/>
      <c r="IR152" s="19"/>
      <c r="IT152" s="8"/>
      <c r="IU152" s="7"/>
      <c r="IV152" s="19"/>
      <c r="IW152" s="19"/>
      <c r="IX152" s="19"/>
      <c r="IY152" s="19"/>
      <c r="JA152" s="8"/>
      <c r="JB152" s="7"/>
      <c r="JC152" s="19"/>
      <c r="JD152" s="19"/>
      <c r="JE152" s="19"/>
      <c r="JF152" s="19"/>
      <c r="JH152" s="8"/>
      <c r="JI152" s="7"/>
      <c r="JJ152" s="19"/>
      <c r="JK152" s="19"/>
      <c r="JL152" s="19"/>
      <c r="JM152" s="19"/>
      <c r="JO152" s="8"/>
      <c r="JP152" s="7"/>
      <c r="JQ152" s="19"/>
      <c r="JR152" s="19"/>
      <c r="JS152" s="19"/>
      <c r="JT152" s="19"/>
      <c r="JV152" s="8"/>
      <c r="JW152" s="7"/>
      <c r="JX152" s="19"/>
      <c r="JY152" s="19"/>
      <c r="JZ152" s="19"/>
      <c r="KA152" s="19"/>
      <c r="KC152" s="8"/>
      <c r="KD152" s="7"/>
      <c r="KE152" s="19"/>
      <c r="KF152" s="19"/>
      <c r="KG152" s="19"/>
      <c r="KH152" s="19"/>
      <c r="KJ152" s="8"/>
      <c r="KK152" s="7"/>
      <c r="KL152" s="19"/>
      <c r="KM152" s="19"/>
      <c r="KN152" s="19"/>
      <c r="KO152" s="19"/>
      <c r="KQ152" s="8"/>
      <c r="KR152" s="7"/>
      <c r="KS152" s="19"/>
      <c r="KT152" s="19"/>
      <c r="KU152" s="19"/>
      <c r="KV152" s="19"/>
      <c r="KX152" s="8"/>
      <c r="KY152" s="7"/>
      <c r="KZ152" s="19"/>
      <c r="LA152" s="19"/>
      <c r="LB152" s="19"/>
      <c r="LC152" s="19"/>
      <c r="LE152" s="8"/>
      <c r="LF152" s="7"/>
      <c r="LG152" s="19"/>
      <c r="LH152" s="19"/>
      <c r="LI152" s="19"/>
      <c r="LJ152" s="19"/>
      <c r="LL152" s="8"/>
      <c r="LM152" s="7"/>
      <c r="LN152" s="19"/>
      <c r="LO152" s="19"/>
      <c r="LP152" s="19"/>
      <c r="LQ152" s="19"/>
      <c r="LS152" s="8"/>
      <c r="LT152" s="7"/>
      <c r="LU152" s="19"/>
      <c r="LV152" s="19"/>
      <c r="LW152" s="19"/>
      <c r="LX152" s="19"/>
      <c r="LZ152" s="8"/>
      <c r="MA152" s="7"/>
      <c r="MB152" s="19"/>
      <c r="MC152" s="19"/>
      <c r="MD152" s="19"/>
      <c r="ME152" s="19"/>
      <c r="MG152" s="8"/>
      <c r="MH152" s="7"/>
      <c r="MI152" s="19"/>
      <c r="MJ152" s="19"/>
      <c r="MK152" s="19"/>
      <c r="ML152" s="19"/>
      <c r="MN152" s="8"/>
      <c r="MO152" s="7"/>
      <c r="MP152" s="19"/>
      <c r="MQ152" s="19"/>
      <c r="MR152" s="19"/>
      <c r="MS152" s="19"/>
      <c r="MU152" s="8"/>
      <c r="MV152" s="7"/>
      <c r="MW152" s="19"/>
      <c r="MX152" s="19"/>
      <c r="MY152" s="19"/>
      <c r="MZ152" s="19"/>
      <c r="NB152" s="8"/>
      <c r="NC152" s="7"/>
      <c r="ND152" s="19"/>
      <c r="NE152" s="19"/>
      <c r="NF152" s="19"/>
      <c r="NG152" s="19"/>
      <c r="NI152" s="8"/>
      <c r="NJ152" s="7"/>
      <c r="NK152" s="19"/>
      <c r="NL152" s="19"/>
      <c r="NM152" s="19"/>
      <c r="NN152" s="19"/>
      <c r="NP152" s="8"/>
      <c r="NQ152" s="7"/>
      <c r="NR152" s="19"/>
      <c r="NS152" s="19"/>
      <c r="NT152" s="19"/>
      <c r="NU152" s="19"/>
      <c r="NW152" s="8"/>
      <c r="NX152" s="7"/>
      <c r="NY152" s="19"/>
      <c r="NZ152" s="19"/>
      <c r="OA152" s="19"/>
      <c r="OB152" s="19"/>
      <c r="OD152" s="8"/>
      <c r="OE152" s="7"/>
      <c r="OF152" s="19"/>
      <c r="OG152" s="19"/>
      <c r="OH152" s="19"/>
      <c r="OI152" s="19"/>
      <c r="OK152" s="8"/>
      <c r="OL152" s="7"/>
      <c r="OM152" s="19"/>
      <c r="ON152" s="19"/>
      <c r="OO152" s="19"/>
      <c r="OP152" s="19"/>
      <c r="OR152" s="8"/>
      <c r="OS152" s="7"/>
      <c r="OT152" s="19"/>
      <c r="OU152" s="19"/>
      <c r="OV152" s="19"/>
      <c r="OW152" s="19"/>
      <c r="OY152" s="8"/>
      <c r="OZ152" s="7"/>
      <c r="PA152" s="19"/>
      <c r="PB152" s="19"/>
      <c r="PC152" s="19"/>
      <c r="PD152" s="19"/>
      <c r="PF152" s="8"/>
      <c r="PG152" s="7"/>
      <c r="PH152" s="19"/>
      <c r="PI152" s="19"/>
      <c r="PJ152" s="19"/>
      <c r="PK152" s="19"/>
      <c r="PM152" s="8"/>
    </row>
    <row r="153" spans="1:429" s="475" customFormat="1" ht="19" customHeight="1">
      <c r="A153" s="6" t="s">
        <v>77</v>
      </c>
      <c r="B153" s="472"/>
      <c r="C153" s="10"/>
      <c r="D153" s="20"/>
      <c r="E153" s="20"/>
      <c r="F153" s="20"/>
      <c r="G153" s="20"/>
      <c r="H153" s="10"/>
      <c r="I153" s="10"/>
      <c r="J153" s="10"/>
      <c r="K153" s="20"/>
      <c r="L153" s="20"/>
      <c r="M153" s="20"/>
      <c r="N153" s="20"/>
      <c r="O153" s="10"/>
      <c r="P153" s="10"/>
      <c r="Q153" s="10"/>
      <c r="R153" s="20"/>
      <c r="S153" s="20"/>
      <c r="T153" s="20"/>
      <c r="U153" s="20"/>
      <c r="V153" s="10"/>
      <c r="W153" s="10"/>
      <c r="X153" s="10"/>
      <c r="Y153" s="20"/>
      <c r="Z153" s="20"/>
      <c r="AA153" s="20"/>
      <c r="AB153" s="20"/>
      <c r="AC153" s="10"/>
      <c r="AD153" s="10"/>
      <c r="AE153" s="10"/>
      <c r="AF153" s="20"/>
      <c r="AG153" s="20"/>
      <c r="AH153" s="20"/>
      <c r="AI153" s="20"/>
      <c r="AJ153" s="10"/>
      <c r="AK153" s="10"/>
      <c r="AL153" s="10"/>
      <c r="AM153" s="20"/>
      <c r="AN153" s="20"/>
      <c r="AO153" s="20"/>
      <c r="AP153" s="20"/>
      <c r="AQ153" s="10"/>
      <c r="AR153" s="10"/>
      <c r="AS153" s="10"/>
      <c r="AT153" s="20"/>
      <c r="AU153" s="20"/>
      <c r="AV153" s="20"/>
      <c r="AW153" s="20"/>
      <c r="AX153" s="10"/>
      <c r="AY153" s="10"/>
      <c r="AZ153" s="10"/>
      <c r="BA153" s="20"/>
      <c r="BB153" s="20"/>
      <c r="BC153" s="20"/>
      <c r="BD153" s="20"/>
      <c r="BE153" s="10"/>
      <c r="BF153" s="10"/>
      <c r="BG153" s="10"/>
      <c r="BH153" s="20"/>
      <c r="BI153" s="20"/>
      <c r="BJ153" s="20"/>
      <c r="BK153" s="20"/>
      <c r="BL153" s="10"/>
      <c r="BM153" s="10"/>
      <c r="BN153" s="10"/>
      <c r="BO153" s="20"/>
      <c r="BP153" s="20"/>
      <c r="BQ153" s="20"/>
      <c r="BR153" s="20"/>
      <c r="BS153" s="10"/>
      <c r="BT153" s="10"/>
      <c r="BU153" s="10"/>
      <c r="BV153" s="20"/>
      <c r="BW153" s="20"/>
      <c r="BX153" s="20"/>
      <c r="BY153" s="20"/>
      <c r="BZ153" s="10"/>
      <c r="CA153" s="10"/>
      <c r="CB153" s="10"/>
      <c r="CC153" s="20"/>
      <c r="CD153" s="20"/>
      <c r="CE153" s="20"/>
      <c r="CF153" s="20"/>
      <c r="CG153" s="10"/>
      <c r="CH153" s="10"/>
      <c r="CI153" s="10"/>
      <c r="CJ153" s="20"/>
      <c r="CK153" s="20"/>
      <c r="CL153" s="20"/>
      <c r="CM153" s="20"/>
      <c r="CN153" s="10"/>
      <c r="CO153" s="10"/>
      <c r="CP153" s="10"/>
      <c r="CQ153" s="20"/>
      <c r="CR153" s="20"/>
      <c r="CS153" s="20"/>
      <c r="CT153" s="20"/>
      <c r="CU153" s="10"/>
      <c r="CV153" s="10"/>
      <c r="CW153" s="10"/>
      <c r="CX153" s="20"/>
      <c r="CY153" s="20"/>
      <c r="CZ153" s="20"/>
      <c r="DA153" s="20"/>
      <c r="DB153" s="10"/>
      <c r="DC153" s="10"/>
      <c r="DD153" s="10"/>
      <c r="DE153" s="20"/>
      <c r="DF153" s="20"/>
      <c r="DG153" s="20"/>
      <c r="DH153" s="20"/>
      <c r="DI153" s="10"/>
      <c r="DJ153" s="10"/>
      <c r="DK153" s="10"/>
      <c r="DL153" s="20"/>
      <c r="DM153" s="20"/>
      <c r="DN153" s="20"/>
      <c r="DO153" s="20"/>
      <c r="DP153" s="10"/>
      <c r="DQ153" s="10"/>
      <c r="DR153" s="10"/>
      <c r="DS153" s="20"/>
      <c r="DT153" s="20"/>
      <c r="DU153" s="20"/>
      <c r="DV153" s="20"/>
      <c r="DW153" s="10"/>
      <c r="DX153" s="10"/>
      <c r="DY153" s="10"/>
      <c r="DZ153" s="20"/>
      <c r="EA153" s="20"/>
      <c r="EB153" s="20"/>
      <c r="EC153" s="20"/>
      <c r="ED153" s="10"/>
      <c r="EE153" s="10"/>
      <c r="EF153" s="10"/>
      <c r="EG153" s="20"/>
      <c r="EH153" s="20"/>
      <c r="EI153" s="20"/>
      <c r="EJ153" s="20"/>
      <c r="EK153" s="10"/>
      <c r="EL153" s="10"/>
      <c r="EM153" s="10"/>
      <c r="EN153" s="20"/>
      <c r="EO153" s="20"/>
      <c r="EP153" s="20"/>
      <c r="EQ153" s="20"/>
      <c r="ER153" s="10"/>
      <c r="ES153" s="10"/>
      <c r="ET153" s="10"/>
      <c r="EU153" s="20"/>
      <c r="EV153" s="20"/>
      <c r="EW153" s="20"/>
      <c r="EX153" s="20"/>
      <c r="EY153" s="10"/>
      <c r="EZ153" s="10"/>
      <c r="FA153" s="10"/>
      <c r="FB153" s="20"/>
      <c r="FC153" s="20"/>
      <c r="FD153" s="20"/>
      <c r="FE153" s="20"/>
      <c r="FF153" s="10"/>
      <c r="FG153" s="10"/>
      <c r="FH153" s="10"/>
      <c r="FI153" s="20"/>
      <c r="FJ153" s="20"/>
      <c r="FK153" s="20"/>
      <c r="FL153" s="20"/>
      <c r="FM153" s="10"/>
      <c r="FN153" s="10"/>
      <c r="FO153" s="10"/>
      <c r="FP153" s="20"/>
      <c r="FQ153" s="20"/>
      <c r="FR153" s="20"/>
      <c r="FS153" s="20"/>
      <c r="FT153" s="10"/>
      <c r="FU153" s="10"/>
      <c r="FV153" s="10"/>
      <c r="FW153" s="20"/>
      <c r="FX153" s="20"/>
      <c r="FY153" s="20"/>
      <c r="FZ153" s="20"/>
      <c r="GA153" s="10"/>
      <c r="GB153" s="10"/>
      <c r="GC153" s="10"/>
      <c r="GD153" s="20"/>
      <c r="GE153" s="20"/>
      <c r="GF153" s="20"/>
      <c r="GG153" s="20"/>
      <c r="GH153" s="10"/>
      <c r="GI153" s="10"/>
      <c r="GJ153" s="10"/>
      <c r="GK153" s="20"/>
      <c r="GL153" s="20"/>
      <c r="GM153" s="20"/>
      <c r="GN153" s="20"/>
      <c r="GO153" s="10"/>
      <c r="GP153" s="10"/>
      <c r="GQ153" s="10"/>
      <c r="GR153" s="20"/>
      <c r="GS153" s="20"/>
      <c r="GT153" s="20"/>
      <c r="GU153" s="20"/>
      <c r="GV153" s="10"/>
      <c r="GW153" s="10"/>
      <c r="GX153" s="10"/>
      <c r="GY153" s="20"/>
      <c r="GZ153" s="20"/>
      <c r="HA153" s="20"/>
      <c r="HB153" s="20"/>
      <c r="HC153" s="10"/>
      <c r="HD153" s="10"/>
      <c r="HE153" s="10"/>
      <c r="HF153" s="20"/>
      <c r="HG153" s="20"/>
      <c r="HH153" s="20"/>
      <c r="HI153" s="20"/>
      <c r="HJ153" s="10"/>
      <c r="HK153" s="10"/>
      <c r="HL153" s="10"/>
      <c r="HM153" s="20"/>
      <c r="HN153" s="20"/>
      <c r="HO153" s="20"/>
      <c r="HP153" s="20"/>
      <c r="HQ153" s="10"/>
      <c r="HR153" s="10"/>
      <c r="HS153" s="10"/>
      <c r="HT153" s="20"/>
      <c r="HU153" s="20"/>
      <c r="HV153" s="20"/>
      <c r="HW153" s="20"/>
      <c r="HX153" s="10"/>
      <c r="HY153" s="10"/>
      <c r="HZ153" s="10"/>
      <c r="IA153" s="20"/>
      <c r="IB153" s="20"/>
      <c r="IC153" s="20"/>
      <c r="ID153" s="20"/>
      <c r="IE153" s="10"/>
      <c r="IF153" s="10"/>
      <c r="IG153" s="10"/>
      <c r="IH153" s="20"/>
      <c r="II153" s="20"/>
      <c r="IJ153" s="20"/>
      <c r="IK153" s="20"/>
      <c r="IL153" s="10"/>
      <c r="IM153" s="10"/>
      <c r="IN153" s="10"/>
      <c r="IO153" s="20"/>
      <c r="IP153" s="20"/>
      <c r="IQ153" s="20"/>
      <c r="IR153" s="20"/>
      <c r="IS153" s="10"/>
      <c r="IT153" s="10"/>
      <c r="IU153" s="10"/>
      <c r="IV153" s="20"/>
      <c r="IW153" s="20"/>
      <c r="IX153" s="20"/>
      <c r="IY153" s="20"/>
      <c r="IZ153" s="10"/>
      <c r="JA153" s="10"/>
      <c r="JB153" s="10"/>
      <c r="JC153" s="20"/>
      <c r="JD153" s="20"/>
      <c r="JE153" s="20"/>
      <c r="JF153" s="20"/>
      <c r="JG153" s="10"/>
      <c r="JH153" s="10"/>
      <c r="JI153" s="10"/>
      <c r="JJ153" s="20"/>
      <c r="JK153" s="20"/>
      <c r="JL153" s="20"/>
      <c r="JM153" s="20"/>
      <c r="JN153" s="10"/>
      <c r="JO153" s="10"/>
      <c r="JP153" s="10"/>
      <c r="JQ153" s="20"/>
      <c r="JR153" s="20"/>
      <c r="JS153" s="20"/>
      <c r="JT153" s="20"/>
      <c r="JU153" s="10"/>
      <c r="JV153" s="10"/>
      <c r="JW153" s="10"/>
      <c r="JX153" s="20"/>
      <c r="JY153" s="20"/>
      <c r="JZ153" s="20"/>
      <c r="KA153" s="20"/>
      <c r="KB153" s="10"/>
      <c r="KC153" s="10"/>
      <c r="KD153" s="10"/>
      <c r="KE153" s="20"/>
      <c r="KF153" s="20"/>
      <c r="KG153" s="20"/>
      <c r="KH153" s="20"/>
      <c r="KI153" s="10"/>
      <c r="KJ153" s="10"/>
      <c r="KK153" s="10"/>
      <c r="KL153" s="20"/>
      <c r="KM153" s="20"/>
      <c r="KN153" s="20"/>
      <c r="KO153" s="20"/>
      <c r="KP153" s="10"/>
      <c r="KQ153" s="10"/>
      <c r="KR153" s="10"/>
      <c r="KS153" s="20"/>
      <c r="KT153" s="20"/>
      <c r="KU153" s="20"/>
      <c r="KV153" s="20"/>
      <c r="KW153" s="10"/>
      <c r="KX153" s="10"/>
      <c r="KY153" s="10"/>
      <c r="KZ153" s="20"/>
      <c r="LA153" s="20"/>
      <c r="LB153" s="20"/>
      <c r="LC153" s="20"/>
      <c r="LD153" s="10"/>
      <c r="LE153" s="10"/>
      <c r="LF153" s="10"/>
      <c r="LG153" s="20"/>
      <c r="LH153" s="20"/>
      <c r="LI153" s="20"/>
      <c r="LJ153" s="20"/>
      <c r="LK153" s="10"/>
      <c r="LL153" s="10"/>
      <c r="LM153" s="10"/>
      <c r="LN153" s="20"/>
      <c r="LO153" s="20"/>
      <c r="LP153" s="20"/>
      <c r="LQ153" s="20"/>
      <c r="LR153" s="10"/>
      <c r="LS153" s="10"/>
      <c r="LT153" s="10"/>
      <c r="LU153" s="20"/>
      <c r="LV153" s="20"/>
      <c r="LW153" s="20"/>
      <c r="LX153" s="20"/>
      <c r="LY153" s="10"/>
      <c r="LZ153" s="10"/>
      <c r="MA153" s="10"/>
      <c r="MB153" s="20"/>
      <c r="MC153" s="20"/>
      <c r="MD153" s="20"/>
      <c r="ME153" s="20"/>
      <c r="MF153" s="10"/>
      <c r="MG153" s="10"/>
      <c r="MH153" s="10"/>
      <c r="MI153" s="20"/>
      <c r="MJ153" s="20"/>
      <c r="MK153" s="20"/>
      <c r="ML153" s="20"/>
      <c r="MM153" s="10"/>
      <c r="MN153" s="10"/>
      <c r="MO153" s="10"/>
      <c r="MP153" s="20"/>
      <c r="MQ153" s="20"/>
      <c r="MR153" s="20"/>
      <c r="MS153" s="20"/>
      <c r="MT153" s="10"/>
      <c r="MU153" s="10"/>
      <c r="MV153" s="10"/>
      <c r="MW153" s="20"/>
      <c r="MX153" s="20"/>
      <c r="MY153" s="20"/>
      <c r="MZ153" s="20"/>
      <c r="NA153" s="10"/>
      <c r="NB153" s="10"/>
      <c r="NC153" s="10"/>
      <c r="ND153" s="20"/>
      <c r="NE153" s="20"/>
      <c r="NF153" s="20"/>
      <c r="NG153" s="20"/>
      <c r="NH153" s="10"/>
      <c r="NI153" s="10"/>
      <c r="NJ153" s="10"/>
      <c r="NK153" s="20"/>
      <c r="NL153" s="20"/>
      <c r="NM153" s="20"/>
      <c r="NN153" s="20"/>
      <c r="NO153" s="10"/>
      <c r="NP153" s="10"/>
      <c r="NQ153" s="10"/>
      <c r="NR153" s="20"/>
      <c r="NS153" s="20"/>
      <c r="NT153" s="20"/>
      <c r="NU153" s="20"/>
      <c r="NV153" s="10"/>
      <c r="NW153" s="10"/>
      <c r="NX153" s="10"/>
      <c r="NY153" s="20"/>
      <c r="NZ153" s="20"/>
      <c r="OA153" s="20"/>
      <c r="OB153" s="20"/>
      <c r="OC153" s="10"/>
      <c r="OD153" s="10"/>
      <c r="OE153" s="10"/>
      <c r="OF153" s="20"/>
      <c r="OG153" s="20"/>
      <c r="OH153" s="20"/>
      <c r="OI153" s="20"/>
      <c r="OJ153" s="10"/>
      <c r="OK153" s="10"/>
      <c r="OL153" s="10"/>
      <c r="OM153" s="20"/>
      <c r="ON153" s="20"/>
      <c r="OO153" s="20"/>
      <c r="OP153" s="20"/>
      <c r="OQ153" s="10"/>
      <c r="OR153" s="10"/>
      <c r="OS153" s="10"/>
      <c r="OT153" s="20"/>
      <c r="OU153" s="20"/>
      <c r="OV153" s="20"/>
      <c r="OW153" s="20"/>
      <c r="OX153" s="10"/>
      <c r="OY153" s="10"/>
      <c r="OZ153" s="10"/>
      <c r="PA153" s="20"/>
      <c r="PB153" s="20"/>
      <c r="PC153" s="20"/>
      <c r="PD153" s="20"/>
      <c r="PE153" s="10"/>
      <c r="PF153" s="10"/>
      <c r="PG153" s="10"/>
      <c r="PH153" s="20"/>
      <c r="PI153" s="20"/>
      <c r="PJ153" s="20"/>
      <c r="PK153" s="20"/>
      <c r="PL153" s="10"/>
      <c r="PM153" s="10"/>
    </row>
    <row r="154" spans="1:429" s="1" customFormat="1" ht="26" customHeight="1" outlineLevel="1">
      <c r="B154" s="471"/>
      <c r="C154" s="7"/>
      <c r="D154" s="19"/>
      <c r="E154" s="19"/>
      <c r="F154" s="19"/>
      <c r="G154" s="19"/>
      <c r="I154" s="8"/>
      <c r="J154" s="7"/>
      <c r="K154" s="19"/>
      <c r="L154" s="19"/>
      <c r="M154" s="19"/>
      <c r="N154" s="19"/>
      <c r="P154" s="8"/>
      <c r="Q154" s="7"/>
      <c r="R154" s="19"/>
      <c r="S154" s="19"/>
      <c r="T154" s="19"/>
      <c r="U154" s="19"/>
      <c r="W154" s="8"/>
      <c r="X154" s="7"/>
      <c r="Y154" s="19"/>
      <c r="Z154" s="19"/>
      <c r="AA154" s="19"/>
      <c r="AB154" s="19"/>
      <c r="AD154" s="8"/>
      <c r="AE154" s="7"/>
      <c r="AF154" s="19"/>
      <c r="AG154" s="19"/>
      <c r="AH154" s="19"/>
      <c r="AI154" s="19"/>
      <c r="AK154" s="8"/>
      <c r="AL154" s="7"/>
      <c r="AM154" s="19"/>
      <c r="AN154" s="19"/>
      <c r="AO154" s="19"/>
      <c r="AP154" s="19"/>
      <c r="AR154" s="8"/>
      <c r="AS154" s="7"/>
      <c r="AT154" s="19"/>
      <c r="AU154" s="19"/>
      <c r="AV154" s="19"/>
      <c r="AW154" s="19"/>
      <c r="AY154" s="8"/>
      <c r="AZ154" s="7"/>
      <c r="BA154" s="19"/>
      <c r="BB154" s="19"/>
      <c r="BC154" s="19"/>
      <c r="BD154" s="19"/>
      <c r="BF154" s="8"/>
      <c r="BG154" s="7"/>
      <c r="BH154" s="19"/>
      <c r="BI154" s="19"/>
      <c r="BJ154" s="19"/>
      <c r="BK154" s="19"/>
      <c r="BM154" s="8"/>
      <c r="BN154" s="7"/>
      <c r="BO154" s="19"/>
      <c r="BP154" s="19"/>
      <c r="BQ154" s="19"/>
      <c r="BR154" s="19"/>
      <c r="BT154" s="8"/>
      <c r="BU154" s="7"/>
      <c r="BV154" s="19"/>
      <c r="BW154" s="19"/>
      <c r="BX154" s="19"/>
      <c r="BY154" s="19"/>
      <c r="CA154" s="8"/>
      <c r="CB154" s="7"/>
      <c r="CC154" s="19"/>
      <c r="CD154" s="19"/>
      <c r="CE154" s="19"/>
      <c r="CF154" s="19"/>
      <c r="CH154" s="8"/>
      <c r="CI154" s="7"/>
      <c r="CJ154" s="19"/>
      <c r="CK154" s="19"/>
      <c r="CL154" s="19"/>
      <c r="CM154" s="19"/>
      <c r="CO154" s="8"/>
      <c r="CP154" s="7"/>
      <c r="CQ154" s="19"/>
      <c r="CR154" s="19"/>
      <c r="CS154" s="19"/>
      <c r="CT154" s="19"/>
      <c r="CV154" s="8"/>
      <c r="CW154" s="7"/>
      <c r="CX154" s="19"/>
      <c r="CY154" s="19"/>
      <c r="CZ154" s="19"/>
      <c r="DA154" s="19"/>
      <c r="DC154" s="8"/>
      <c r="DD154" s="7"/>
      <c r="DE154" s="19"/>
      <c r="DF154" s="19"/>
      <c r="DG154" s="19"/>
      <c r="DH154" s="19"/>
      <c r="DJ154" s="8"/>
      <c r="DK154" s="7" t="s">
        <v>107</v>
      </c>
      <c r="DL154" s="19" t="s">
        <v>500</v>
      </c>
      <c r="DM154" s="19"/>
      <c r="DN154" s="19"/>
      <c r="DO154" s="19"/>
      <c r="DP154" s="476" t="s">
        <v>503</v>
      </c>
      <c r="DQ154" s="8" t="s">
        <v>501</v>
      </c>
      <c r="DR154" s="7"/>
      <c r="DS154" s="19" t="s">
        <v>180</v>
      </c>
      <c r="DT154" s="19"/>
      <c r="DU154" s="19"/>
      <c r="DV154" s="19"/>
      <c r="DX154" s="8" t="s">
        <v>501</v>
      </c>
      <c r="DY154" s="7"/>
      <c r="DZ154" s="19" t="s">
        <v>180</v>
      </c>
      <c r="EA154" s="19"/>
      <c r="EB154" s="19"/>
      <c r="EC154" s="19"/>
      <c r="EE154" s="8" t="s">
        <v>501</v>
      </c>
      <c r="EF154" s="7" t="s">
        <v>107</v>
      </c>
      <c r="EG154" s="19" t="s">
        <v>506</v>
      </c>
      <c r="EH154" s="19"/>
      <c r="EI154" s="19"/>
      <c r="EJ154" s="19"/>
      <c r="EK154" s="476" t="s">
        <v>503</v>
      </c>
      <c r="EL154" s="8" t="s">
        <v>501</v>
      </c>
      <c r="EM154" s="7"/>
      <c r="EN154" s="19" t="s">
        <v>180</v>
      </c>
      <c r="EO154" s="19"/>
      <c r="EP154" s="19"/>
      <c r="EQ154" s="19"/>
      <c r="ES154" s="8" t="s">
        <v>501</v>
      </c>
      <c r="ET154" s="7"/>
      <c r="EU154" s="19" t="s">
        <v>180</v>
      </c>
      <c r="EV154" s="19"/>
      <c r="EW154" s="19"/>
      <c r="EX154" s="19"/>
      <c r="EZ154" s="8" t="s">
        <v>501</v>
      </c>
      <c r="FA154" s="7"/>
      <c r="FB154" s="19"/>
      <c r="FC154" s="19"/>
      <c r="FD154" s="19"/>
      <c r="FE154" s="19"/>
      <c r="FG154" s="8"/>
      <c r="FH154" s="7"/>
      <c r="FI154" s="19"/>
      <c r="FJ154" s="19"/>
      <c r="FK154" s="19"/>
      <c r="FL154" s="19"/>
      <c r="FN154" s="8"/>
      <c r="FO154" s="7"/>
      <c r="FP154" s="19"/>
      <c r="FQ154" s="19"/>
      <c r="FR154" s="19"/>
      <c r="FS154" s="19"/>
      <c r="FU154" s="8"/>
      <c r="FV154" s="7"/>
      <c r="FW154" s="19"/>
      <c r="FX154" s="19"/>
      <c r="FY154" s="19"/>
      <c r="FZ154" s="19"/>
      <c r="GB154" s="8"/>
      <c r="GC154" s="7"/>
      <c r="GD154" s="19"/>
      <c r="GE154" s="19"/>
      <c r="GF154" s="19"/>
      <c r="GG154" s="19"/>
      <c r="GI154" s="8"/>
      <c r="GJ154" s="7"/>
      <c r="GK154" s="19"/>
      <c r="GL154" s="19"/>
      <c r="GM154" s="19"/>
      <c r="GN154" s="19"/>
      <c r="GP154" s="8"/>
      <c r="GQ154" s="7"/>
      <c r="GR154" s="19"/>
      <c r="GS154" s="19"/>
      <c r="GT154" s="19"/>
      <c r="GU154" s="19"/>
      <c r="GW154" s="8"/>
      <c r="GX154" s="7"/>
      <c r="GY154" s="19"/>
      <c r="GZ154" s="19"/>
      <c r="HA154" s="19"/>
      <c r="HB154" s="19"/>
      <c r="HD154" s="8"/>
      <c r="HE154" s="7"/>
      <c r="HF154" s="19"/>
      <c r="HG154" s="19"/>
      <c r="HH154" s="19"/>
      <c r="HI154" s="19"/>
      <c r="HK154" s="8"/>
      <c r="HL154" s="7"/>
      <c r="HM154" s="19"/>
      <c r="HN154" s="19"/>
      <c r="HO154" s="19"/>
      <c r="HP154" s="19"/>
      <c r="HR154" s="8"/>
      <c r="HS154" s="7"/>
      <c r="HT154" s="19"/>
      <c r="HU154" s="19"/>
      <c r="HV154" s="19"/>
      <c r="HW154" s="19"/>
      <c r="HY154" s="8"/>
      <c r="HZ154" s="7"/>
      <c r="IA154" s="19"/>
      <c r="IB154" s="19"/>
      <c r="IC154" s="19"/>
      <c r="ID154" s="19"/>
      <c r="IF154" s="8"/>
      <c r="IG154" s="7"/>
      <c r="IH154" s="19"/>
      <c r="II154" s="19"/>
      <c r="IJ154" s="19"/>
      <c r="IK154" s="19"/>
      <c r="IM154" s="8"/>
      <c r="IN154" s="7"/>
      <c r="IO154" s="19"/>
      <c r="IP154" s="19"/>
      <c r="IQ154" s="19"/>
      <c r="IR154" s="19"/>
      <c r="IT154" s="8"/>
      <c r="IU154" s="7"/>
      <c r="IV154" s="19"/>
      <c r="IW154" s="19"/>
      <c r="IX154" s="19"/>
      <c r="IY154" s="19"/>
      <c r="JA154" s="8"/>
      <c r="JB154" s="7"/>
      <c r="JC154" s="19"/>
      <c r="JD154" s="19"/>
      <c r="JE154" s="19"/>
      <c r="JF154" s="19"/>
      <c r="JH154" s="8"/>
      <c r="JI154" s="7"/>
      <c r="JJ154" s="19"/>
      <c r="JK154" s="19"/>
      <c r="JL154" s="19"/>
      <c r="JM154" s="19"/>
      <c r="JO154" s="8"/>
      <c r="JP154" s="7"/>
      <c r="JQ154" s="19"/>
      <c r="JR154" s="19"/>
      <c r="JS154" s="19"/>
      <c r="JT154" s="19"/>
      <c r="JV154" s="8"/>
      <c r="JW154" s="7"/>
      <c r="JX154" s="19"/>
      <c r="JY154" s="19"/>
      <c r="JZ154" s="19"/>
      <c r="KA154" s="19"/>
      <c r="KC154" s="8"/>
      <c r="KD154" s="7"/>
      <c r="KE154" s="19"/>
      <c r="KF154" s="19"/>
      <c r="KG154" s="19"/>
      <c r="KH154" s="19"/>
      <c r="KJ154" s="8"/>
      <c r="KK154" s="7"/>
      <c r="KL154" s="19"/>
      <c r="KM154" s="19"/>
      <c r="KN154" s="19"/>
      <c r="KO154" s="19"/>
      <c r="KQ154" s="8"/>
      <c r="KR154" s="7"/>
      <c r="KS154" s="19"/>
      <c r="KT154" s="19"/>
      <c r="KU154" s="19"/>
      <c r="KV154" s="19"/>
      <c r="KX154" s="8"/>
      <c r="KY154" s="7"/>
      <c r="KZ154" s="19"/>
      <c r="LA154" s="19"/>
      <c r="LB154" s="19"/>
      <c r="LC154" s="19"/>
      <c r="LE154" s="8"/>
      <c r="LF154" s="7"/>
      <c r="LG154" s="19"/>
      <c r="LH154" s="19"/>
      <c r="LI154" s="19"/>
      <c r="LJ154" s="19"/>
      <c r="LL154" s="8"/>
      <c r="LM154" s="7"/>
      <c r="LN154" s="19"/>
      <c r="LO154" s="19"/>
      <c r="LP154" s="19"/>
      <c r="LQ154" s="19"/>
      <c r="LS154" s="8"/>
      <c r="LT154" s="7"/>
      <c r="LU154" s="19"/>
      <c r="LV154" s="19"/>
      <c r="LW154" s="19"/>
      <c r="LX154" s="19"/>
      <c r="LZ154" s="8"/>
      <c r="MA154" s="7"/>
      <c r="MB154" s="19"/>
      <c r="MC154" s="19"/>
      <c r="MD154" s="19"/>
      <c r="ME154" s="19"/>
      <c r="MG154" s="8"/>
      <c r="MH154" s="7"/>
      <c r="MI154" s="19"/>
      <c r="MJ154" s="19"/>
      <c r="MK154" s="19"/>
      <c r="ML154" s="19"/>
      <c r="MN154" s="8"/>
      <c r="MO154" s="7"/>
      <c r="MP154" s="19"/>
      <c r="MQ154" s="19"/>
      <c r="MR154" s="19"/>
      <c r="MS154" s="19"/>
      <c r="MU154" s="8"/>
      <c r="MV154" s="7"/>
      <c r="MW154" s="19"/>
      <c r="MX154" s="19"/>
      <c r="MY154" s="19"/>
      <c r="MZ154" s="19"/>
      <c r="NB154" s="8"/>
      <c r="NC154" s="7"/>
      <c r="ND154" s="19"/>
      <c r="NE154" s="19"/>
      <c r="NF154" s="19"/>
      <c r="NG154" s="19"/>
      <c r="NI154" s="8"/>
      <c r="NJ154" s="7"/>
      <c r="NK154" s="19"/>
      <c r="NL154" s="19"/>
      <c r="NM154" s="19"/>
      <c r="NN154" s="19"/>
      <c r="NP154" s="8"/>
      <c r="NQ154" s="7"/>
      <c r="NR154" s="19"/>
      <c r="NS154" s="19"/>
      <c r="NT154" s="19"/>
      <c r="NU154" s="19"/>
      <c r="NW154" s="8"/>
      <c r="NX154" s="7"/>
      <c r="NY154" s="19"/>
      <c r="NZ154" s="19"/>
      <c r="OA154" s="19"/>
      <c r="OB154" s="19"/>
      <c r="OD154" s="8"/>
      <c r="OE154" s="7"/>
      <c r="OF154" s="19"/>
      <c r="OG154" s="19"/>
      <c r="OH154" s="19"/>
      <c r="OI154" s="19"/>
      <c r="OK154" s="8"/>
      <c r="OL154" s="7"/>
      <c r="OM154" s="19"/>
      <c r="ON154" s="19"/>
      <c r="OO154" s="19"/>
      <c r="OP154" s="19"/>
      <c r="OR154" s="8"/>
      <c r="OS154" s="7"/>
      <c r="OT154" s="19"/>
      <c r="OU154" s="19"/>
      <c r="OV154" s="19"/>
      <c r="OW154" s="19"/>
      <c r="OY154" s="8"/>
      <c r="OZ154" s="7"/>
      <c r="PA154" s="19"/>
      <c r="PB154" s="19"/>
      <c r="PC154" s="19"/>
      <c r="PD154" s="19"/>
      <c r="PF154" s="8"/>
      <c r="PG154" s="7"/>
      <c r="PH154" s="19"/>
      <c r="PI154" s="19"/>
      <c r="PJ154" s="19"/>
      <c r="PK154" s="19"/>
      <c r="PM154" s="8"/>
    </row>
    <row r="155" spans="1:429" s="1" customFormat="1" ht="26" customHeight="1" outlineLevel="1">
      <c r="B155" s="471"/>
      <c r="C155" s="7"/>
      <c r="D155" s="19"/>
      <c r="E155" s="19"/>
      <c r="F155" s="19"/>
      <c r="G155" s="19"/>
      <c r="I155" s="8"/>
      <c r="J155" s="7"/>
      <c r="K155" s="19"/>
      <c r="L155" s="19"/>
      <c r="M155" s="19"/>
      <c r="N155" s="19"/>
      <c r="P155" s="8"/>
      <c r="Q155" s="7"/>
      <c r="R155" s="19"/>
      <c r="S155" s="19"/>
      <c r="T155" s="19"/>
      <c r="U155" s="19"/>
      <c r="W155" s="8"/>
      <c r="X155" s="7"/>
      <c r="Y155" s="19"/>
      <c r="Z155" s="19"/>
      <c r="AA155" s="19"/>
      <c r="AB155" s="19"/>
      <c r="AD155" s="8"/>
      <c r="AE155" s="7"/>
      <c r="AF155" s="19"/>
      <c r="AG155" s="19"/>
      <c r="AH155" s="19"/>
      <c r="AI155" s="19"/>
      <c r="AK155" s="8"/>
      <c r="AL155" s="7"/>
      <c r="AM155" s="19"/>
      <c r="AN155" s="19"/>
      <c r="AO155" s="19"/>
      <c r="AP155" s="19"/>
      <c r="AR155" s="8"/>
      <c r="AS155" s="7"/>
      <c r="AT155" s="19"/>
      <c r="AU155" s="19"/>
      <c r="AV155" s="19"/>
      <c r="AW155" s="19"/>
      <c r="AY155" s="8"/>
      <c r="AZ155" s="7"/>
      <c r="BA155" s="19"/>
      <c r="BB155" s="19"/>
      <c r="BC155" s="19"/>
      <c r="BD155" s="19"/>
      <c r="BF155" s="8"/>
      <c r="BG155" s="7"/>
      <c r="BH155" s="19"/>
      <c r="BI155" s="19"/>
      <c r="BJ155" s="19"/>
      <c r="BK155" s="19"/>
      <c r="BM155" s="8"/>
      <c r="BN155" s="7"/>
      <c r="BO155" s="19"/>
      <c r="BP155" s="19"/>
      <c r="BQ155" s="19"/>
      <c r="BR155" s="19"/>
      <c r="BT155" s="8"/>
      <c r="BU155" s="7"/>
      <c r="BV155" s="19"/>
      <c r="BW155" s="19"/>
      <c r="BX155" s="19"/>
      <c r="BY155" s="19"/>
      <c r="CA155" s="8"/>
      <c r="CB155" s="7"/>
      <c r="CC155" s="19"/>
      <c r="CD155" s="19"/>
      <c r="CE155" s="19"/>
      <c r="CF155" s="19"/>
      <c r="CH155" s="8"/>
      <c r="CI155" s="7"/>
      <c r="CJ155" s="19"/>
      <c r="CK155" s="19"/>
      <c r="CL155" s="19"/>
      <c r="CM155" s="19"/>
      <c r="CO155" s="8"/>
      <c r="CP155" s="7"/>
      <c r="CQ155" s="19"/>
      <c r="CR155" s="19"/>
      <c r="CS155" s="19"/>
      <c r="CT155" s="19"/>
      <c r="CV155" s="8"/>
      <c r="CW155" s="7"/>
      <c r="CX155" s="19"/>
      <c r="CY155" s="19"/>
      <c r="CZ155" s="19"/>
      <c r="DA155" s="19"/>
      <c r="DC155" s="8"/>
      <c r="DD155" s="7"/>
      <c r="DE155" s="19"/>
      <c r="DF155" s="19"/>
      <c r="DG155" s="19"/>
      <c r="DH155" s="19"/>
      <c r="DJ155" s="8"/>
      <c r="DK155" s="7" t="s">
        <v>108</v>
      </c>
      <c r="DL155" s="19" t="s">
        <v>502</v>
      </c>
      <c r="DM155" s="19"/>
      <c r="DN155" s="19"/>
      <c r="DO155" s="19"/>
      <c r="DP155" s="476" t="s">
        <v>503</v>
      </c>
      <c r="DQ155" s="8" t="s">
        <v>501</v>
      </c>
      <c r="DR155" s="7"/>
      <c r="DS155" s="19" t="s">
        <v>180</v>
      </c>
      <c r="DT155" s="19"/>
      <c r="DU155" s="19"/>
      <c r="DV155" s="19"/>
      <c r="DX155" s="8" t="s">
        <v>501</v>
      </c>
      <c r="DY155" s="7"/>
      <c r="DZ155" s="19" t="s">
        <v>180</v>
      </c>
      <c r="EA155" s="19"/>
      <c r="EB155" s="19"/>
      <c r="EC155" s="19"/>
      <c r="EE155" s="8" t="s">
        <v>501</v>
      </c>
      <c r="EF155" s="7" t="s">
        <v>108</v>
      </c>
      <c r="EG155" s="19" t="s">
        <v>507</v>
      </c>
      <c r="EH155" s="19"/>
      <c r="EI155" s="19"/>
      <c r="EJ155" s="19"/>
      <c r="EK155" s="476" t="s">
        <v>503</v>
      </c>
      <c r="EL155" s="8" t="s">
        <v>501</v>
      </c>
      <c r="EM155" s="7"/>
      <c r="EN155" s="19" t="s">
        <v>180</v>
      </c>
      <c r="EO155" s="19"/>
      <c r="EP155" s="19"/>
      <c r="EQ155" s="19"/>
      <c r="ES155" s="8" t="s">
        <v>501</v>
      </c>
      <c r="ET155" s="7"/>
      <c r="EU155" s="19" t="s">
        <v>180</v>
      </c>
      <c r="EV155" s="19"/>
      <c r="EW155" s="19"/>
      <c r="EX155" s="19"/>
      <c r="EZ155" s="8" t="s">
        <v>501</v>
      </c>
      <c r="FA155" s="7"/>
      <c r="FB155" s="19"/>
      <c r="FC155" s="19"/>
      <c r="FD155" s="19"/>
      <c r="FE155" s="19"/>
      <c r="FG155" s="8"/>
      <c r="FH155" s="7"/>
      <c r="FI155" s="19"/>
      <c r="FJ155" s="19"/>
      <c r="FK155" s="19"/>
      <c r="FL155" s="19"/>
      <c r="FN155" s="8"/>
      <c r="FO155" s="7"/>
      <c r="FP155" s="19"/>
      <c r="FQ155" s="19"/>
      <c r="FR155" s="19"/>
      <c r="FS155" s="19"/>
      <c r="FU155" s="8"/>
      <c r="FV155" s="7"/>
      <c r="FW155" s="19"/>
      <c r="FX155" s="19"/>
      <c r="FY155" s="19"/>
      <c r="FZ155" s="19"/>
      <c r="GB155" s="8"/>
      <c r="GC155" s="7"/>
      <c r="GD155" s="19"/>
      <c r="GE155" s="19"/>
      <c r="GF155" s="19"/>
      <c r="GG155" s="19"/>
      <c r="GI155" s="8"/>
      <c r="GJ155" s="7"/>
      <c r="GK155" s="19"/>
      <c r="GL155" s="19"/>
      <c r="GM155" s="19"/>
      <c r="GN155" s="19"/>
      <c r="GP155" s="8"/>
      <c r="GQ155" s="7"/>
      <c r="GR155" s="19"/>
      <c r="GS155" s="19"/>
      <c r="GT155" s="19"/>
      <c r="GU155" s="19"/>
      <c r="GW155" s="8"/>
      <c r="GX155" s="7"/>
      <c r="GY155" s="19"/>
      <c r="GZ155" s="19"/>
      <c r="HA155" s="19"/>
      <c r="HB155" s="19"/>
      <c r="HD155" s="8"/>
      <c r="HE155" s="7"/>
      <c r="HF155" s="19"/>
      <c r="HG155" s="19"/>
      <c r="HH155" s="19"/>
      <c r="HI155" s="19"/>
      <c r="HK155" s="8"/>
      <c r="HL155" s="7"/>
      <c r="HM155" s="19"/>
      <c r="HN155" s="19"/>
      <c r="HO155" s="19"/>
      <c r="HP155" s="19"/>
      <c r="HR155" s="8"/>
      <c r="HS155" s="7"/>
      <c r="HT155" s="19"/>
      <c r="HU155" s="19"/>
      <c r="HV155" s="19"/>
      <c r="HW155" s="19"/>
      <c r="HY155" s="8"/>
      <c r="HZ155" s="7"/>
      <c r="IA155" s="19"/>
      <c r="IB155" s="19"/>
      <c r="IC155" s="19"/>
      <c r="ID155" s="19"/>
      <c r="IF155" s="8"/>
      <c r="IG155" s="7"/>
      <c r="IH155" s="19"/>
      <c r="II155" s="19"/>
      <c r="IJ155" s="19"/>
      <c r="IK155" s="19"/>
      <c r="IM155" s="8"/>
      <c r="IN155" s="7"/>
      <c r="IO155" s="19"/>
      <c r="IP155" s="19"/>
      <c r="IQ155" s="19"/>
      <c r="IR155" s="19"/>
      <c r="IT155" s="8"/>
      <c r="IU155" s="7"/>
      <c r="IV155" s="19"/>
      <c r="IW155" s="19"/>
      <c r="IX155" s="19"/>
      <c r="IY155" s="19"/>
      <c r="JA155" s="8"/>
      <c r="JB155" s="7"/>
      <c r="JC155" s="19"/>
      <c r="JD155" s="19"/>
      <c r="JE155" s="19"/>
      <c r="JF155" s="19"/>
      <c r="JH155" s="8"/>
      <c r="JI155" s="7"/>
      <c r="JJ155" s="19"/>
      <c r="JK155" s="19"/>
      <c r="JL155" s="19"/>
      <c r="JM155" s="19"/>
      <c r="JO155" s="8"/>
      <c r="JP155" s="7"/>
      <c r="JQ155" s="19"/>
      <c r="JR155" s="19"/>
      <c r="JS155" s="19"/>
      <c r="JT155" s="19"/>
      <c r="JV155" s="8"/>
      <c r="JW155" s="7"/>
      <c r="JX155" s="19"/>
      <c r="JY155" s="19"/>
      <c r="JZ155" s="19"/>
      <c r="KA155" s="19"/>
      <c r="KC155" s="8"/>
      <c r="KD155" s="7"/>
      <c r="KE155" s="19"/>
      <c r="KF155" s="19"/>
      <c r="KG155" s="19"/>
      <c r="KH155" s="19"/>
      <c r="KJ155" s="8"/>
      <c r="KK155" s="7"/>
      <c r="KL155" s="19"/>
      <c r="KM155" s="19"/>
      <c r="KN155" s="19"/>
      <c r="KO155" s="19"/>
      <c r="KQ155" s="8"/>
      <c r="KR155" s="7"/>
      <c r="KS155" s="19"/>
      <c r="KT155" s="19"/>
      <c r="KU155" s="19"/>
      <c r="KV155" s="19"/>
      <c r="KX155" s="8"/>
      <c r="KY155" s="7"/>
      <c r="KZ155" s="19"/>
      <c r="LA155" s="19"/>
      <c r="LB155" s="19"/>
      <c r="LC155" s="19"/>
      <c r="LE155" s="8"/>
      <c r="LF155" s="7"/>
      <c r="LG155" s="19"/>
      <c r="LH155" s="19"/>
      <c r="LI155" s="19"/>
      <c r="LJ155" s="19"/>
      <c r="LL155" s="8"/>
      <c r="LM155" s="7"/>
      <c r="LN155" s="19"/>
      <c r="LO155" s="19"/>
      <c r="LP155" s="19"/>
      <c r="LQ155" s="19"/>
      <c r="LS155" s="8"/>
      <c r="LT155" s="7"/>
      <c r="LU155" s="19"/>
      <c r="LV155" s="19"/>
      <c r="LW155" s="19"/>
      <c r="LX155" s="19"/>
      <c r="LZ155" s="8"/>
      <c r="MA155" s="7"/>
      <c r="MB155" s="19"/>
      <c r="MC155" s="19"/>
      <c r="MD155" s="19"/>
      <c r="ME155" s="19"/>
      <c r="MG155" s="8"/>
      <c r="MH155" s="7"/>
      <c r="MI155" s="19"/>
      <c r="MJ155" s="19"/>
      <c r="MK155" s="19"/>
      <c r="ML155" s="19"/>
      <c r="MN155" s="8"/>
      <c r="MO155" s="7"/>
      <c r="MP155" s="19"/>
      <c r="MQ155" s="19"/>
      <c r="MR155" s="19"/>
      <c r="MS155" s="19"/>
      <c r="MU155" s="8"/>
      <c r="MV155" s="7"/>
      <c r="MW155" s="19"/>
      <c r="MX155" s="19"/>
      <c r="MY155" s="19"/>
      <c r="MZ155" s="19"/>
      <c r="NB155" s="8"/>
      <c r="NC155" s="7"/>
      <c r="ND155" s="19"/>
      <c r="NE155" s="19"/>
      <c r="NF155" s="19"/>
      <c r="NG155" s="19"/>
      <c r="NI155" s="8"/>
      <c r="NJ155" s="7"/>
      <c r="NK155" s="19"/>
      <c r="NL155" s="19"/>
      <c r="NM155" s="19"/>
      <c r="NN155" s="19"/>
      <c r="NP155" s="8"/>
      <c r="NQ155" s="7"/>
      <c r="NR155" s="19"/>
      <c r="NS155" s="19"/>
      <c r="NT155" s="19"/>
      <c r="NU155" s="19"/>
      <c r="NW155" s="8"/>
      <c r="NX155" s="7"/>
      <c r="NY155" s="19"/>
      <c r="NZ155" s="19"/>
      <c r="OA155" s="19"/>
      <c r="OB155" s="19"/>
      <c r="OD155" s="8"/>
      <c r="OE155" s="7"/>
      <c r="OF155" s="19"/>
      <c r="OG155" s="19"/>
      <c r="OH155" s="19"/>
      <c r="OI155" s="19"/>
      <c r="OK155" s="8"/>
      <c r="OL155" s="7"/>
      <c r="OM155" s="19"/>
      <c r="ON155" s="19"/>
      <c r="OO155" s="19"/>
      <c r="OP155" s="19"/>
      <c r="OR155" s="8"/>
      <c r="OS155" s="7"/>
      <c r="OT155" s="19"/>
      <c r="OU155" s="19"/>
      <c r="OV155" s="19"/>
      <c r="OW155" s="19"/>
      <c r="OY155" s="8"/>
      <c r="OZ155" s="7"/>
      <c r="PA155" s="19"/>
      <c r="PB155" s="19"/>
      <c r="PC155" s="19"/>
      <c r="PD155" s="19"/>
      <c r="PF155" s="8"/>
      <c r="PG155" s="7"/>
      <c r="PH155" s="19"/>
      <c r="PI155" s="19"/>
      <c r="PJ155" s="19"/>
      <c r="PK155" s="19"/>
      <c r="PM155" s="8"/>
    </row>
    <row r="156" spans="1:429" s="1" customFormat="1" ht="26" customHeight="1" outlineLevel="1">
      <c r="B156" s="471"/>
      <c r="C156" s="7"/>
      <c r="D156" s="19"/>
      <c r="E156" s="19"/>
      <c r="F156" s="19"/>
      <c r="G156" s="19"/>
      <c r="I156" s="8"/>
      <c r="J156" s="7"/>
      <c r="K156" s="19"/>
      <c r="L156" s="19"/>
      <c r="M156" s="19"/>
      <c r="N156" s="19"/>
      <c r="P156" s="8"/>
      <c r="Q156" s="7"/>
      <c r="R156" s="19"/>
      <c r="S156" s="19"/>
      <c r="T156" s="19"/>
      <c r="U156" s="19"/>
      <c r="W156" s="8"/>
      <c r="X156" s="7"/>
      <c r="Y156" s="19"/>
      <c r="Z156" s="19"/>
      <c r="AA156" s="19"/>
      <c r="AB156" s="19"/>
      <c r="AD156" s="8"/>
      <c r="AE156" s="7"/>
      <c r="AF156" s="19"/>
      <c r="AG156" s="19"/>
      <c r="AH156" s="19"/>
      <c r="AI156" s="19"/>
      <c r="AK156" s="8"/>
      <c r="AL156" s="7"/>
      <c r="AM156" s="19"/>
      <c r="AN156" s="19"/>
      <c r="AO156" s="19"/>
      <c r="AP156" s="19"/>
      <c r="AR156" s="8"/>
      <c r="AS156" s="7"/>
      <c r="AT156" s="19"/>
      <c r="AU156" s="19"/>
      <c r="AV156" s="19"/>
      <c r="AW156" s="19"/>
      <c r="AY156" s="8"/>
      <c r="AZ156" s="7"/>
      <c r="BA156" s="19"/>
      <c r="BB156" s="19"/>
      <c r="BC156" s="19"/>
      <c r="BD156" s="19"/>
      <c r="BF156" s="8"/>
      <c r="BG156" s="7"/>
      <c r="BH156" s="19"/>
      <c r="BI156" s="19"/>
      <c r="BJ156" s="19"/>
      <c r="BK156" s="19"/>
      <c r="BM156" s="8"/>
      <c r="BN156" s="7"/>
      <c r="BO156" s="19"/>
      <c r="BP156" s="19"/>
      <c r="BQ156" s="19"/>
      <c r="BR156" s="19"/>
      <c r="BT156" s="8"/>
      <c r="BU156" s="7"/>
      <c r="BV156" s="19"/>
      <c r="BW156" s="19"/>
      <c r="BX156" s="19"/>
      <c r="BY156" s="19"/>
      <c r="CA156" s="8"/>
      <c r="CB156" s="7"/>
      <c r="CC156" s="19"/>
      <c r="CD156" s="19"/>
      <c r="CE156" s="19"/>
      <c r="CF156" s="19"/>
      <c r="CH156" s="8"/>
      <c r="CI156" s="7"/>
      <c r="CJ156" s="19"/>
      <c r="CK156" s="19"/>
      <c r="CL156" s="19"/>
      <c r="CM156" s="19"/>
      <c r="CO156" s="8"/>
      <c r="CP156" s="7"/>
      <c r="CQ156" s="19"/>
      <c r="CR156" s="19"/>
      <c r="CS156" s="19"/>
      <c r="CT156" s="19"/>
      <c r="CV156" s="8"/>
      <c r="CW156" s="7"/>
      <c r="CX156" s="19"/>
      <c r="CY156" s="19"/>
      <c r="CZ156" s="19"/>
      <c r="DA156" s="19"/>
      <c r="DC156" s="8"/>
      <c r="DD156" s="7"/>
      <c r="DE156" s="19"/>
      <c r="DF156" s="19"/>
      <c r="DG156" s="19"/>
      <c r="DH156" s="19"/>
      <c r="DJ156" s="8"/>
      <c r="DK156" s="7" t="s">
        <v>109</v>
      </c>
      <c r="DL156" s="19" t="s">
        <v>504</v>
      </c>
      <c r="DM156" s="19"/>
      <c r="DN156" s="19"/>
      <c r="DO156" s="19"/>
      <c r="DP156" s="476" t="s">
        <v>503</v>
      </c>
      <c r="DQ156" s="8" t="s">
        <v>501</v>
      </c>
      <c r="DR156" s="7"/>
      <c r="DS156" s="19" t="s">
        <v>180</v>
      </c>
      <c r="DT156" s="19"/>
      <c r="DU156" s="19"/>
      <c r="DV156" s="19"/>
      <c r="DX156" s="8" t="s">
        <v>501</v>
      </c>
      <c r="DY156" s="7"/>
      <c r="DZ156" s="19" t="s">
        <v>180</v>
      </c>
      <c r="EA156" s="19"/>
      <c r="EB156" s="19"/>
      <c r="EC156" s="19"/>
      <c r="EE156" s="8" t="s">
        <v>501</v>
      </c>
      <c r="EF156" s="7" t="s">
        <v>109</v>
      </c>
      <c r="EG156" s="19" t="s">
        <v>509</v>
      </c>
      <c r="EH156" s="19"/>
      <c r="EI156" s="19"/>
      <c r="EJ156" s="19"/>
      <c r="EK156" s="476" t="s">
        <v>503</v>
      </c>
      <c r="EL156" s="8" t="s">
        <v>501</v>
      </c>
      <c r="EM156" s="7"/>
      <c r="EN156" s="19" t="s">
        <v>180</v>
      </c>
      <c r="EO156" s="19"/>
      <c r="EP156" s="19"/>
      <c r="EQ156" s="19"/>
      <c r="ES156" s="8" t="s">
        <v>501</v>
      </c>
      <c r="ET156" s="7"/>
      <c r="EU156" s="19" t="s">
        <v>180</v>
      </c>
      <c r="EV156" s="19"/>
      <c r="EW156" s="19"/>
      <c r="EX156" s="19"/>
      <c r="EZ156" s="8" t="s">
        <v>501</v>
      </c>
      <c r="FA156" s="7"/>
      <c r="FB156" s="19"/>
      <c r="FC156" s="19"/>
      <c r="FD156" s="19"/>
      <c r="FE156" s="19"/>
      <c r="FG156" s="8"/>
      <c r="FH156" s="7"/>
      <c r="FI156" s="19"/>
      <c r="FJ156" s="19"/>
      <c r="FK156" s="19"/>
      <c r="FL156" s="19"/>
      <c r="FN156" s="8"/>
      <c r="FO156" s="7"/>
      <c r="FP156" s="19"/>
      <c r="FQ156" s="19"/>
      <c r="FR156" s="19"/>
      <c r="FS156" s="19"/>
      <c r="FU156" s="8"/>
      <c r="FV156" s="7"/>
      <c r="FW156" s="19"/>
      <c r="FX156" s="19"/>
      <c r="FY156" s="19"/>
      <c r="FZ156" s="19"/>
      <c r="GB156" s="8"/>
      <c r="GC156" s="7"/>
      <c r="GD156" s="19"/>
      <c r="GE156" s="19"/>
      <c r="GF156" s="19"/>
      <c r="GG156" s="19"/>
      <c r="GI156" s="8"/>
      <c r="GJ156" s="7"/>
      <c r="GK156" s="19"/>
      <c r="GL156" s="19"/>
      <c r="GM156" s="19"/>
      <c r="GN156" s="19"/>
      <c r="GP156" s="8"/>
      <c r="GQ156" s="7"/>
      <c r="GR156" s="19"/>
      <c r="GS156" s="19"/>
      <c r="GT156" s="19"/>
      <c r="GU156" s="19"/>
      <c r="GW156" s="8"/>
      <c r="GX156" s="7"/>
      <c r="GY156" s="19"/>
      <c r="GZ156" s="19"/>
      <c r="HA156" s="19"/>
      <c r="HB156" s="19"/>
      <c r="HD156" s="8"/>
      <c r="HE156" s="7"/>
      <c r="HF156" s="19"/>
      <c r="HG156" s="19"/>
      <c r="HH156" s="19"/>
      <c r="HI156" s="19"/>
      <c r="HK156" s="8"/>
      <c r="HL156" s="7"/>
      <c r="HM156" s="19"/>
      <c r="HN156" s="19"/>
      <c r="HO156" s="19"/>
      <c r="HP156" s="19"/>
      <c r="HR156" s="8"/>
      <c r="HS156" s="7"/>
      <c r="HT156" s="19"/>
      <c r="HU156" s="19"/>
      <c r="HV156" s="19"/>
      <c r="HW156" s="19"/>
      <c r="HY156" s="8"/>
      <c r="HZ156" s="7"/>
      <c r="IA156" s="19"/>
      <c r="IB156" s="19"/>
      <c r="IC156" s="19"/>
      <c r="ID156" s="19"/>
      <c r="IF156" s="8"/>
      <c r="IG156" s="7"/>
      <c r="IH156" s="19"/>
      <c r="II156" s="19"/>
      <c r="IJ156" s="19"/>
      <c r="IK156" s="19"/>
      <c r="IM156" s="8"/>
      <c r="IN156" s="7"/>
      <c r="IO156" s="19"/>
      <c r="IP156" s="19"/>
      <c r="IQ156" s="19"/>
      <c r="IR156" s="19"/>
      <c r="IT156" s="8"/>
      <c r="IU156" s="7"/>
      <c r="IV156" s="19"/>
      <c r="IW156" s="19"/>
      <c r="IX156" s="19"/>
      <c r="IY156" s="19"/>
      <c r="JA156" s="8"/>
      <c r="JB156" s="7"/>
      <c r="JC156" s="19"/>
      <c r="JD156" s="19"/>
      <c r="JE156" s="19"/>
      <c r="JF156" s="19"/>
      <c r="JH156" s="8"/>
      <c r="JI156" s="7"/>
      <c r="JJ156" s="19"/>
      <c r="JK156" s="19"/>
      <c r="JL156" s="19"/>
      <c r="JM156" s="19"/>
      <c r="JO156" s="8"/>
      <c r="JP156" s="7"/>
      <c r="JQ156" s="19"/>
      <c r="JR156" s="19"/>
      <c r="JS156" s="19"/>
      <c r="JT156" s="19"/>
      <c r="JV156" s="8"/>
      <c r="JW156" s="7"/>
      <c r="JX156" s="19"/>
      <c r="JY156" s="19"/>
      <c r="JZ156" s="19"/>
      <c r="KA156" s="19"/>
      <c r="KC156" s="8"/>
      <c r="KD156" s="7"/>
      <c r="KE156" s="19"/>
      <c r="KF156" s="19"/>
      <c r="KG156" s="19"/>
      <c r="KH156" s="19"/>
      <c r="KJ156" s="8"/>
      <c r="KK156" s="7"/>
      <c r="KL156" s="19"/>
      <c r="KM156" s="19"/>
      <c r="KN156" s="19"/>
      <c r="KO156" s="19"/>
      <c r="KQ156" s="8"/>
      <c r="KR156" s="7"/>
      <c r="KS156" s="19"/>
      <c r="KT156" s="19"/>
      <c r="KU156" s="19"/>
      <c r="KV156" s="19"/>
      <c r="KX156" s="8"/>
      <c r="KY156" s="7"/>
      <c r="KZ156" s="19"/>
      <c r="LA156" s="19"/>
      <c r="LB156" s="19"/>
      <c r="LC156" s="19"/>
      <c r="LE156" s="8"/>
      <c r="LF156" s="7"/>
      <c r="LG156" s="19"/>
      <c r="LH156" s="19"/>
      <c r="LI156" s="19"/>
      <c r="LJ156" s="19"/>
      <c r="LL156" s="8"/>
      <c r="LM156" s="7"/>
      <c r="LN156" s="19"/>
      <c r="LO156" s="19"/>
      <c r="LP156" s="19"/>
      <c r="LQ156" s="19"/>
      <c r="LS156" s="8"/>
      <c r="LT156" s="7"/>
      <c r="LU156" s="19"/>
      <c r="LV156" s="19"/>
      <c r="LW156" s="19"/>
      <c r="LX156" s="19"/>
      <c r="LZ156" s="8"/>
      <c r="MA156" s="7"/>
      <c r="MB156" s="19"/>
      <c r="MC156" s="19"/>
      <c r="MD156" s="19"/>
      <c r="ME156" s="19"/>
      <c r="MG156" s="8"/>
      <c r="MH156" s="7"/>
      <c r="MI156" s="19"/>
      <c r="MJ156" s="19"/>
      <c r="MK156" s="19"/>
      <c r="ML156" s="19"/>
      <c r="MN156" s="8"/>
      <c r="MO156" s="7"/>
      <c r="MP156" s="19"/>
      <c r="MQ156" s="19"/>
      <c r="MR156" s="19"/>
      <c r="MS156" s="19"/>
      <c r="MU156" s="8"/>
      <c r="MV156" s="7"/>
      <c r="MW156" s="19"/>
      <c r="MX156" s="19"/>
      <c r="MY156" s="19"/>
      <c r="MZ156" s="19"/>
      <c r="NB156" s="8"/>
      <c r="NC156" s="7"/>
      <c r="ND156" s="19"/>
      <c r="NE156" s="19"/>
      <c r="NF156" s="19"/>
      <c r="NG156" s="19"/>
      <c r="NI156" s="8"/>
      <c r="NJ156" s="7"/>
      <c r="NK156" s="19"/>
      <c r="NL156" s="19"/>
      <c r="NM156" s="19"/>
      <c r="NN156" s="19"/>
      <c r="NP156" s="8"/>
      <c r="NQ156" s="7"/>
      <c r="NR156" s="19"/>
      <c r="NS156" s="19"/>
      <c r="NT156" s="19"/>
      <c r="NU156" s="19"/>
      <c r="NW156" s="8"/>
      <c r="NX156" s="7"/>
      <c r="NY156" s="19"/>
      <c r="NZ156" s="19"/>
      <c r="OA156" s="19"/>
      <c r="OB156" s="19"/>
      <c r="OD156" s="8"/>
      <c r="OE156" s="7"/>
      <c r="OF156" s="19"/>
      <c r="OG156" s="19"/>
      <c r="OH156" s="19"/>
      <c r="OI156" s="19"/>
      <c r="OK156" s="8"/>
      <c r="OL156" s="7"/>
      <c r="OM156" s="19"/>
      <c r="ON156" s="19"/>
      <c r="OO156" s="19"/>
      <c r="OP156" s="19"/>
      <c r="OR156" s="8"/>
      <c r="OS156" s="7"/>
      <c r="OT156" s="19"/>
      <c r="OU156" s="19"/>
      <c r="OV156" s="19"/>
      <c r="OW156" s="19"/>
      <c r="OY156" s="8"/>
      <c r="OZ156" s="7"/>
      <c r="PA156" s="19"/>
      <c r="PB156" s="19"/>
      <c r="PC156" s="19"/>
      <c r="PD156" s="19"/>
      <c r="PF156" s="8"/>
      <c r="PG156" s="7"/>
      <c r="PH156" s="19"/>
      <c r="PI156" s="19"/>
      <c r="PJ156" s="19"/>
      <c r="PK156" s="19"/>
      <c r="PM156" s="8"/>
    </row>
    <row r="157" spans="1:429" s="1" customFormat="1" ht="26" customHeight="1" outlineLevel="1">
      <c r="B157" s="471"/>
      <c r="C157" s="7"/>
      <c r="D157" s="19"/>
      <c r="E157" s="19"/>
      <c r="F157" s="19"/>
      <c r="G157" s="19"/>
      <c r="I157" s="8"/>
      <c r="J157" s="7"/>
      <c r="K157" s="19"/>
      <c r="L157" s="19"/>
      <c r="M157" s="19"/>
      <c r="N157" s="19"/>
      <c r="P157" s="8"/>
      <c r="Q157" s="7"/>
      <c r="R157" s="19"/>
      <c r="S157" s="19"/>
      <c r="T157" s="19"/>
      <c r="U157" s="19"/>
      <c r="W157" s="8"/>
      <c r="X157" s="7"/>
      <c r="Y157" s="19"/>
      <c r="Z157" s="19"/>
      <c r="AA157" s="19"/>
      <c r="AB157" s="19"/>
      <c r="AD157" s="8"/>
      <c r="AE157" s="7"/>
      <c r="AF157" s="19"/>
      <c r="AG157" s="19"/>
      <c r="AH157" s="19"/>
      <c r="AI157" s="19"/>
      <c r="AK157" s="8"/>
      <c r="AL157" s="7"/>
      <c r="AM157" s="19"/>
      <c r="AN157" s="19"/>
      <c r="AO157" s="19"/>
      <c r="AP157" s="19"/>
      <c r="AR157" s="8"/>
      <c r="AS157" s="7"/>
      <c r="AT157" s="19"/>
      <c r="AU157" s="19"/>
      <c r="AV157" s="19"/>
      <c r="AW157" s="19"/>
      <c r="AY157" s="8"/>
      <c r="AZ157" s="7"/>
      <c r="BA157" s="19"/>
      <c r="BB157" s="19"/>
      <c r="BC157" s="19"/>
      <c r="BD157" s="19"/>
      <c r="BF157" s="8"/>
      <c r="BG157" s="7"/>
      <c r="BH157" s="19"/>
      <c r="BI157" s="19"/>
      <c r="BJ157" s="19"/>
      <c r="BK157" s="19"/>
      <c r="BM157" s="8"/>
      <c r="BN157" s="7"/>
      <c r="BO157" s="19"/>
      <c r="BP157" s="19"/>
      <c r="BQ157" s="19"/>
      <c r="BR157" s="19"/>
      <c r="BT157" s="8"/>
      <c r="BU157" s="7"/>
      <c r="BV157" s="19"/>
      <c r="BW157" s="19"/>
      <c r="BX157" s="19"/>
      <c r="BY157" s="19"/>
      <c r="CA157" s="8"/>
      <c r="CB157" s="7"/>
      <c r="CC157" s="19"/>
      <c r="CD157" s="19"/>
      <c r="CE157" s="19"/>
      <c r="CF157" s="19"/>
      <c r="CH157" s="8"/>
      <c r="CI157" s="7"/>
      <c r="CJ157" s="19"/>
      <c r="CK157" s="19"/>
      <c r="CL157" s="19"/>
      <c r="CM157" s="19"/>
      <c r="CO157" s="8"/>
      <c r="CP157" s="7"/>
      <c r="CQ157" s="19"/>
      <c r="CR157" s="19"/>
      <c r="CS157" s="19"/>
      <c r="CT157" s="19"/>
      <c r="CV157" s="8"/>
      <c r="CW157" s="7"/>
      <c r="CX157" s="19"/>
      <c r="CY157" s="19"/>
      <c r="CZ157" s="19"/>
      <c r="DA157" s="19"/>
      <c r="DC157" s="8"/>
      <c r="DD157" s="7"/>
      <c r="DE157" s="19"/>
      <c r="DF157" s="19"/>
      <c r="DG157" s="19"/>
      <c r="DH157" s="19"/>
      <c r="DJ157" s="8"/>
      <c r="DK157" s="7" t="s">
        <v>450</v>
      </c>
      <c r="DL157" s="19" t="s">
        <v>505</v>
      </c>
      <c r="DM157" s="19"/>
      <c r="DN157" s="19"/>
      <c r="DO157" s="19"/>
      <c r="DP157" s="476" t="s">
        <v>503</v>
      </c>
      <c r="DQ157" s="8" t="s">
        <v>501</v>
      </c>
      <c r="DR157" s="7"/>
      <c r="DS157" s="19" t="s">
        <v>180</v>
      </c>
      <c r="DT157" s="19"/>
      <c r="DU157" s="19"/>
      <c r="DV157" s="19"/>
      <c r="DX157" s="8" t="s">
        <v>501</v>
      </c>
      <c r="DY157" s="7"/>
      <c r="DZ157" s="19" t="s">
        <v>180</v>
      </c>
      <c r="EA157" s="19"/>
      <c r="EB157" s="19"/>
      <c r="EC157" s="19"/>
      <c r="EE157" s="8" t="s">
        <v>501</v>
      </c>
      <c r="EF157" s="7" t="s">
        <v>450</v>
      </c>
      <c r="EG157" s="19" t="s">
        <v>508</v>
      </c>
      <c r="EH157" s="19"/>
      <c r="EI157" s="19"/>
      <c r="EJ157" s="19"/>
      <c r="EK157" s="476" t="s">
        <v>503</v>
      </c>
      <c r="EL157" s="8" t="s">
        <v>501</v>
      </c>
      <c r="EM157" s="7"/>
      <c r="EN157" s="19" t="s">
        <v>180</v>
      </c>
      <c r="EO157" s="19"/>
      <c r="EP157" s="19"/>
      <c r="EQ157" s="19"/>
      <c r="ES157" s="8" t="s">
        <v>501</v>
      </c>
      <c r="ET157" s="7"/>
      <c r="EU157" s="19" t="s">
        <v>180</v>
      </c>
      <c r="EV157" s="19"/>
      <c r="EW157" s="19"/>
      <c r="EX157" s="19"/>
      <c r="EZ157" s="8" t="s">
        <v>501</v>
      </c>
      <c r="FA157" s="7"/>
      <c r="FB157" s="19"/>
      <c r="FC157" s="19"/>
      <c r="FD157" s="19"/>
      <c r="FE157" s="19"/>
      <c r="FG157" s="8"/>
      <c r="FH157" s="7"/>
      <c r="FI157" s="19"/>
      <c r="FJ157" s="19"/>
      <c r="FK157" s="19"/>
      <c r="FL157" s="19"/>
      <c r="FN157" s="8"/>
      <c r="FO157" s="7"/>
      <c r="FP157" s="19"/>
      <c r="FQ157" s="19"/>
      <c r="FR157" s="19"/>
      <c r="FS157" s="19"/>
      <c r="FU157" s="8"/>
      <c r="FV157" s="7"/>
      <c r="FW157" s="19"/>
      <c r="FX157" s="19"/>
      <c r="FY157" s="19"/>
      <c r="FZ157" s="19"/>
      <c r="GB157" s="8"/>
      <c r="GC157" s="7"/>
      <c r="GD157" s="19"/>
      <c r="GE157" s="19"/>
      <c r="GF157" s="19"/>
      <c r="GG157" s="19"/>
      <c r="GI157" s="8"/>
      <c r="GJ157" s="7"/>
      <c r="GK157" s="19"/>
      <c r="GL157" s="19"/>
      <c r="GM157" s="19"/>
      <c r="GN157" s="19"/>
      <c r="GP157" s="8"/>
      <c r="GQ157" s="7"/>
      <c r="GR157" s="19"/>
      <c r="GS157" s="19"/>
      <c r="GT157" s="19"/>
      <c r="GU157" s="19"/>
      <c r="GW157" s="8"/>
      <c r="GX157" s="7"/>
      <c r="GY157" s="19"/>
      <c r="GZ157" s="19"/>
      <c r="HA157" s="19"/>
      <c r="HB157" s="19"/>
      <c r="HD157" s="8"/>
      <c r="HE157" s="7"/>
      <c r="HF157" s="19"/>
      <c r="HG157" s="19"/>
      <c r="HH157" s="19"/>
      <c r="HI157" s="19"/>
      <c r="HK157" s="8"/>
      <c r="HL157" s="7"/>
      <c r="HM157" s="19"/>
      <c r="HN157" s="19"/>
      <c r="HO157" s="19"/>
      <c r="HP157" s="19"/>
      <c r="HR157" s="8"/>
      <c r="HS157" s="7"/>
      <c r="HT157" s="19"/>
      <c r="HU157" s="19"/>
      <c r="HV157" s="19"/>
      <c r="HW157" s="19"/>
      <c r="HY157" s="8"/>
      <c r="HZ157" s="7"/>
      <c r="IA157" s="19"/>
      <c r="IB157" s="19"/>
      <c r="IC157" s="19"/>
      <c r="ID157" s="19"/>
      <c r="IF157" s="8"/>
      <c r="IG157" s="7"/>
      <c r="IH157" s="19"/>
      <c r="II157" s="19"/>
      <c r="IJ157" s="19"/>
      <c r="IK157" s="19"/>
      <c r="IM157" s="8"/>
      <c r="IN157" s="7"/>
      <c r="IO157" s="19"/>
      <c r="IP157" s="19"/>
      <c r="IQ157" s="19"/>
      <c r="IR157" s="19"/>
      <c r="IT157" s="8"/>
      <c r="IU157" s="7"/>
      <c r="IV157" s="19"/>
      <c r="IW157" s="19"/>
      <c r="IX157" s="19"/>
      <c r="IY157" s="19"/>
      <c r="JA157" s="8"/>
      <c r="JB157" s="7"/>
      <c r="JC157" s="19"/>
      <c r="JD157" s="19"/>
      <c r="JE157" s="19"/>
      <c r="JF157" s="19"/>
      <c r="JH157" s="8"/>
      <c r="JI157" s="7"/>
      <c r="JJ157" s="19"/>
      <c r="JK157" s="19"/>
      <c r="JL157" s="19"/>
      <c r="JM157" s="19"/>
      <c r="JO157" s="8"/>
      <c r="JP157" s="7"/>
      <c r="JQ157" s="19"/>
      <c r="JR157" s="19"/>
      <c r="JS157" s="19"/>
      <c r="JT157" s="19"/>
      <c r="JV157" s="8"/>
      <c r="JW157" s="7"/>
      <c r="JX157" s="19"/>
      <c r="JY157" s="19"/>
      <c r="JZ157" s="19"/>
      <c r="KA157" s="19"/>
      <c r="KC157" s="8"/>
      <c r="KD157" s="7"/>
      <c r="KE157" s="19"/>
      <c r="KF157" s="19"/>
      <c r="KG157" s="19"/>
      <c r="KH157" s="19"/>
      <c r="KJ157" s="8"/>
      <c r="KK157" s="7"/>
      <c r="KL157" s="19"/>
      <c r="KM157" s="19"/>
      <c r="KN157" s="19"/>
      <c r="KO157" s="19"/>
      <c r="KQ157" s="8"/>
      <c r="KR157" s="7"/>
      <c r="KS157" s="19"/>
      <c r="KT157" s="19"/>
      <c r="KU157" s="19"/>
      <c r="KV157" s="19"/>
      <c r="KX157" s="8"/>
      <c r="KY157" s="7"/>
      <c r="KZ157" s="19"/>
      <c r="LA157" s="19"/>
      <c r="LB157" s="19"/>
      <c r="LC157" s="19"/>
      <c r="LE157" s="8"/>
      <c r="LF157" s="7"/>
      <c r="LG157" s="19"/>
      <c r="LH157" s="19"/>
      <c r="LI157" s="19"/>
      <c r="LJ157" s="19"/>
      <c r="LL157" s="8"/>
      <c r="LM157" s="7"/>
      <c r="LN157" s="19"/>
      <c r="LO157" s="19"/>
      <c r="LP157" s="19"/>
      <c r="LQ157" s="19"/>
      <c r="LS157" s="8"/>
      <c r="LT157" s="7"/>
      <c r="LU157" s="19"/>
      <c r="LV157" s="19"/>
      <c r="LW157" s="19"/>
      <c r="LX157" s="19"/>
      <c r="LZ157" s="8"/>
      <c r="MA157" s="7"/>
      <c r="MB157" s="19"/>
      <c r="MC157" s="19"/>
      <c r="MD157" s="19"/>
      <c r="ME157" s="19"/>
      <c r="MG157" s="8"/>
      <c r="MH157" s="7"/>
      <c r="MI157" s="19"/>
      <c r="MJ157" s="19"/>
      <c r="MK157" s="19"/>
      <c r="ML157" s="19"/>
      <c r="MN157" s="8"/>
      <c r="MO157" s="7"/>
      <c r="MP157" s="19"/>
      <c r="MQ157" s="19"/>
      <c r="MR157" s="19"/>
      <c r="MS157" s="19"/>
      <c r="MU157" s="8"/>
      <c r="MV157" s="7"/>
      <c r="MW157" s="19"/>
      <c r="MX157" s="19"/>
      <c r="MY157" s="19"/>
      <c r="MZ157" s="19"/>
      <c r="NB157" s="8"/>
      <c r="NC157" s="7"/>
      <c r="ND157" s="19"/>
      <c r="NE157" s="19"/>
      <c r="NF157" s="19"/>
      <c r="NG157" s="19"/>
      <c r="NI157" s="8"/>
      <c r="NJ157" s="7"/>
      <c r="NK157" s="19"/>
      <c r="NL157" s="19"/>
      <c r="NM157" s="19"/>
      <c r="NN157" s="19"/>
      <c r="NP157" s="8"/>
      <c r="NQ157" s="7"/>
      <c r="NR157" s="19"/>
      <c r="NS157" s="19"/>
      <c r="NT157" s="19"/>
      <c r="NU157" s="19"/>
      <c r="NW157" s="8"/>
      <c r="NX157" s="7"/>
      <c r="NY157" s="19"/>
      <c r="NZ157" s="19"/>
      <c r="OA157" s="19"/>
      <c r="OB157" s="19"/>
      <c r="OD157" s="8"/>
      <c r="OE157" s="7"/>
      <c r="OF157" s="19"/>
      <c r="OG157" s="19"/>
      <c r="OH157" s="19"/>
      <c r="OI157" s="19"/>
      <c r="OK157" s="8"/>
      <c r="OL157" s="7"/>
      <c r="OM157" s="19"/>
      <c r="ON157" s="19"/>
      <c r="OO157" s="19"/>
      <c r="OP157" s="19"/>
      <c r="OR157" s="8"/>
      <c r="OS157" s="7"/>
      <c r="OT157" s="19"/>
      <c r="OU157" s="19"/>
      <c r="OV157" s="19"/>
      <c r="OW157" s="19"/>
      <c r="OY157" s="8"/>
      <c r="OZ157" s="7"/>
      <c r="PA157" s="19"/>
      <c r="PB157" s="19"/>
      <c r="PC157" s="19"/>
      <c r="PD157" s="19"/>
      <c r="PF157" s="8"/>
      <c r="PG157" s="7"/>
      <c r="PH157" s="19"/>
      <c r="PI157" s="19"/>
      <c r="PJ157" s="19"/>
      <c r="PK157" s="19"/>
      <c r="PM157" s="8"/>
    </row>
    <row r="158" spans="1:429" s="1" customFormat="1" ht="26" customHeight="1" outlineLevel="1">
      <c r="B158" s="471"/>
      <c r="C158" s="7"/>
      <c r="D158" s="19"/>
      <c r="E158" s="19"/>
      <c r="F158" s="19"/>
      <c r="G158" s="19"/>
      <c r="I158" s="8"/>
      <c r="J158" s="7"/>
      <c r="K158" s="19"/>
      <c r="L158" s="19"/>
      <c r="M158" s="19"/>
      <c r="N158" s="19"/>
      <c r="P158" s="8"/>
      <c r="Q158" s="7"/>
      <c r="R158" s="19"/>
      <c r="S158" s="19"/>
      <c r="T158" s="19"/>
      <c r="U158" s="19"/>
      <c r="W158" s="8"/>
      <c r="X158" s="7"/>
      <c r="Y158" s="19"/>
      <c r="Z158" s="19"/>
      <c r="AA158" s="19"/>
      <c r="AB158" s="19"/>
      <c r="AD158" s="8"/>
      <c r="AE158" s="7"/>
      <c r="AF158" s="19"/>
      <c r="AG158" s="19"/>
      <c r="AH158" s="19"/>
      <c r="AI158" s="19"/>
      <c r="AK158" s="8"/>
      <c r="AL158" s="7"/>
      <c r="AM158" s="19"/>
      <c r="AN158" s="19"/>
      <c r="AO158" s="19"/>
      <c r="AP158" s="19"/>
      <c r="AR158" s="8"/>
      <c r="AS158" s="7"/>
      <c r="AT158" s="19"/>
      <c r="AU158" s="19"/>
      <c r="AV158" s="19"/>
      <c r="AW158" s="19"/>
      <c r="AY158" s="8"/>
      <c r="AZ158" s="7"/>
      <c r="BA158" s="19"/>
      <c r="BB158" s="19"/>
      <c r="BC158" s="19"/>
      <c r="BD158" s="19"/>
      <c r="BF158" s="8"/>
      <c r="BG158" s="7"/>
      <c r="BH158" s="19"/>
      <c r="BI158" s="19"/>
      <c r="BJ158" s="19"/>
      <c r="BK158" s="19"/>
      <c r="BM158" s="8"/>
      <c r="BN158" s="7"/>
      <c r="BO158" s="19"/>
      <c r="BP158" s="19"/>
      <c r="BQ158" s="19"/>
      <c r="BR158" s="19"/>
      <c r="BT158" s="8"/>
      <c r="BU158" s="7"/>
      <c r="BV158" s="19"/>
      <c r="BW158" s="19"/>
      <c r="BX158" s="19"/>
      <c r="BY158" s="19"/>
      <c r="CA158" s="8"/>
      <c r="CB158" s="7"/>
      <c r="CC158" s="19"/>
      <c r="CD158" s="19"/>
      <c r="CE158" s="19"/>
      <c r="CF158" s="19"/>
      <c r="CH158" s="8"/>
      <c r="CI158" s="7"/>
      <c r="CJ158" s="19"/>
      <c r="CK158" s="19"/>
      <c r="CL158" s="19"/>
      <c r="CM158" s="19"/>
      <c r="CO158" s="8"/>
      <c r="CP158" s="7"/>
      <c r="CQ158" s="19"/>
      <c r="CR158" s="19"/>
      <c r="CS158" s="19"/>
      <c r="CT158" s="19"/>
      <c r="CV158" s="8"/>
      <c r="CW158" s="7"/>
      <c r="CX158" s="19"/>
      <c r="CY158" s="19"/>
      <c r="CZ158" s="19"/>
      <c r="DA158" s="19"/>
      <c r="DC158" s="8"/>
      <c r="DD158" s="7"/>
      <c r="DE158" s="19"/>
      <c r="DF158" s="19"/>
      <c r="DG158" s="19"/>
      <c r="DH158" s="19"/>
      <c r="DJ158" s="8"/>
      <c r="DK158" s="7"/>
      <c r="DL158" s="19"/>
      <c r="DM158" s="19"/>
      <c r="DN158" s="19"/>
      <c r="DO158" s="19"/>
      <c r="DQ158" s="8"/>
      <c r="DR158" s="7"/>
      <c r="DS158" s="19"/>
      <c r="DT158" s="19"/>
      <c r="DU158" s="19"/>
      <c r="DV158" s="19"/>
      <c r="DX158" s="8"/>
      <c r="DY158" s="7"/>
      <c r="DZ158" s="19"/>
      <c r="EA158" s="19"/>
      <c r="EB158" s="19"/>
      <c r="EC158" s="19"/>
      <c r="EE158" s="8"/>
      <c r="EF158" s="7"/>
      <c r="EG158" s="19"/>
      <c r="EH158" s="19"/>
      <c r="EI158" s="19"/>
      <c r="EJ158" s="19"/>
      <c r="EL158" s="8"/>
      <c r="EM158" s="7"/>
      <c r="EN158" s="19"/>
      <c r="EO158" s="19"/>
      <c r="EP158" s="19"/>
      <c r="EQ158" s="19"/>
      <c r="ES158" s="8"/>
      <c r="ET158" s="7"/>
      <c r="EU158" s="19"/>
      <c r="EV158" s="19"/>
      <c r="EW158" s="19"/>
      <c r="EX158" s="19"/>
      <c r="EZ158" s="8"/>
      <c r="FA158" s="7"/>
      <c r="FB158" s="19"/>
      <c r="FC158" s="19"/>
      <c r="FD158" s="19"/>
      <c r="FE158" s="19"/>
      <c r="FG158" s="8"/>
      <c r="FH158" s="7"/>
      <c r="FI158" s="19"/>
      <c r="FJ158" s="19"/>
      <c r="FK158" s="19"/>
      <c r="FL158" s="19"/>
      <c r="FN158" s="8"/>
      <c r="FO158" s="7"/>
      <c r="FP158" s="19"/>
      <c r="FQ158" s="19"/>
      <c r="FR158" s="19"/>
      <c r="FS158" s="19"/>
      <c r="FU158" s="8"/>
      <c r="FV158" s="7"/>
      <c r="FW158" s="19"/>
      <c r="FX158" s="19"/>
      <c r="FY158" s="19"/>
      <c r="FZ158" s="19"/>
      <c r="GB158" s="8"/>
      <c r="GC158" s="7"/>
      <c r="GD158" s="19"/>
      <c r="GE158" s="19"/>
      <c r="GF158" s="19"/>
      <c r="GG158" s="19"/>
      <c r="GI158" s="8"/>
      <c r="GJ158" s="7"/>
      <c r="GK158" s="19"/>
      <c r="GL158" s="19"/>
      <c r="GM158" s="19"/>
      <c r="GN158" s="19"/>
      <c r="GP158" s="8"/>
      <c r="GQ158" s="7"/>
      <c r="GR158" s="19"/>
      <c r="GS158" s="19"/>
      <c r="GT158" s="19"/>
      <c r="GU158" s="19"/>
      <c r="GW158" s="8"/>
      <c r="GX158" s="7"/>
      <c r="GY158" s="19"/>
      <c r="GZ158" s="19"/>
      <c r="HA158" s="19"/>
      <c r="HB158" s="19"/>
      <c r="HD158" s="8"/>
      <c r="HE158" s="7"/>
      <c r="HF158" s="19"/>
      <c r="HG158" s="19"/>
      <c r="HH158" s="19"/>
      <c r="HI158" s="19"/>
      <c r="HK158" s="8"/>
      <c r="HL158" s="7"/>
      <c r="HM158" s="19"/>
      <c r="HN158" s="19"/>
      <c r="HO158" s="19"/>
      <c r="HP158" s="19"/>
      <c r="HR158" s="8"/>
      <c r="HS158" s="7"/>
      <c r="HT158" s="19"/>
      <c r="HU158" s="19"/>
      <c r="HV158" s="19"/>
      <c r="HW158" s="19"/>
      <c r="HY158" s="8"/>
      <c r="HZ158" s="7"/>
      <c r="IA158" s="19"/>
      <c r="IB158" s="19"/>
      <c r="IC158" s="19"/>
      <c r="ID158" s="19"/>
      <c r="IF158" s="8"/>
      <c r="IG158" s="7"/>
      <c r="IH158" s="19"/>
      <c r="II158" s="19"/>
      <c r="IJ158" s="19"/>
      <c r="IK158" s="19"/>
      <c r="IM158" s="8"/>
      <c r="IN158" s="7"/>
      <c r="IO158" s="19"/>
      <c r="IP158" s="19"/>
      <c r="IQ158" s="19"/>
      <c r="IR158" s="19"/>
      <c r="IT158" s="8"/>
      <c r="IU158" s="7"/>
      <c r="IV158" s="19"/>
      <c r="IW158" s="19"/>
      <c r="IX158" s="19"/>
      <c r="IY158" s="19"/>
      <c r="JA158" s="8"/>
      <c r="JB158" s="7"/>
      <c r="JC158" s="19"/>
      <c r="JD158" s="19"/>
      <c r="JE158" s="19"/>
      <c r="JF158" s="19"/>
      <c r="JH158" s="8"/>
      <c r="JI158" s="7"/>
      <c r="JJ158" s="19"/>
      <c r="JK158" s="19"/>
      <c r="JL158" s="19"/>
      <c r="JM158" s="19"/>
      <c r="JO158" s="8"/>
      <c r="JP158" s="7"/>
      <c r="JQ158" s="19"/>
      <c r="JR158" s="19"/>
      <c r="JS158" s="19"/>
      <c r="JT158" s="19"/>
      <c r="JV158" s="8"/>
      <c r="JW158" s="7"/>
      <c r="JX158" s="19"/>
      <c r="JY158" s="19"/>
      <c r="JZ158" s="19"/>
      <c r="KA158" s="19"/>
      <c r="KC158" s="8"/>
      <c r="KD158" s="7"/>
      <c r="KE158" s="19"/>
      <c r="KF158" s="19"/>
      <c r="KG158" s="19"/>
      <c r="KH158" s="19"/>
      <c r="KJ158" s="8"/>
      <c r="KK158" s="7"/>
      <c r="KL158" s="19"/>
      <c r="KM158" s="19"/>
      <c r="KN158" s="19"/>
      <c r="KO158" s="19"/>
      <c r="KQ158" s="8"/>
      <c r="KR158" s="7"/>
      <c r="KS158" s="19"/>
      <c r="KT158" s="19"/>
      <c r="KU158" s="19"/>
      <c r="KV158" s="19"/>
      <c r="KX158" s="8"/>
      <c r="KY158" s="7"/>
      <c r="KZ158" s="19"/>
      <c r="LA158" s="19"/>
      <c r="LB158" s="19"/>
      <c r="LC158" s="19"/>
      <c r="LE158" s="8"/>
      <c r="LF158" s="7"/>
      <c r="LG158" s="19"/>
      <c r="LH158" s="19"/>
      <c r="LI158" s="19"/>
      <c r="LJ158" s="19"/>
      <c r="LL158" s="8"/>
      <c r="LM158" s="7"/>
      <c r="LN158" s="19"/>
      <c r="LO158" s="19"/>
      <c r="LP158" s="19"/>
      <c r="LQ158" s="19"/>
      <c r="LS158" s="8"/>
      <c r="LT158" s="7"/>
      <c r="LU158" s="19"/>
      <c r="LV158" s="19"/>
      <c r="LW158" s="19"/>
      <c r="LX158" s="19"/>
      <c r="LZ158" s="8"/>
      <c r="MA158" s="7"/>
      <c r="MB158" s="19"/>
      <c r="MC158" s="19"/>
      <c r="MD158" s="19"/>
      <c r="ME158" s="19"/>
      <c r="MG158" s="8"/>
      <c r="MH158" s="7"/>
      <c r="MI158" s="19"/>
      <c r="MJ158" s="19"/>
      <c r="MK158" s="19"/>
      <c r="ML158" s="19"/>
      <c r="MN158" s="8"/>
      <c r="MO158" s="7"/>
      <c r="MP158" s="19"/>
      <c r="MQ158" s="19"/>
      <c r="MR158" s="19"/>
      <c r="MS158" s="19"/>
      <c r="MU158" s="8"/>
      <c r="MV158" s="7"/>
      <c r="MW158" s="19"/>
      <c r="MX158" s="19"/>
      <c r="MY158" s="19"/>
      <c r="MZ158" s="19"/>
      <c r="NB158" s="8"/>
      <c r="NC158" s="7"/>
      <c r="ND158" s="19"/>
      <c r="NE158" s="19"/>
      <c r="NF158" s="19"/>
      <c r="NG158" s="19"/>
      <c r="NI158" s="8"/>
      <c r="NJ158" s="7"/>
      <c r="NK158" s="19"/>
      <c r="NL158" s="19"/>
      <c r="NM158" s="19"/>
      <c r="NN158" s="19"/>
      <c r="NP158" s="8"/>
      <c r="NQ158" s="7"/>
      <c r="NR158" s="19"/>
      <c r="NS158" s="19"/>
      <c r="NT158" s="19"/>
      <c r="NU158" s="19"/>
      <c r="NW158" s="8"/>
      <c r="NX158" s="7"/>
      <c r="NY158" s="19"/>
      <c r="NZ158" s="19"/>
      <c r="OA158" s="19"/>
      <c r="OB158" s="19"/>
      <c r="OD158" s="8"/>
      <c r="OE158" s="7"/>
      <c r="OF158" s="19"/>
      <c r="OG158" s="19"/>
      <c r="OH158" s="19"/>
      <c r="OI158" s="19"/>
      <c r="OK158" s="8"/>
      <c r="OL158" s="7"/>
      <c r="OM158" s="19"/>
      <c r="ON158" s="19"/>
      <c r="OO158" s="19"/>
      <c r="OP158" s="19"/>
      <c r="OR158" s="8"/>
      <c r="OS158" s="7"/>
      <c r="OT158" s="19"/>
      <c r="OU158" s="19"/>
      <c r="OV158" s="19"/>
      <c r="OW158" s="19"/>
      <c r="OY158" s="8"/>
      <c r="OZ158" s="7"/>
      <c r="PA158" s="19"/>
      <c r="PB158" s="19"/>
      <c r="PC158" s="19"/>
      <c r="PD158" s="19"/>
      <c r="PF158" s="8"/>
      <c r="PG158" s="7"/>
      <c r="PH158" s="19"/>
      <c r="PI158" s="19"/>
      <c r="PJ158" s="19"/>
      <c r="PK158" s="19"/>
      <c r="PM158" s="8"/>
    </row>
    <row r="159" spans="1:429" s="1" customFormat="1" ht="24" outlineLevel="1">
      <c r="B159" s="471"/>
      <c r="C159" s="7"/>
      <c r="D159" s="19"/>
      <c r="E159" s="19"/>
      <c r="F159" s="19"/>
      <c r="G159" s="19"/>
      <c r="I159" s="8"/>
      <c r="J159" s="7"/>
      <c r="K159" s="19"/>
      <c r="L159" s="19"/>
      <c r="M159" s="19"/>
      <c r="N159" s="19"/>
      <c r="P159" s="8"/>
      <c r="Q159" s="7"/>
      <c r="R159" s="19"/>
      <c r="S159" s="19"/>
      <c r="T159" s="19"/>
      <c r="U159" s="19"/>
      <c r="W159" s="8"/>
      <c r="X159" s="7"/>
      <c r="Y159" s="19"/>
      <c r="Z159" s="19"/>
      <c r="AA159" s="19"/>
      <c r="AB159" s="19"/>
      <c r="AD159" s="8"/>
      <c r="AE159" s="7"/>
      <c r="AF159" s="19"/>
      <c r="AG159" s="19"/>
      <c r="AH159" s="19"/>
      <c r="AI159" s="19"/>
      <c r="AK159" s="8"/>
      <c r="AL159" s="7"/>
      <c r="AM159" s="19"/>
      <c r="AN159" s="19"/>
      <c r="AO159" s="19"/>
      <c r="AP159" s="19"/>
      <c r="AR159" s="8"/>
      <c r="AS159" s="7"/>
      <c r="AT159" s="19"/>
      <c r="AU159" s="19"/>
      <c r="AV159" s="19"/>
      <c r="AW159" s="19"/>
      <c r="AY159" s="8"/>
      <c r="AZ159" s="7"/>
      <c r="BA159" s="19"/>
      <c r="BB159" s="19"/>
      <c r="BC159" s="19"/>
      <c r="BD159" s="19"/>
      <c r="BF159" s="8"/>
      <c r="BG159" s="7"/>
      <c r="BH159" s="19"/>
      <c r="BI159" s="19"/>
      <c r="BJ159" s="19"/>
      <c r="BK159" s="19"/>
      <c r="BM159" s="8"/>
      <c r="BN159" s="7"/>
      <c r="BO159" s="19"/>
      <c r="BP159" s="19"/>
      <c r="BQ159" s="19"/>
      <c r="BR159" s="19"/>
      <c r="BT159" s="8"/>
      <c r="BU159" s="7"/>
      <c r="BV159" s="19"/>
      <c r="BW159" s="19"/>
      <c r="BX159" s="19"/>
      <c r="BY159" s="19"/>
      <c r="CA159" s="8"/>
      <c r="CB159" s="7"/>
      <c r="CC159" s="19"/>
      <c r="CD159" s="19"/>
      <c r="CE159" s="19"/>
      <c r="CF159" s="19"/>
      <c r="CH159" s="8"/>
      <c r="CI159" s="7"/>
      <c r="CJ159" s="19"/>
      <c r="CK159" s="19"/>
      <c r="CL159" s="19"/>
      <c r="CM159" s="19"/>
      <c r="CO159" s="8"/>
      <c r="CP159" s="7"/>
      <c r="CQ159" s="19"/>
      <c r="CR159" s="19"/>
      <c r="CS159" s="19"/>
      <c r="CT159" s="19"/>
      <c r="CV159" s="8"/>
      <c r="CW159" s="7"/>
      <c r="CX159" s="19"/>
      <c r="CY159" s="19"/>
      <c r="CZ159" s="19"/>
      <c r="DA159" s="19"/>
      <c r="DC159" s="8"/>
      <c r="DD159" s="7"/>
      <c r="DE159" s="19"/>
      <c r="DF159" s="19"/>
      <c r="DG159" s="19"/>
      <c r="DH159" s="19"/>
      <c r="DJ159" s="8"/>
      <c r="DK159" s="7"/>
      <c r="DL159" s="19"/>
      <c r="DM159" s="19"/>
      <c r="DN159" s="19"/>
      <c r="DO159" s="19"/>
      <c r="DQ159" s="8"/>
      <c r="DR159" s="7"/>
      <c r="DS159" s="19"/>
      <c r="DT159" s="19"/>
      <c r="DU159" s="19"/>
      <c r="DV159" s="19"/>
      <c r="DX159" s="8"/>
      <c r="DY159" s="7"/>
      <c r="DZ159" s="19"/>
      <c r="EA159" s="19"/>
      <c r="EB159" s="19"/>
      <c r="EC159" s="19"/>
      <c r="EE159" s="8"/>
      <c r="EF159" s="7"/>
      <c r="EG159" s="19"/>
      <c r="EH159" s="19"/>
      <c r="EI159" s="19"/>
      <c r="EJ159" s="19"/>
      <c r="EL159" s="8"/>
      <c r="EM159" s="7"/>
      <c r="EN159" s="19"/>
      <c r="EO159" s="19"/>
      <c r="EP159" s="19"/>
      <c r="EQ159" s="19"/>
      <c r="ES159" s="8"/>
      <c r="ET159" s="7"/>
      <c r="EU159" s="19"/>
      <c r="EV159" s="19"/>
      <c r="EW159" s="19"/>
      <c r="EX159" s="19"/>
      <c r="EZ159" s="8"/>
      <c r="FA159" s="7"/>
      <c r="FB159" s="19"/>
      <c r="FC159" s="19"/>
      <c r="FD159" s="19"/>
      <c r="FE159" s="19"/>
      <c r="FG159" s="8"/>
      <c r="FH159" s="7"/>
      <c r="FI159" s="19"/>
      <c r="FJ159" s="19"/>
      <c r="FK159" s="19"/>
      <c r="FL159" s="19"/>
      <c r="FN159" s="8"/>
      <c r="FO159" s="7"/>
      <c r="FP159" s="19"/>
      <c r="FQ159" s="19"/>
      <c r="FR159" s="19"/>
      <c r="FS159" s="19"/>
      <c r="FU159" s="8"/>
      <c r="FV159" s="7"/>
      <c r="FW159" s="19"/>
      <c r="FX159" s="19"/>
      <c r="FY159" s="19"/>
      <c r="FZ159" s="19"/>
      <c r="GB159" s="8"/>
      <c r="GC159" s="7"/>
      <c r="GD159" s="19"/>
      <c r="GE159" s="19"/>
      <c r="GF159" s="19"/>
      <c r="GG159" s="19"/>
      <c r="GI159" s="8"/>
      <c r="GJ159" s="7"/>
      <c r="GK159" s="19"/>
      <c r="GL159" s="19"/>
      <c r="GM159" s="19"/>
      <c r="GN159" s="19"/>
      <c r="GP159" s="8"/>
      <c r="GQ159" s="7"/>
      <c r="GR159" s="19"/>
      <c r="GS159" s="19"/>
      <c r="GT159" s="19"/>
      <c r="GU159" s="19"/>
      <c r="GW159" s="8"/>
      <c r="GX159" s="7"/>
      <c r="GY159" s="19"/>
      <c r="GZ159" s="19"/>
      <c r="HA159" s="19"/>
      <c r="HB159" s="19"/>
      <c r="HD159" s="8"/>
      <c r="HE159" s="7"/>
      <c r="HF159" s="19"/>
      <c r="HG159" s="19"/>
      <c r="HH159" s="19"/>
      <c r="HI159" s="19"/>
      <c r="HK159" s="8"/>
      <c r="HL159" s="7"/>
      <c r="HM159" s="19"/>
      <c r="HN159" s="19"/>
      <c r="HO159" s="19"/>
      <c r="HP159" s="19"/>
      <c r="HR159" s="8"/>
      <c r="HS159" s="7"/>
      <c r="HT159" s="19"/>
      <c r="HU159" s="19"/>
      <c r="HV159" s="19"/>
      <c r="HW159" s="19"/>
      <c r="HY159" s="8"/>
      <c r="HZ159" s="7"/>
      <c r="IA159" s="19"/>
      <c r="IB159" s="19"/>
      <c r="IC159" s="19"/>
      <c r="ID159" s="19"/>
      <c r="IF159" s="8"/>
      <c r="IG159" s="7"/>
      <c r="IH159" s="19"/>
      <c r="II159" s="19"/>
      <c r="IJ159" s="19"/>
      <c r="IK159" s="19"/>
      <c r="IM159" s="8"/>
      <c r="IN159" s="7"/>
      <c r="IO159" s="19"/>
      <c r="IP159" s="19"/>
      <c r="IQ159" s="19"/>
      <c r="IR159" s="19"/>
      <c r="IT159" s="8"/>
      <c r="IU159" s="7"/>
      <c r="IV159" s="19"/>
      <c r="IW159" s="19"/>
      <c r="IX159" s="19"/>
      <c r="IY159" s="19"/>
      <c r="JA159" s="8"/>
      <c r="JB159" s="7"/>
      <c r="JC159" s="19"/>
      <c r="JD159" s="19"/>
      <c r="JE159" s="19"/>
      <c r="JF159" s="19"/>
      <c r="JH159" s="8"/>
      <c r="JI159" s="7"/>
      <c r="JJ159" s="19"/>
      <c r="JK159" s="19"/>
      <c r="JL159" s="19"/>
      <c r="JM159" s="19"/>
      <c r="JO159" s="8"/>
      <c r="JP159" s="7"/>
      <c r="JQ159" s="19"/>
      <c r="JR159" s="19"/>
      <c r="JS159" s="19"/>
      <c r="JT159" s="19"/>
      <c r="JV159" s="8"/>
      <c r="JW159" s="7"/>
      <c r="JX159" s="19"/>
      <c r="JY159" s="19"/>
      <c r="JZ159" s="19"/>
      <c r="KA159" s="19"/>
      <c r="KC159" s="8"/>
      <c r="KD159" s="7"/>
      <c r="KE159" s="19"/>
      <c r="KF159" s="19"/>
      <c r="KG159" s="19"/>
      <c r="KH159" s="19"/>
      <c r="KJ159" s="8"/>
      <c r="KK159" s="7"/>
      <c r="KL159" s="19"/>
      <c r="KM159" s="19"/>
      <c r="KN159" s="19"/>
      <c r="KO159" s="19"/>
      <c r="KQ159" s="8"/>
      <c r="KR159" s="7"/>
      <c r="KS159" s="19"/>
      <c r="KT159" s="19"/>
      <c r="KU159" s="19"/>
      <c r="KV159" s="19"/>
      <c r="KX159" s="8"/>
      <c r="KY159" s="7"/>
      <c r="KZ159" s="19"/>
      <c r="LA159" s="19"/>
      <c r="LB159" s="19"/>
      <c r="LC159" s="19"/>
      <c r="LE159" s="8"/>
      <c r="LF159" s="7"/>
      <c r="LG159" s="19"/>
      <c r="LH159" s="19"/>
      <c r="LI159" s="19"/>
      <c r="LJ159" s="19"/>
      <c r="LL159" s="8"/>
      <c r="LM159" s="7"/>
      <c r="LN159" s="19"/>
      <c r="LO159" s="19"/>
      <c r="LP159" s="19"/>
      <c r="LQ159" s="19"/>
      <c r="LS159" s="8"/>
      <c r="LT159" s="7"/>
      <c r="LU159" s="19"/>
      <c r="LV159" s="19"/>
      <c r="LW159" s="19"/>
      <c r="LX159" s="19"/>
      <c r="LZ159" s="8"/>
      <c r="MA159" s="7"/>
      <c r="MB159" s="19"/>
      <c r="MC159" s="19"/>
      <c r="MD159" s="19"/>
      <c r="ME159" s="19"/>
      <c r="MG159" s="8"/>
      <c r="MH159" s="7"/>
      <c r="MI159" s="19"/>
      <c r="MJ159" s="19"/>
      <c r="MK159" s="19"/>
      <c r="ML159" s="19"/>
      <c r="MN159" s="8"/>
      <c r="MO159" s="7"/>
      <c r="MP159" s="19"/>
      <c r="MQ159" s="19"/>
      <c r="MR159" s="19"/>
      <c r="MS159" s="19"/>
      <c r="MU159" s="8"/>
      <c r="MV159" s="7"/>
      <c r="MW159" s="19"/>
      <c r="MX159" s="19"/>
      <c r="MY159" s="19"/>
      <c r="MZ159" s="19"/>
      <c r="NB159" s="8"/>
      <c r="NC159" s="7"/>
      <c r="ND159" s="19"/>
      <c r="NE159" s="19"/>
      <c r="NF159" s="19"/>
      <c r="NG159" s="19"/>
      <c r="NI159" s="8"/>
      <c r="NJ159" s="7"/>
      <c r="NK159" s="19"/>
      <c r="NL159" s="19"/>
      <c r="NM159" s="19"/>
      <c r="NN159" s="19"/>
      <c r="NP159" s="8"/>
      <c r="NQ159" s="7"/>
      <c r="NR159" s="19"/>
      <c r="NS159" s="19"/>
      <c r="NT159" s="19"/>
      <c r="NU159" s="19"/>
      <c r="NW159" s="8"/>
      <c r="NX159" s="7"/>
      <c r="NY159" s="19"/>
      <c r="NZ159" s="19"/>
      <c r="OA159" s="19"/>
      <c r="OB159" s="19"/>
      <c r="OD159" s="8"/>
      <c r="OE159" s="7"/>
      <c r="OF159" s="19"/>
      <c r="OG159" s="19"/>
      <c r="OH159" s="19"/>
      <c r="OI159" s="19"/>
      <c r="OK159" s="8"/>
      <c r="OL159" s="7"/>
      <c r="OM159" s="19"/>
      <c r="ON159" s="19"/>
      <c r="OO159" s="19"/>
      <c r="OP159" s="19"/>
      <c r="OR159" s="8"/>
      <c r="OS159" s="7"/>
      <c r="OT159" s="19"/>
      <c r="OU159" s="19"/>
      <c r="OV159" s="19"/>
      <c r="OW159" s="19"/>
      <c r="OY159" s="8"/>
      <c r="OZ159" s="7"/>
      <c r="PA159" s="19"/>
      <c r="PB159" s="19"/>
      <c r="PC159" s="19"/>
      <c r="PD159" s="19"/>
      <c r="PF159" s="8"/>
      <c r="PG159" s="7"/>
      <c r="PH159" s="19"/>
      <c r="PI159" s="19"/>
      <c r="PJ159" s="19"/>
      <c r="PK159" s="19"/>
      <c r="PM159" s="8"/>
    </row>
    <row r="160" spans="1:429" s="475" customFormat="1" ht="19" customHeight="1">
      <c r="A160" s="6" t="s">
        <v>78</v>
      </c>
      <c r="B160" s="472"/>
      <c r="C160" s="10"/>
      <c r="D160" s="20"/>
      <c r="E160" s="20"/>
      <c r="F160" s="20"/>
      <c r="G160" s="20"/>
      <c r="H160" s="10"/>
      <c r="I160" s="10"/>
      <c r="J160" s="10"/>
      <c r="K160" s="20"/>
      <c r="L160" s="20"/>
      <c r="M160" s="20"/>
      <c r="N160" s="20"/>
      <c r="O160" s="10"/>
      <c r="P160" s="10"/>
      <c r="Q160" s="10"/>
      <c r="R160" s="20"/>
      <c r="S160" s="20"/>
      <c r="T160" s="20"/>
      <c r="U160" s="20"/>
      <c r="V160" s="10"/>
      <c r="W160" s="10"/>
      <c r="X160" s="10"/>
      <c r="Y160" s="20"/>
      <c r="Z160" s="20"/>
      <c r="AA160" s="20"/>
      <c r="AB160" s="20"/>
      <c r="AC160" s="10"/>
      <c r="AD160" s="10"/>
      <c r="AE160" s="10"/>
      <c r="AF160" s="20"/>
      <c r="AG160" s="20"/>
      <c r="AH160" s="20"/>
      <c r="AI160" s="20"/>
      <c r="AJ160" s="10"/>
      <c r="AK160" s="10"/>
      <c r="AL160" s="10"/>
      <c r="AM160" s="20"/>
      <c r="AN160" s="20"/>
      <c r="AO160" s="20"/>
      <c r="AP160" s="20"/>
      <c r="AQ160" s="10"/>
      <c r="AR160" s="10"/>
      <c r="AS160" s="10"/>
      <c r="AT160" s="20"/>
      <c r="AU160" s="20"/>
      <c r="AV160" s="20"/>
      <c r="AW160" s="20"/>
      <c r="AX160" s="10"/>
      <c r="AY160" s="10"/>
      <c r="AZ160" s="10"/>
      <c r="BA160" s="20"/>
      <c r="BB160" s="20"/>
      <c r="BC160" s="20"/>
      <c r="BD160" s="20"/>
      <c r="BE160" s="10"/>
      <c r="BF160" s="10"/>
      <c r="BG160" s="10"/>
      <c r="BH160" s="20"/>
      <c r="BI160" s="20"/>
      <c r="BJ160" s="20"/>
      <c r="BK160" s="20"/>
      <c r="BL160" s="10"/>
      <c r="BM160" s="10"/>
      <c r="BN160" s="10"/>
      <c r="BO160" s="20"/>
      <c r="BP160" s="20"/>
      <c r="BQ160" s="20"/>
      <c r="BR160" s="20"/>
      <c r="BS160" s="10"/>
      <c r="BT160" s="10"/>
      <c r="BU160" s="10"/>
      <c r="BV160" s="20"/>
      <c r="BW160" s="20"/>
      <c r="BX160" s="20"/>
      <c r="BY160" s="20"/>
      <c r="BZ160" s="10"/>
      <c r="CA160" s="10"/>
      <c r="CB160" s="10"/>
      <c r="CC160" s="20"/>
      <c r="CD160" s="20"/>
      <c r="CE160" s="20"/>
      <c r="CF160" s="20"/>
      <c r="CG160" s="10"/>
      <c r="CH160" s="10"/>
      <c r="CI160" s="10"/>
      <c r="CJ160" s="20"/>
      <c r="CK160" s="20"/>
      <c r="CL160" s="20"/>
      <c r="CM160" s="20"/>
      <c r="CN160" s="10"/>
      <c r="CO160" s="10"/>
      <c r="CP160" s="10"/>
      <c r="CQ160" s="20"/>
      <c r="CR160" s="20"/>
      <c r="CS160" s="20"/>
      <c r="CT160" s="20"/>
      <c r="CU160" s="10"/>
      <c r="CV160" s="10"/>
      <c r="CW160" s="10"/>
      <c r="CX160" s="20"/>
      <c r="CY160" s="20"/>
      <c r="CZ160" s="20"/>
      <c r="DA160" s="20"/>
      <c r="DB160" s="10"/>
      <c r="DC160" s="10"/>
      <c r="DD160" s="10"/>
      <c r="DE160" s="20"/>
      <c r="DF160" s="20"/>
      <c r="DG160" s="20"/>
      <c r="DH160" s="20"/>
      <c r="DI160" s="10"/>
      <c r="DJ160" s="10"/>
      <c r="DK160" s="10"/>
      <c r="DL160" s="20"/>
      <c r="DM160" s="20"/>
      <c r="DN160" s="20"/>
      <c r="DO160" s="20"/>
      <c r="DP160" s="10"/>
      <c r="DQ160" s="10"/>
      <c r="DR160" s="10"/>
      <c r="DS160" s="20"/>
      <c r="DT160" s="20"/>
      <c r="DU160" s="20"/>
      <c r="DV160" s="20"/>
      <c r="DW160" s="10"/>
      <c r="DX160" s="10"/>
      <c r="DY160" s="10"/>
      <c r="DZ160" s="20"/>
      <c r="EA160" s="20"/>
      <c r="EB160" s="20"/>
      <c r="EC160" s="20"/>
      <c r="ED160" s="10"/>
      <c r="EE160" s="10"/>
      <c r="EF160" s="10"/>
      <c r="EG160" s="20"/>
      <c r="EH160" s="20"/>
      <c r="EI160" s="20"/>
      <c r="EJ160" s="20"/>
      <c r="EK160" s="10"/>
      <c r="EL160" s="10"/>
      <c r="EM160" s="10"/>
      <c r="EN160" s="20"/>
      <c r="EO160" s="20"/>
      <c r="EP160" s="20"/>
      <c r="EQ160" s="20"/>
      <c r="ER160" s="10"/>
      <c r="ES160" s="10"/>
      <c r="ET160" s="10"/>
      <c r="EU160" s="20"/>
      <c r="EV160" s="20"/>
      <c r="EW160" s="20"/>
      <c r="EX160" s="20"/>
      <c r="EY160" s="10"/>
      <c r="EZ160" s="10"/>
      <c r="FA160" s="10"/>
      <c r="FB160" s="20"/>
      <c r="FC160" s="20"/>
      <c r="FD160" s="20"/>
      <c r="FE160" s="20"/>
      <c r="FF160" s="10"/>
      <c r="FG160" s="10"/>
      <c r="FH160" s="10"/>
      <c r="FI160" s="20"/>
      <c r="FJ160" s="20"/>
      <c r="FK160" s="20"/>
      <c r="FL160" s="20"/>
      <c r="FM160" s="10"/>
      <c r="FN160" s="10"/>
      <c r="FO160" s="10"/>
      <c r="FP160" s="20"/>
      <c r="FQ160" s="20"/>
      <c r="FR160" s="20"/>
      <c r="FS160" s="20"/>
      <c r="FT160" s="10"/>
      <c r="FU160" s="10"/>
      <c r="FV160" s="10"/>
      <c r="FW160" s="20"/>
      <c r="FX160" s="20"/>
      <c r="FY160" s="20"/>
      <c r="FZ160" s="20"/>
      <c r="GA160" s="10"/>
      <c r="GB160" s="10"/>
      <c r="GC160" s="10"/>
      <c r="GD160" s="20"/>
      <c r="GE160" s="20"/>
      <c r="GF160" s="20"/>
      <c r="GG160" s="20"/>
      <c r="GH160" s="10"/>
      <c r="GI160" s="10"/>
      <c r="GJ160" s="10"/>
      <c r="GK160" s="20"/>
      <c r="GL160" s="20"/>
      <c r="GM160" s="20"/>
      <c r="GN160" s="20"/>
      <c r="GO160" s="10"/>
      <c r="GP160" s="10"/>
      <c r="GQ160" s="10"/>
      <c r="GR160" s="20"/>
      <c r="GS160" s="20"/>
      <c r="GT160" s="20"/>
      <c r="GU160" s="20"/>
      <c r="GV160" s="10"/>
      <c r="GW160" s="10"/>
      <c r="GX160" s="10"/>
      <c r="GY160" s="20"/>
      <c r="GZ160" s="20"/>
      <c r="HA160" s="20"/>
      <c r="HB160" s="20"/>
      <c r="HC160" s="10"/>
      <c r="HD160" s="10"/>
      <c r="HE160" s="10"/>
      <c r="HF160" s="20"/>
      <c r="HG160" s="20"/>
      <c r="HH160" s="20"/>
      <c r="HI160" s="20"/>
      <c r="HJ160" s="10"/>
      <c r="HK160" s="10"/>
      <c r="HL160" s="10"/>
      <c r="HM160" s="20"/>
      <c r="HN160" s="20"/>
      <c r="HO160" s="20"/>
      <c r="HP160" s="20"/>
      <c r="HQ160" s="10"/>
      <c r="HR160" s="10"/>
      <c r="HS160" s="10"/>
      <c r="HT160" s="20"/>
      <c r="HU160" s="20"/>
      <c r="HV160" s="20"/>
      <c r="HW160" s="20"/>
      <c r="HX160" s="10"/>
      <c r="HY160" s="10"/>
      <c r="HZ160" s="10"/>
      <c r="IA160" s="20"/>
      <c r="IB160" s="20"/>
      <c r="IC160" s="20"/>
      <c r="ID160" s="20"/>
      <c r="IE160" s="10"/>
      <c r="IF160" s="10"/>
      <c r="IG160" s="10"/>
      <c r="IH160" s="20"/>
      <c r="II160" s="20"/>
      <c r="IJ160" s="20"/>
      <c r="IK160" s="20"/>
      <c r="IL160" s="10"/>
      <c r="IM160" s="10"/>
      <c r="IN160" s="10"/>
      <c r="IO160" s="20"/>
      <c r="IP160" s="20"/>
      <c r="IQ160" s="20"/>
      <c r="IR160" s="20"/>
      <c r="IS160" s="10"/>
      <c r="IT160" s="10"/>
      <c r="IU160" s="10"/>
      <c r="IV160" s="20"/>
      <c r="IW160" s="20"/>
      <c r="IX160" s="20"/>
      <c r="IY160" s="20"/>
      <c r="IZ160" s="10"/>
      <c r="JA160" s="10"/>
      <c r="JB160" s="10"/>
      <c r="JC160" s="20"/>
      <c r="JD160" s="20"/>
      <c r="JE160" s="20"/>
      <c r="JF160" s="20"/>
      <c r="JG160" s="10"/>
      <c r="JH160" s="10"/>
      <c r="JI160" s="10"/>
      <c r="JJ160" s="20"/>
      <c r="JK160" s="20"/>
      <c r="JL160" s="20"/>
      <c r="JM160" s="20"/>
      <c r="JN160" s="10"/>
      <c r="JO160" s="10"/>
      <c r="JP160" s="10"/>
      <c r="JQ160" s="20"/>
      <c r="JR160" s="20"/>
      <c r="JS160" s="20"/>
      <c r="JT160" s="20"/>
      <c r="JU160" s="10"/>
      <c r="JV160" s="10"/>
      <c r="JW160" s="10"/>
      <c r="JX160" s="20"/>
      <c r="JY160" s="20"/>
      <c r="JZ160" s="20"/>
      <c r="KA160" s="20"/>
      <c r="KB160" s="10"/>
      <c r="KC160" s="10"/>
      <c r="KD160" s="10"/>
      <c r="KE160" s="20"/>
      <c r="KF160" s="20"/>
      <c r="KG160" s="20"/>
      <c r="KH160" s="20"/>
      <c r="KI160" s="10"/>
      <c r="KJ160" s="10"/>
      <c r="KK160" s="10"/>
      <c r="KL160" s="20"/>
      <c r="KM160" s="20"/>
      <c r="KN160" s="20"/>
      <c r="KO160" s="20"/>
      <c r="KP160" s="10"/>
      <c r="KQ160" s="10"/>
      <c r="KR160" s="10"/>
      <c r="KS160" s="20"/>
      <c r="KT160" s="20"/>
      <c r="KU160" s="20"/>
      <c r="KV160" s="20"/>
      <c r="KW160" s="10"/>
      <c r="KX160" s="10"/>
      <c r="KY160" s="10"/>
      <c r="KZ160" s="20"/>
      <c r="LA160" s="20"/>
      <c r="LB160" s="20"/>
      <c r="LC160" s="20"/>
      <c r="LD160" s="10"/>
      <c r="LE160" s="10"/>
      <c r="LF160" s="10"/>
      <c r="LG160" s="20"/>
      <c r="LH160" s="20"/>
      <c r="LI160" s="20"/>
      <c r="LJ160" s="20"/>
      <c r="LK160" s="10"/>
      <c r="LL160" s="10"/>
      <c r="LM160" s="10"/>
      <c r="LN160" s="20"/>
      <c r="LO160" s="20"/>
      <c r="LP160" s="20"/>
      <c r="LQ160" s="20"/>
      <c r="LR160" s="10"/>
      <c r="LS160" s="10"/>
      <c r="LT160" s="10"/>
      <c r="LU160" s="20"/>
      <c r="LV160" s="20"/>
      <c r="LW160" s="20"/>
      <c r="LX160" s="20"/>
      <c r="LY160" s="10"/>
      <c r="LZ160" s="10"/>
      <c r="MA160" s="10"/>
      <c r="MB160" s="20"/>
      <c r="MC160" s="20"/>
      <c r="MD160" s="20"/>
      <c r="ME160" s="20"/>
      <c r="MF160" s="10"/>
      <c r="MG160" s="10"/>
      <c r="MH160" s="10"/>
      <c r="MI160" s="20"/>
      <c r="MJ160" s="20"/>
      <c r="MK160" s="20"/>
      <c r="ML160" s="20"/>
      <c r="MM160" s="10"/>
      <c r="MN160" s="10"/>
      <c r="MO160" s="10"/>
      <c r="MP160" s="20"/>
      <c r="MQ160" s="20"/>
      <c r="MR160" s="20"/>
      <c r="MS160" s="20"/>
      <c r="MT160" s="10"/>
      <c r="MU160" s="10"/>
      <c r="MV160" s="10"/>
      <c r="MW160" s="20"/>
      <c r="MX160" s="20"/>
      <c r="MY160" s="20"/>
      <c r="MZ160" s="20"/>
      <c r="NA160" s="10"/>
      <c r="NB160" s="10"/>
      <c r="NC160" s="10"/>
      <c r="ND160" s="20"/>
      <c r="NE160" s="20"/>
      <c r="NF160" s="20"/>
      <c r="NG160" s="20"/>
      <c r="NH160" s="10"/>
      <c r="NI160" s="10"/>
      <c r="NJ160" s="10"/>
      <c r="NK160" s="20"/>
      <c r="NL160" s="20"/>
      <c r="NM160" s="20"/>
      <c r="NN160" s="20"/>
      <c r="NO160" s="10"/>
      <c r="NP160" s="10"/>
      <c r="NQ160" s="10"/>
      <c r="NR160" s="20"/>
      <c r="NS160" s="20"/>
      <c r="NT160" s="20"/>
      <c r="NU160" s="20"/>
      <c r="NV160" s="10"/>
      <c r="NW160" s="10"/>
      <c r="NX160" s="10"/>
      <c r="NY160" s="20"/>
      <c r="NZ160" s="20"/>
      <c r="OA160" s="20"/>
      <c r="OB160" s="20"/>
      <c r="OC160" s="10"/>
      <c r="OD160" s="10"/>
      <c r="OE160" s="10"/>
      <c r="OF160" s="20"/>
      <c r="OG160" s="20"/>
      <c r="OH160" s="20"/>
      <c r="OI160" s="20"/>
      <c r="OJ160" s="10"/>
      <c r="OK160" s="10"/>
      <c r="OL160" s="10"/>
      <c r="OM160" s="20"/>
      <c r="ON160" s="20"/>
      <c r="OO160" s="20"/>
      <c r="OP160" s="20"/>
      <c r="OQ160" s="10"/>
      <c r="OR160" s="10"/>
      <c r="OS160" s="10"/>
      <c r="OT160" s="20"/>
      <c r="OU160" s="20"/>
      <c r="OV160" s="20"/>
      <c r="OW160" s="20"/>
      <c r="OX160" s="10"/>
      <c r="OY160" s="10"/>
      <c r="OZ160" s="10"/>
      <c r="PA160" s="20"/>
      <c r="PB160" s="20"/>
      <c r="PC160" s="20"/>
      <c r="PD160" s="20"/>
      <c r="PE160" s="10"/>
      <c r="PF160" s="10"/>
      <c r="PG160" s="10"/>
      <c r="PH160" s="20"/>
      <c r="PI160" s="20"/>
      <c r="PJ160" s="20"/>
      <c r="PK160" s="20"/>
      <c r="PL160" s="10"/>
      <c r="PM160" s="10"/>
    </row>
    <row r="161" spans="1:429" s="1" customFormat="1" ht="26" customHeight="1" outlineLevel="1">
      <c r="B161" s="471"/>
      <c r="C161" s="7"/>
      <c r="D161" s="19"/>
      <c r="E161" s="19"/>
      <c r="F161" s="19"/>
      <c r="G161" s="19"/>
      <c r="I161" s="8"/>
      <c r="J161" s="7"/>
      <c r="K161" s="19"/>
      <c r="L161" s="19"/>
      <c r="M161" s="19"/>
      <c r="N161" s="19"/>
      <c r="P161" s="8"/>
      <c r="Q161" s="7"/>
      <c r="R161" s="19"/>
      <c r="S161" s="19"/>
      <c r="T161" s="19"/>
      <c r="U161" s="19"/>
      <c r="W161" s="8"/>
      <c r="X161" s="7"/>
      <c r="Y161" s="19"/>
      <c r="Z161" s="19"/>
      <c r="AA161" s="19"/>
      <c r="AB161" s="19"/>
      <c r="AD161" s="8"/>
      <c r="AE161" s="7"/>
      <c r="AF161" s="19"/>
      <c r="AG161" s="19"/>
      <c r="AH161" s="19"/>
      <c r="AI161" s="19"/>
      <c r="AK161" s="8"/>
      <c r="AL161" s="7"/>
      <c r="AM161" s="19"/>
      <c r="AN161" s="19"/>
      <c r="AO161" s="19"/>
      <c r="AP161" s="19"/>
      <c r="AR161" s="8"/>
      <c r="AS161" s="7"/>
      <c r="AT161" s="19"/>
      <c r="AU161" s="19"/>
      <c r="AV161" s="19"/>
      <c r="AW161" s="19"/>
      <c r="AY161" s="8"/>
      <c r="AZ161" s="7"/>
      <c r="BA161" s="19"/>
      <c r="BB161" s="19"/>
      <c r="BC161" s="19"/>
      <c r="BD161" s="19"/>
      <c r="BF161" s="8"/>
      <c r="BG161" s="7"/>
      <c r="BH161" s="19"/>
      <c r="BI161" s="19"/>
      <c r="BJ161" s="19"/>
      <c r="BK161" s="19"/>
      <c r="BM161" s="8"/>
      <c r="BN161" s="7"/>
      <c r="BO161" s="19"/>
      <c r="BP161" s="19"/>
      <c r="BQ161" s="19"/>
      <c r="BR161" s="19"/>
      <c r="BT161" s="8"/>
      <c r="BU161" s="7"/>
      <c r="BV161" s="19"/>
      <c r="BW161" s="19"/>
      <c r="BX161" s="19"/>
      <c r="BY161" s="19"/>
      <c r="CA161" s="8"/>
      <c r="CB161" s="7"/>
      <c r="CC161" s="19"/>
      <c r="CD161" s="19"/>
      <c r="CE161" s="19"/>
      <c r="CF161" s="19"/>
      <c r="CH161" s="8"/>
      <c r="CI161" s="7"/>
      <c r="CJ161" s="19"/>
      <c r="CK161" s="19"/>
      <c r="CL161" s="19"/>
      <c r="CM161" s="19"/>
      <c r="CO161" s="8"/>
      <c r="CP161" s="7"/>
      <c r="CQ161" s="19"/>
      <c r="CR161" s="19"/>
      <c r="CS161" s="19"/>
      <c r="CT161" s="19"/>
      <c r="CV161" s="8"/>
      <c r="CW161" s="7"/>
      <c r="CX161" s="19"/>
      <c r="CY161" s="19"/>
      <c r="CZ161" s="19"/>
      <c r="DA161" s="19"/>
      <c r="DC161" s="8"/>
      <c r="DD161" s="7"/>
      <c r="DE161" s="19"/>
      <c r="DF161" s="19"/>
      <c r="DG161" s="19"/>
      <c r="DH161" s="19"/>
      <c r="DJ161" s="8"/>
      <c r="DK161" s="7" t="s">
        <v>107</v>
      </c>
      <c r="DL161" s="19" t="s">
        <v>499</v>
      </c>
      <c r="DM161" s="19"/>
      <c r="DN161" s="19"/>
      <c r="DO161" s="19"/>
      <c r="DQ161" s="9">
        <v>0.41666666666666669</v>
      </c>
      <c r="DR161" s="7"/>
      <c r="DS161" s="19" t="s">
        <v>499</v>
      </c>
      <c r="DT161" s="19"/>
      <c r="DU161" s="19"/>
      <c r="DV161" s="19"/>
      <c r="DX161" s="9">
        <v>0.5</v>
      </c>
      <c r="DY161" s="7"/>
      <c r="DZ161" s="19" t="s">
        <v>499</v>
      </c>
      <c r="EA161" s="19"/>
      <c r="EB161" s="19"/>
      <c r="EC161" s="19"/>
      <c r="EE161" s="9">
        <v>0.58333333333333337</v>
      </c>
      <c r="EF161" s="7"/>
      <c r="EG161" s="19"/>
      <c r="EH161" s="19"/>
      <c r="EI161" s="19"/>
      <c r="EJ161" s="19"/>
      <c r="EL161" s="8"/>
      <c r="EM161" s="7"/>
      <c r="EN161" s="19"/>
      <c r="EO161" s="19"/>
      <c r="EP161" s="19"/>
      <c r="EQ161" s="19"/>
      <c r="ES161" s="8"/>
      <c r="ET161" s="7"/>
      <c r="EU161" s="19"/>
      <c r="EV161" s="19"/>
      <c r="EW161" s="19"/>
      <c r="EX161" s="19"/>
      <c r="EZ161" s="8"/>
      <c r="FA161" s="7"/>
      <c r="FB161" s="19"/>
      <c r="FC161" s="19"/>
      <c r="FD161" s="19"/>
      <c r="FE161" s="19"/>
      <c r="FG161" s="8"/>
      <c r="FH161" s="7"/>
      <c r="FI161" s="19"/>
      <c r="FJ161" s="19"/>
      <c r="FK161" s="19"/>
      <c r="FL161" s="19"/>
      <c r="FN161" s="8"/>
      <c r="FO161" s="7"/>
      <c r="FP161" s="19"/>
      <c r="FQ161" s="19"/>
      <c r="FR161" s="19"/>
      <c r="FS161" s="19"/>
      <c r="FU161" s="8"/>
      <c r="FV161" s="7"/>
      <c r="FW161" s="19"/>
      <c r="FX161" s="19"/>
      <c r="FY161" s="19"/>
      <c r="FZ161" s="19"/>
      <c r="GB161" s="8"/>
      <c r="GC161" s="7"/>
      <c r="GD161" s="19"/>
      <c r="GE161" s="19"/>
      <c r="GF161" s="19"/>
      <c r="GG161" s="19"/>
      <c r="GI161" s="8"/>
      <c r="GJ161" s="7"/>
      <c r="GK161" s="19"/>
      <c r="GL161" s="19"/>
      <c r="GM161" s="19"/>
      <c r="GN161" s="19"/>
      <c r="GP161" s="8"/>
      <c r="GQ161" s="7"/>
      <c r="GR161" s="19"/>
      <c r="GS161" s="19"/>
      <c r="GT161" s="19"/>
      <c r="GU161" s="19"/>
      <c r="GW161" s="8"/>
      <c r="GX161" s="7"/>
      <c r="GY161" s="19"/>
      <c r="GZ161" s="19"/>
      <c r="HA161" s="19"/>
      <c r="HB161" s="19"/>
      <c r="HD161" s="8"/>
      <c r="HE161" s="7"/>
      <c r="HF161" s="19"/>
      <c r="HG161" s="19"/>
      <c r="HH161" s="19"/>
      <c r="HI161" s="19"/>
      <c r="HK161" s="8"/>
      <c r="HL161" s="7"/>
      <c r="HM161" s="19"/>
      <c r="HN161" s="19"/>
      <c r="HO161" s="19"/>
      <c r="HP161" s="19"/>
      <c r="HR161" s="8"/>
      <c r="HS161" s="7"/>
      <c r="HT161" s="19"/>
      <c r="HU161" s="19"/>
      <c r="HV161" s="19"/>
      <c r="HW161" s="19"/>
      <c r="HY161" s="8"/>
      <c r="HZ161" s="7"/>
      <c r="IA161" s="19"/>
      <c r="IB161" s="19"/>
      <c r="IC161" s="19"/>
      <c r="ID161" s="19"/>
      <c r="IF161" s="8"/>
      <c r="IG161" s="7"/>
      <c r="IH161" s="19"/>
      <c r="II161" s="19"/>
      <c r="IJ161" s="19"/>
      <c r="IK161" s="19"/>
      <c r="IM161" s="8"/>
      <c r="IN161" s="7"/>
      <c r="IO161" s="19"/>
      <c r="IP161" s="19"/>
      <c r="IQ161" s="19"/>
      <c r="IR161" s="19"/>
      <c r="IT161" s="8"/>
      <c r="IU161" s="7"/>
      <c r="IV161" s="19"/>
      <c r="IW161" s="19"/>
      <c r="IX161" s="19"/>
      <c r="IY161" s="19"/>
      <c r="JA161" s="8"/>
      <c r="JB161" s="7"/>
      <c r="JC161" s="19"/>
      <c r="JD161" s="19"/>
      <c r="JE161" s="19"/>
      <c r="JF161" s="19"/>
      <c r="JH161" s="8"/>
      <c r="JI161" s="7"/>
      <c r="JJ161" s="19"/>
      <c r="JK161" s="19"/>
      <c r="JL161" s="19"/>
      <c r="JM161" s="19"/>
      <c r="JO161" s="8"/>
      <c r="JP161" s="7"/>
      <c r="JQ161" s="19"/>
      <c r="JR161" s="19"/>
      <c r="JS161" s="19"/>
      <c r="JT161" s="19"/>
      <c r="JV161" s="8"/>
      <c r="JW161" s="7"/>
      <c r="JX161" s="19"/>
      <c r="JY161" s="19"/>
      <c r="JZ161" s="19"/>
      <c r="KA161" s="19"/>
      <c r="KC161" s="8"/>
      <c r="KD161" s="7"/>
      <c r="KE161" s="19"/>
      <c r="KF161" s="19"/>
      <c r="KG161" s="19"/>
      <c r="KH161" s="19"/>
      <c r="KJ161" s="8"/>
      <c r="KK161" s="7"/>
      <c r="KL161" s="19"/>
      <c r="KM161" s="19"/>
      <c r="KN161" s="19"/>
      <c r="KO161" s="19"/>
      <c r="KQ161" s="8"/>
      <c r="KR161" s="7"/>
      <c r="KS161" s="19"/>
      <c r="KT161" s="19"/>
      <c r="KU161" s="19"/>
      <c r="KV161" s="19"/>
      <c r="KX161" s="8"/>
      <c r="KY161" s="7"/>
      <c r="KZ161" s="19"/>
      <c r="LA161" s="19"/>
      <c r="LB161" s="19"/>
      <c r="LC161" s="19"/>
      <c r="LE161" s="8"/>
      <c r="LF161" s="7"/>
      <c r="LG161" s="19"/>
      <c r="LH161" s="19"/>
      <c r="LI161" s="19"/>
      <c r="LJ161" s="19"/>
      <c r="LL161" s="8"/>
      <c r="LM161" s="7"/>
      <c r="LN161" s="19"/>
      <c r="LO161" s="19"/>
      <c r="LP161" s="19"/>
      <c r="LQ161" s="19"/>
      <c r="LS161" s="8"/>
      <c r="LT161" s="7"/>
      <c r="LU161" s="19"/>
      <c r="LV161" s="19"/>
      <c r="LW161" s="19"/>
      <c r="LX161" s="19"/>
      <c r="LZ161" s="8"/>
      <c r="MA161" s="7"/>
      <c r="MB161" s="19"/>
      <c r="MC161" s="19"/>
      <c r="MD161" s="19"/>
      <c r="ME161" s="19"/>
      <c r="MG161" s="8"/>
      <c r="MH161" s="7"/>
      <c r="MI161" s="19"/>
      <c r="MJ161" s="19"/>
      <c r="MK161" s="19"/>
      <c r="ML161" s="19"/>
      <c r="MN161" s="8"/>
      <c r="MO161" s="7"/>
      <c r="MP161" s="19"/>
      <c r="MQ161" s="19"/>
      <c r="MR161" s="19"/>
      <c r="MS161" s="19"/>
      <c r="MU161" s="8"/>
      <c r="MV161" s="7"/>
      <c r="MW161" s="19"/>
      <c r="MX161" s="19"/>
      <c r="MY161" s="19"/>
      <c r="MZ161" s="19"/>
      <c r="NB161" s="8"/>
      <c r="NC161" s="7"/>
      <c r="ND161" s="19"/>
      <c r="NE161" s="19"/>
      <c r="NF161" s="19"/>
      <c r="NG161" s="19"/>
      <c r="NI161" s="8"/>
      <c r="NJ161" s="7"/>
      <c r="NK161" s="19"/>
      <c r="NL161" s="19"/>
      <c r="NM161" s="19"/>
      <c r="NN161" s="19"/>
      <c r="NP161" s="8"/>
      <c r="NQ161" s="7"/>
      <c r="NR161" s="19"/>
      <c r="NS161" s="19"/>
      <c r="NT161" s="19"/>
      <c r="NU161" s="19"/>
      <c r="NW161" s="8"/>
      <c r="NX161" s="7"/>
      <c r="NY161" s="19"/>
      <c r="NZ161" s="19"/>
      <c r="OA161" s="19"/>
      <c r="OB161" s="19"/>
      <c r="OD161" s="8"/>
      <c r="OE161" s="7"/>
      <c r="OF161" s="19"/>
      <c r="OG161" s="19"/>
      <c r="OH161" s="19"/>
      <c r="OI161" s="19"/>
      <c r="OK161" s="8"/>
      <c r="OL161" s="7"/>
      <c r="OM161" s="19"/>
      <c r="ON161" s="19"/>
      <c r="OO161" s="19"/>
      <c r="OP161" s="19"/>
      <c r="OR161" s="8"/>
      <c r="OS161" s="7"/>
      <c r="OT161" s="19"/>
      <c r="OU161" s="19"/>
      <c r="OV161" s="19"/>
      <c r="OW161" s="19"/>
      <c r="OY161" s="8"/>
      <c r="OZ161" s="7"/>
      <c r="PA161" s="19"/>
      <c r="PB161" s="19"/>
      <c r="PC161" s="19"/>
      <c r="PD161" s="19"/>
      <c r="PF161" s="8"/>
      <c r="PG161" s="7"/>
      <c r="PH161" s="19"/>
      <c r="PI161" s="19"/>
      <c r="PJ161" s="19"/>
      <c r="PK161" s="19"/>
      <c r="PM161" s="8"/>
    </row>
    <row r="162" spans="1:429" s="1" customFormat="1" ht="26" customHeight="1" outlineLevel="1">
      <c r="B162" s="471"/>
      <c r="C162" s="7"/>
      <c r="D162" s="19"/>
      <c r="E162" s="19"/>
      <c r="F162" s="19"/>
      <c r="G162" s="19"/>
      <c r="I162" s="8"/>
      <c r="J162" s="7"/>
      <c r="K162" s="19"/>
      <c r="L162" s="19"/>
      <c r="M162" s="19"/>
      <c r="N162" s="19"/>
      <c r="P162" s="8"/>
      <c r="Q162" s="7"/>
      <c r="R162" s="19"/>
      <c r="S162" s="19"/>
      <c r="T162" s="19"/>
      <c r="U162" s="19"/>
      <c r="W162" s="8"/>
      <c r="X162" s="7"/>
      <c r="Y162" s="19"/>
      <c r="Z162" s="19"/>
      <c r="AA162" s="19"/>
      <c r="AB162" s="19"/>
      <c r="AD162" s="8"/>
      <c r="AE162" s="7"/>
      <c r="AF162" s="19"/>
      <c r="AG162" s="19"/>
      <c r="AH162" s="19"/>
      <c r="AI162" s="19"/>
      <c r="AK162" s="8"/>
      <c r="AL162" s="7"/>
      <c r="AM162" s="19"/>
      <c r="AN162" s="19"/>
      <c r="AO162" s="19"/>
      <c r="AP162" s="19"/>
      <c r="AR162" s="8"/>
      <c r="AS162" s="7"/>
      <c r="AT162" s="19"/>
      <c r="AU162" s="19"/>
      <c r="AV162" s="19"/>
      <c r="AW162" s="19"/>
      <c r="AY162" s="8"/>
      <c r="AZ162" s="7"/>
      <c r="BA162" s="19"/>
      <c r="BB162" s="19"/>
      <c r="BC162" s="19"/>
      <c r="BD162" s="19"/>
      <c r="BF162" s="8"/>
      <c r="BG162" s="7"/>
      <c r="BH162" s="19"/>
      <c r="BI162" s="19"/>
      <c r="BJ162" s="19"/>
      <c r="BK162" s="19"/>
      <c r="BM162" s="8"/>
      <c r="BN162" s="7"/>
      <c r="BO162" s="19"/>
      <c r="BP162" s="19"/>
      <c r="BQ162" s="19"/>
      <c r="BR162" s="19"/>
      <c r="BT162" s="8"/>
      <c r="BU162" s="7"/>
      <c r="BV162" s="19"/>
      <c r="BW162" s="19"/>
      <c r="BX162" s="19"/>
      <c r="BY162" s="19"/>
      <c r="CA162" s="8"/>
      <c r="CB162" s="7"/>
      <c r="CC162" s="19"/>
      <c r="CD162" s="19"/>
      <c r="CE162" s="19"/>
      <c r="CF162" s="19"/>
      <c r="CH162" s="8"/>
      <c r="CI162" s="7"/>
      <c r="CJ162" s="19"/>
      <c r="CK162" s="19"/>
      <c r="CL162" s="19"/>
      <c r="CM162" s="19"/>
      <c r="CO162" s="8"/>
      <c r="CP162" s="7"/>
      <c r="CQ162" s="19"/>
      <c r="CR162" s="19"/>
      <c r="CS162" s="19"/>
      <c r="CT162" s="19"/>
      <c r="CV162" s="8"/>
      <c r="CW162" s="7"/>
      <c r="CX162" s="19"/>
      <c r="CY162" s="19"/>
      <c r="CZ162" s="19"/>
      <c r="DA162" s="19"/>
      <c r="DC162" s="8"/>
      <c r="DD162" s="7"/>
      <c r="DE162" s="19"/>
      <c r="DF162" s="19"/>
      <c r="DG162" s="19"/>
      <c r="DH162" s="19"/>
      <c r="DJ162" s="8"/>
      <c r="DK162" s="7"/>
      <c r="DL162" s="19"/>
      <c r="DM162" s="19"/>
      <c r="DN162" s="19"/>
      <c r="DO162" s="19"/>
      <c r="DQ162" s="8"/>
      <c r="DR162" s="7"/>
      <c r="DS162" s="19"/>
      <c r="DT162" s="19"/>
      <c r="DU162" s="19"/>
      <c r="DV162" s="19"/>
      <c r="DX162" s="8"/>
      <c r="DY162" s="7"/>
      <c r="DZ162" s="19"/>
      <c r="EA162" s="19"/>
      <c r="EB162" s="19"/>
      <c r="EC162" s="19"/>
      <c r="EE162" s="8"/>
      <c r="EF162" s="7"/>
      <c r="EG162" s="19"/>
      <c r="EH162" s="19"/>
      <c r="EI162" s="19"/>
      <c r="EJ162" s="19"/>
      <c r="EL162" s="8"/>
      <c r="EM162" s="7"/>
      <c r="EN162" s="19"/>
      <c r="EO162" s="19"/>
      <c r="EP162" s="19"/>
      <c r="EQ162" s="19"/>
      <c r="ES162" s="8"/>
      <c r="ET162" s="7"/>
      <c r="EU162" s="19"/>
      <c r="EV162" s="19"/>
      <c r="EW162" s="19"/>
      <c r="EX162" s="19"/>
      <c r="EZ162" s="8"/>
      <c r="FA162" s="7"/>
      <c r="FB162" s="19"/>
      <c r="FC162" s="19"/>
      <c r="FD162" s="19"/>
      <c r="FE162" s="19"/>
      <c r="FG162" s="8"/>
      <c r="FH162" s="7"/>
      <c r="FI162" s="19"/>
      <c r="FJ162" s="19"/>
      <c r="FK162" s="19"/>
      <c r="FL162" s="19"/>
      <c r="FN162" s="8"/>
      <c r="FO162" s="7"/>
      <c r="FP162" s="19"/>
      <c r="FQ162" s="19"/>
      <c r="FR162" s="19"/>
      <c r="FS162" s="19"/>
      <c r="FU162" s="8"/>
      <c r="FV162" s="7"/>
      <c r="FW162" s="19"/>
      <c r="FX162" s="19"/>
      <c r="FY162" s="19"/>
      <c r="FZ162" s="19"/>
      <c r="GB162" s="8"/>
      <c r="GC162" s="7"/>
      <c r="GD162" s="19"/>
      <c r="GE162" s="19"/>
      <c r="GF162" s="19"/>
      <c r="GG162" s="19"/>
      <c r="GI162" s="8"/>
      <c r="GJ162" s="7"/>
      <c r="GK162" s="19"/>
      <c r="GL162" s="19"/>
      <c r="GM162" s="19"/>
      <c r="GN162" s="19"/>
      <c r="GP162" s="8"/>
      <c r="GQ162" s="7"/>
      <c r="GR162" s="19"/>
      <c r="GS162" s="19"/>
      <c r="GT162" s="19"/>
      <c r="GU162" s="19"/>
      <c r="GW162" s="8"/>
      <c r="GX162" s="7"/>
      <c r="GY162" s="19"/>
      <c r="GZ162" s="19"/>
      <c r="HA162" s="19"/>
      <c r="HB162" s="19"/>
      <c r="HD162" s="8"/>
      <c r="HE162" s="7"/>
      <c r="HF162" s="19"/>
      <c r="HG162" s="19"/>
      <c r="HH162" s="19"/>
      <c r="HI162" s="19"/>
      <c r="HK162" s="8"/>
      <c r="HL162" s="7"/>
      <c r="HM162" s="19"/>
      <c r="HN162" s="19"/>
      <c r="HO162" s="19"/>
      <c r="HP162" s="19"/>
      <c r="HR162" s="8"/>
      <c r="HS162" s="7"/>
      <c r="HT162" s="19"/>
      <c r="HU162" s="19"/>
      <c r="HV162" s="19"/>
      <c r="HW162" s="19"/>
      <c r="HY162" s="8"/>
      <c r="HZ162" s="7"/>
      <c r="IA162" s="19"/>
      <c r="IB162" s="19"/>
      <c r="IC162" s="19"/>
      <c r="ID162" s="19"/>
      <c r="IF162" s="8"/>
      <c r="IG162" s="7"/>
      <c r="IH162" s="19"/>
      <c r="II162" s="19"/>
      <c r="IJ162" s="19"/>
      <c r="IK162" s="19"/>
      <c r="IM162" s="8"/>
      <c r="IN162" s="7"/>
      <c r="IO162" s="19"/>
      <c r="IP162" s="19"/>
      <c r="IQ162" s="19"/>
      <c r="IR162" s="19"/>
      <c r="IT162" s="8"/>
      <c r="IU162" s="7"/>
      <c r="IV162" s="19"/>
      <c r="IW162" s="19"/>
      <c r="IX162" s="19"/>
      <c r="IY162" s="19"/>
      <c r="JA162" s="8"/>
      <c r="JB162" s="7"/>
      <c r="JC162" s="19"/>
      <c r="JD162" s="19"/>
      <c r="JE162" s="19"/>
      <c r="JF162" s="19"/>
      <c r="JH162" s="8"/>
      <c r="JI162" s="7"/>
      <c r="JJ162" s="19"/>
      <c r="JK162" s="19"/>
      <c r="JL162" s="19"/>
      <c r="JM162" s="19"/>
      <c r="JO162" s="8"/>
      <c r="JP162" s="7"/>
      <c r="JQ162" s="19"/>
      <c r="JR162" s="19"/>
      <c r="JS162" s="19"/>
      <c r="JT162" s="19"/>
      <c r="JV162" s="8"/>
      <c r="JW162" s="7"/>
      <c r="JX162" s="19"/>
      <c r="JY162" s="19"/>
      <c r="JZ162" s="19"/>
      <c r="KA162" s="19"/>
      <c r="KC162" s="8"/>
      <c r="KD162" s="7"/>
      <c r="KE162" s="19"/>
      <c r="KF162" s="19"/>
      <c r="KG162" s="19"/>
      <c r="KH162" s="19"/>
      <c r="KJ162" s="8"/>
      <c r="KK162" s="7"/>
      <c r="KL162" s="19"/>
      <c r="KM162" s="19"/>
      <c r="KN162" s="19"/>
      <c r="KO162" s="19"/>
      <c r="KQ162" s="8"/>
      <c r="KR162" s="7"/>
      <c r="KS162" s="19"/>
      <c r="KT162" s="19"/>
      <c r="KU162" s="19"/>
      <c r="KV162" s="19"/>
      <c r="KX162" s="8"/>
      <c r="KY162" s="7"/>
      <c r="KZ162" s="19"/>
      <c r="LA162" s="19"/>
      <c r="LB162" s="19"/>
      <c r="LC162" s="19"/>
      <c r="LE162" s="8"/>
      <c r="LF162" s="7"/>
      <c r="LG162" s="19"/>
      <c r="LH162" s="19"/>
      <c r="LI162" s="19"/>
      <c r="LJ162" s="19"/>
      <c r="LL162" s="8"/>
      <c r="LM162" s="7"/>
      <c r="LN162" s="19"/>
      <c r="LO162" s="19"/>
      <c r="LP162" s="19"/>
      <c r="LQ162" s="19"/>
      <c r="LS162" s="8"/>
      <c r="LT162" s="7"/>
      <c r="LU162" s="19"/>
      <c r="LV162" s="19"/>
      <c r="LW162" s="19"/>
      <c r="LX162" s="19"/>
      <c r="LZ162" s="8"/>
      <c r="MA162" s="7"/>
      <c r="MB162" s="19"/>
      <c r="MC162" s="19"/>
      <c r="MD162" s="19"/>
      <c r="ME162" s="19"/>
      <c r="MG162" s="8"/>
      <c r="MH162" s="7"/>
      <c r="MI162" s="19"/>
      <c r="MJ162" s="19"/>
      <c r="MK162" s="19"/>
      <c r="ML162" s="19"/>
      <c r="MN162" s="8"/>
      <c r="MO162" s="7"/>
      <c r="MP162" s="19"/>
      <c r="MQ162" s="19"/>
      <c r="MR162" s="19"/>
      <c r="MS162" s="19"/>
      <c r="MU162" s="8"/>
      <c r="MV162" s="7"/>
      <c r="MW162" s="19"/>
      <c r="MX162" s="19"/>
      <c r="MY162" s="19"/>
      <c r="MZ162" s="19"/>
      <c r="NB162" s="8"/>
      <c r="NC162" s="7"/>
      <c r="ND162" s="19"/>
      <c r="NE162" s="19"/>
      <c r="NF162" s="19"/>
      <c r="NG162" s="19"/>
      <c r="NI162" s="8"/>
      <c r="NJ162" s="7"/>
      <c r="NK162" s="19"/>
      <c r="NL162" s="19"/>
      <c r="NM162" s="19"/>
      <c r="NN162" s="19"/>
      <c r="NP162" s="8"/>
      <c r="NQ162" s="7"/>
      <c r="NR162" s="19"/>
      <c r="NS162" s="19"/>
      <c r="NT162" s="19"/>
      <c r="NU162" s="19"/>
      <c r="NW162" s="8"/>
      <c r="NX162" s="7"/>
      <c r="NY162" s="19"/>
      <c r="NZ162" s="19"/>
      <c r="OA162" s="19"/>
      <c r="OB162" s="19"/>
      <c r="OD162" s="8"/>
      <c r="OE162" s="7"/>
      <c r="OF162" s="19"/>
      <c r="OG162" s="19"/>
      <c r="OH162" s="19"/>
      <c r="OI162" s="19"/>
      <c r="OK162" s="8"/>
      <c r="OL162" s="7"/>
      <c r="OM162" s="19"/>
      <c r="ON162" s="19"/>
      <c r="OO162" s="19"/>
      <c r="OP162" s="19"/>
      <c r="OR162" s="8"/>
      <c r="OS162" s="7"/>
      <c r="OT162" s="19"/>
      <c r="OU162" s="19"/>
      <c r="OV162" s="19"/>
      <c r="OW162" s="19"/>
      <c r="OY162" s="8"/>
      <c r="OZ162" s="7"/>
      <c r="PA162" s="19"/>
      <c r="PB162" s="19"/>
      <c r="PC162" s="19"/>
      <c r="PD162" s="19"/>
      <c r="PF162" s="8"/>
      <c r="PG162" s="7"/>
      <c r="PH162" s="19"/>
      <c r="PI162" s="19"/>
      <c r="PJ162" s="19"/>
      <c r="PK162" s="19"/>
      <c r="PM162" s="8"/>
    </row>
    <row r="163" spans="1:429" s="1" customFormat="1" ht="26" customHeight="1" outlineLevel="1">
      <c r="B163" s="471"/>
      <c r="C163" s="7"/>
      <c r="D163" s="19"/>
      <c r="E163" s="19"/>
      <c r="F163" s="19"/>
      <c r="G163" s="19"/>
      <c r="I163" s="8"/>
      <c r="J163" s="7"/>
      <c r="K163" s="19"/>
      <c r="L163" s="19"/>
      <c r="M163" s="19"/>
      <c r="N163" s="19"/>
      <c r="P163" s="8"/>
      <c r="Q163" s="7"/>
      <c r="R163" s="19"/>
      <c r="S163" s="19"/>
      <c r="T163" s="19"/>
      <c r="U163" s="19"/>
      <c r="W163" s="8"/>
      <c r="X163" s="7"/>
      <c r="Y163" s="19"/>
      <c r="Z163" s="19"/>
      <c r="AA163" s="19"/>
      <c r="AB163" s="19"/>
      <c r="AD163" s="8"/>
      <c r="AE163" s="7"/>
      <c r="AF163" s="19"/>
      <c r="AG163" s="19"/>
      <c r="AH163" s="19"/>
      <c r="AI163" s="19"/>
      <c r="AK163" s="8"/>
      <c r="AL163" s="7"/>
      <c r="AM163" s="19"/>
      <c r="AN163" s="19"/>
      <c r="AO163" s="19"/>
      <c r="AP163" s="19"/>
      <c r="AR163" s="8"/>
      <c r="AS163" s="7"/>
      <c r="AT163" s="19"/>
      <c r="AU163" s="19"/>
      <c r="AV163" s="19"/>
      <c r="AW163" s="19"/>
      <c r="AY163" s="8"/>
      <c r="AZ163" s="7"/>
      <c r="BA163" s="19"/>
      <c r="BB163" s="19"/>
      <c r="BC163" s="19"/>
      <c r="BD163" s="19"/>
      <c r="BF163" s="8"/>
      <c r="BG163" s="7"/>
      <c r="BH163" s="19"/>
      <c r="BI163" s="19"/>
      <c r="BJ163" s="19"/>
      <c r="BK163" s="19"/>
      <c r="BM163" s="8"/>
      <c r="BN163" s="7"/>
      <c r="BO163" s="19"/>
      <c r="BP163" s="19"/>
      <c r="BQ163" s="19"/>
      <c r="BR163" s="19"/>
      <c r="BT163" s="8"/>
      <c r="BU163" s="7"/>
      <c r="BV163" s="19"/>
      <c r="BW163" s="19"/>
      <c r="BX163" s="19"/>
      <c r="BY163" s="19"/>
      <c r="CA163" s="8"/>
      <c r="CB163" s="7"/>
      <c r="CC163" s="19"/>
      <c r="CD163" s="19"/>
      <c r="CE163" s="19"/>
      <c r="CF163" s="19"/>
      <c r="CH163" s="8"/>
      <c r="CI163" s="7"/>
      <c r="CJ163" s="19"/>
      <c r="CK163" s="19"/>
      <c r="CL163" s="19"/>
      <c r="CM163" s="19"/>
      <c r="CO163" s="8"/>
      <c r="CP163" s="7"/>
      <c r="CQ163" s="19"/>
      <c r="CR163" s="19"/>
      <c r="CS163" s="19"/>
      <c r="CT163" s="19"/>
      <c r="CV163" s="8"/>
      <c r="CW163" s="7"/>
      <c r="CX163" s="19"/>
      <c r="CY163" s="19"/>
      <c r="CZ163" s="19"/>
      <c r="DA163" s="19"/>
      <c r="DC163" s="8"/>
      <c r="DD163" s="7"/>
      <c r="DE163" s="19"/>
      <c r="DF163" s="19"/>
      <c r="DG163" s="19"/>
      <c r="DH163" s="19"/>
      <c r="DJ163" s="8"/>
      <c r="DK163" s="7"/>
      <c r="DL163" s="19"/>
      <c r="DM163" s="19"/>
      <c r="DN163" s="19"/>
      <c r="DO163" s="19"/>
      <c r="DQ163" s="8"/>
      <c r="DR163" s="7"/>
      <c r="DS163" s="19"/>
      <c r="DT163" s="19"/>
      <c r="DU163" s="19"/>
      <c r="DV163" s="19"/>
      <c r="DX163" s="8"/>
      <c r="DY163" s="7"/>
      <c r="DZ163" s="19"/>
      <c r="EA163" s="19"/>
      <c r="EB163" s="19"/>
      <c r="EC163" s="19"/>
      <c r="EE163" s="8"/>
      <c r="EF163" s="7"/>
      <c r="EG163" s="19"/>
      <c r="EH163" s="19"/>
      <c r="EI163" s="19"/>
      <c r="EJ163" s="19"/>
      <c r="EL163" s="8"/>
      <c r="EM163" s="7"/>
      <c r="EN163" s="19"/>
      <c r="EO163" s="19"/>
      <c r="EP163" s="19"/>
      <c r="EQ163" s="19"/>
      <c r="ES163" s="8"/>
      <c r="ET163" s="7"/>
      <c r="EU163" s="19"/>
      <c r="EV163" s="19"/>
      <c r="EW163" s="19"/>
      <c r="EX163" s="19"/>
      <c r="EZ163" s="8"/>
      <c r="FA163" s="7"/>
      <c r="FB163" s="19"/>
      <c r="FC163" s="19"/>
      <c r="FD163" s="19"/>
      <c r="FE163" s="19"/>
      <c r="FG163" s="8"/>
      <c r="FH163" s="7"/>
      <c r="FI163" s="19"/>
      <c r="FJ163" s="19"/>
      <c r="FK163" s="19"/>
      <c r="FL163" s="19"/>
      <c r="FN163" s="8"/>
      <c r="FO163" s="7"/>
      <c r="FP163" s="19"/>
      <c r="FQ163" s="19"/>
      <c r="FR163" s="19"/>
      <c r="FS163" s="19"/>
      <c r="FU163" s="8"/>
      <c r="FV163" s="7"/>
      <c r="FW163" s="19"/>
      <c r="FX163" s="19"/>
      <c r="FY163" s="19"/>
      <c r="FZ163" s="19"/>
      <c r="GB163" s="8"/>
      <c r="GC163" s="7"/>
      <c r="GD163" s="19"/>
      <c r="GE163" s="19"/>
      <c r="GF163" s="19"/>
      <c r="GG163" s="19"/>
      <c r="GI163" s="8"/>
      <c r="GJ163" s="7"/>
      <c r="GK163" s="19"/>
      <c r="GL163" s="19"/>
      <c r="GM163" s="19"/>
      <c r="GN163" s="19"/>
      <c r="GP163" s="8"/>
      <c r="GQ163" s="7"/>
      <c r="GR163" s="19"/>
      <c r="GS163" s="19"/>
      <c r="GT163" s="19"/>
      <c r="GU163" s="19"/>
      <c r="GW163" s="8"/>
      <c r="GX163" s="7"/>
      <c r="GY163" s="19"/>
      <c r="GZ163" s="19"/>
      <c r="HA163" s="19"/>
      <c r="HB163" s="19"/>
      <c r="HD163" s="8"/>
      <c r="HE163" s="7"/>
      <c r="HF163" s="19"/>
      <c r="HG163" s="19"/>
      <c r="HH163" s="19"/>
      <c r="HI163" s="19"/>
      <c r="HK163" s="8"/>
      <c r="HL163" s="7"/>
      <c r="HM163" s="19"/>
      <c r="HN163" s="19"/>
      <c r="HO163" s="19"/>
      <c r="HP163" s="19"/>
      <c r="HR163" s="8"/>
      <c r="HS163" s="7"/>
      <c r="HT163" s="19"/>
      <c r="HU163" s="19"/>
      <c r="HV163" s="19"/>
      <c r="HW163" s="19"/>
      <c r="HY163" s="8"/>
      <c r="HZ163" s="7"/>
      <c r="IA163" s="19"/>
      <c r="IB163" s="19"/>
      <c r="IC163" s="19"/>
      <c r="ID163" s="19"/>
      <c r="IF163" s="8"/>
      <c r="IG163" s="7"/>
      <c r="IH163" s="19"/>
      <c r="II163" s="19"/>
      <c r="IJ163" s="19"/>
      <c r="IK163" s="19"/>
      <c r="IM163" s="8"/>
      <c r="IN163" s="7"/>
      <c r="IO163" s="19"/>
      <c r="IP163" s="19"/>
      <c r="IQ163" s="19"/>
      <c r="IR163" s="19"/>
      <c r="IT163" s="8"/>
      <c r="IU163" s="7"/>
      <c r="IV163" s="19"/>
      <c r="IW163" s="19"/>
      <c r="IX163" s="19"/>
      <c r="IY163" s="19"/>
      <c r="JA163" s="8"/>
      <c r="JB163" s="7"/>
      <c r="JC163" s="19"/>
      <c r="JD163" s="19"/>
      <c r="JE163" s="19"/>
      <c r="JF163" s="19"/>
      <c r="JH163" s="8"/>
      <c r="JI163" s="7"/>
      <c r="JJ163" s="19"/>
      <c r="JK163" s="19"/>
      <c r="JL163" s="19"/>
      <c r="JM163" s="19"/>
      <c r="JO163" s="8"/>
      <c r="JP163" s="7"/>
      <c r="JQ163" s="19"/>
      <c r="JR163" s="19"/>
      <c r="JS163" s="19"/>
      <c r="JT163" s="19"/>
      <c r="JV163" s="8"/>
      <c r="JW163" s="7"/>
      <c r="JX163" s="19"/>
      <c r="JY163" s="19"/>
      <c r="JZ163" s="19"/>
      <c r="KA163" s="19"/>
      <c r="KC163" s="8"/>
      <c r="KD163" s="7"/>
      <c r="KE163" s="19"/>
      <c r="KF163" s="19"/>
      <c r="KG163" s="19"/>
      <c r="KH163" s="19"/>
      <c r="KJ163" s="8"/>
      <c r="KK163" s="7"/>
      <c r="KL163" s="19"/>
      <c r="KM163" s="19"/>
      <c r="KN163" s="19"/>
      <c r="KO163" s="19"/>
      <c r="KQ163" s="8"/>
      <c r="KR163" s="7"/>
      <c r="KS163" s="19"/>
      <c r="KT163" s="19"/>
      <c r="KU163" s="19"/>
      <c r="KV163" s="19"/>
      <c r="KX163" s="8"/>
      <c r="KY163" s="7"/>
      <c r="KZ163" s="19"/>
      <c r="LA163" s="19"/>
      <c r="LB163" s="19"/>
      <c r="LC163" s="19"/>
      <c r="LE163" s="8"/>
      <c r="LF163" s="7"/>
      <c r="LG163" s="19"/>
      <c r="LH163" s="19"/>
      <c r="LI163" s="19"/>
      <c r="LJ163" s="19"/>
      <c r="LL163" s="8"/>
      <c r="LM163" s="7"/>
      <c r="LN163" s="19"/>
      <c r="LO163" s="19"/>
      <c r="LP163" s="19"/>
      <c r="LQ163" s="19"/>
      <c r="LS163" s="8"/>
      <c r="LT163" s="7"/>
      <c r="LU163" s="19"/>
      <c r="LV163" s="19"/>
      <c r="LW163" s="19"/>
      <c r="LX163" s="19"/>
      <c r="LZ163" s="8"/>
      <c r="MA163" s="7"/>
      <c r="MB163" s="19"/>
      <c r="MC163" s="19"/>
      <c r="MD163" s="19"/>
      <c r="ME163" s="19"/>
      <c r="MG163" s="8"/>
      <c r="MH163" s="7"/>
      <c r="MI163" s="19"/>
      <c r="MJ163" s="19"/>
      <c r="MK163" s="19"/>
      <c r="ML163" s="19"/>
      <c r="MN163" s="8"/>
      <c r="MO163" s="7"/>
      <c r="MP163" s="19"/>
      <c r="MQ163" s="19"/>
      <c r="MR163" s="19"/>
      <c r="MS163" s="19"/>
      <c r="MU163" s="8"/>
      <c r="MV163" s="7"/>
      <c r="MW163" s="19"/>
      <c r="MX163" s="19"/>
      <c r="MY163" s="19"/>
      <c r="MZ163" s="19"/>
      <c r="NB163" s="8"/>
      <c r="NC163" s="7"/>
      <c r="ND163" s="19"/>
      <c r="NE163" s="19"/>
      <c r="NF163" s="19"/>
      <c r="NG163" s="19"/>
      <c r="NI163" s="8"/>
      <c r="NJ163" s="7"/>
      <c r="NK163" s="19"/>
      <c r="NL163" s="19"/>
      <c r="NM163" s="19"/>
      <c r="NN163" s="19"/>
      <c r="NP163" s="8"/>
      <c r="NQ163" s="7"/>
      <c r="NR163" s="19"/>
      <c r="NS163" s="19"/>
      <c r="NT163" s="19"/>
      <c r="NU163" s="19"/>
      <c r="NW163" s="8"/>
      <c r="NX163" s="7"/>
      <c r="NY163" s="19"/>
      <c r="NZ163" s="19"/>
      <c r="OA163" s="19"/>
      <c r="OB163" s="19"/>
      <c r="OD163" s="8"/>
      <c r="OE163" s="7"/>
      <c r="OF163" s="19"/>
      <c r="OG163" s="19"/>
      <c r="OH163" s="19"/>
      <c r="OI163" s="19"/>
      <c r="OK163" s="8"/>
      <c r="OL163" s="7"/>
      <c r="OM163" s="19"/>
      <c r="ON163" s="19"/>
      <c r="OO163" s="19"/>
      <c r="OP163" s="19"/>
      <c r="OR163" s="8"/>
      <c r="OS163" s="7"/>
      <c r="OT163" s="19"/>
      <c r="OU163" s="19"/>
      <c r="OV163" s="19"/>
      <c r="OW163" s="19"/>
      <c r="OY163" s="8"/>
      <c r="OZ163" s="7"/>
      <c r="PA163" s="19"/>
      <c r="PB163" s="19"/>
      <c r="PC163" s="19"/>
      <c r="PD163" s="19"/>
      <c r="PF163" s="8"/>
      <c r="PG163" s="7"/>
      <c r="PH163" s="19"/>
      <c r="PI163" s="19"/>
      <c r="PJ163" s="19"/>
      <c r="PK163" s="19"/>
      <c r="PM163" s="8"/>
    </row>
    <row r="164" spans="1:429" s="1" customFormat="1" ht="26" customHeight="1" outlineLevel="1">
      <c r="B164" s="471"/>
      <c r="C164" s="7"/>
      <c r="D164" s="19"/>
      <c r="E164" s="19"/>
      <c r="F164" s="19"/>
      <c r="G164" s="19"/>
      <c r="I164" s="8"/>
      <c r="J164" s="7"/>
      <c r="K164" s="19"/>
      <c r="L164" s="19"/>
      <c r="M164" s="19"/>
      <c r="N164" s="19"/>
      <c r="P164" s="8"/>
      <c r="Q164" s="7"/>
      <c r="R164" s="19"/>
      <c r="S164" s="19"/>
      <c r="T164" s="19"/>
      <c r="U164" s="19"/>
      <c r="W164" s="8"/>
      <c r="X164" s="7"/>
      <c r="Y164" s="19"/>
      <c r="Z164" s="19"/>
      <c r="AA164" s="19"/>
      <c r="AB164" s="19"/>
      <c r="AD164" s="8"/>
      <c r="AE164" s="7"/>
      <c r="AF164" s="19"/>
      <c r="AG164" s="19"/>
      <c r="AH164" s="19"/>
      <c r="AI164" s="19"/>
      <c r="AK164" s="8"/>
      <c r="AL164" s="7"/>
      <c r="AM164" s="19"/>
      <c r="AN164" s="19"/>
      <c r="AO164" s="19"/>
      <c r="AP164" s="19"/>
      <c r="AR164" s="8"/>
      <c r="AS164" s="7"/>
      <c r="AT164" s="19"/>
      <c r="AU164" s="19"/>
      <c r="AV164" s="19"/>
      <c r="AW164" s="19"/>
      <c r="AY164" s="8"/>
      <c r="AZ164" s="7"/>
      <c r="BA164" s="19"/>
      <c r="BB164" s="19"/>
      <c r="BC164" s="19"/>
      <c r="BD164" s="19"/>
      <c r="BF164" s="8"/>
      <c r="BG164" s="7"/>
      <c r="BH164" s="19"/>
      <c r="BI164" s="19"/>
      <c r="BJ164" s="19"/>
      <c r="BK164" s="19"/>
      <c r="BM164" s="8"/>
      <c r="BN164" s="7"/>
      <c r="BO164" s="19"/>
      <c r="BP164" s="19"/>
      <c r="BQ164" s="19"/>
      <c r="BR164" s="19"/>
      <c r="BT164" s="8"/>
      <c r="BU164" s="7"/>
      <c r="BV164" s="19"/>
      <c r="BW164" s="19"/>
      <c r="BX164" s="19"/>
      <c r="BY164" s="19"/>
      <c r="CA164" s="8"/>
      <c r="CB164" s="7"/>
      <c r="CC164" s="19"/>
      <c r="CD164" s="19"/>
      <c r="CE164" s="19"/>
      <c r="CF164" s="19"/>
      <c r="CH164" s="8"/>
      <c r="CI164" s="7"/>
      <c r="CJ164" s="19"/>
      <c r="CK164" s="19"/>
      <c r="CL164" s="19"/>
      <c r="CM164" s="19"/>
      <c r="CO164" s="8"/>
      <c r="CP164" s="7"/>
      <c r="CQ164" s="19"/>
      <c r="CR164" s="19"/>
      <c r="CS164" s="19"/>
      <c r="CT164" s="19"/>
      <c r="CV164" s="8"/>
      <c r="CW164" s="7"/>
      <c r="CX164" s="19"/>
      <c r="CY164" s="19"/>
      <c r="CZ164" s="19"/>
      <c r="DA164" s="19"/>
      <c r="DC164" s="8"/>
      <c r="DD164" s="7"/>
      <c r="DE164" s="19"/>
      <c r="DF164" s="19"/>
      <c r="DG164" s="19"/>
      <c r="DH164" s="19"/>
      <c r="DJ164" s="8"/>
      <c r="DK164" s="7"/>
      <c r="DL164" s="19"/>
      <c r="DM164" s="19"/>
      <c r="DN164" s="19"/>
      <c r="DO164" s="19"/>
      <c r="DQ164" s="8"/>
      <c r="DR164" s="7"/>
      <c r="DS164" s="19"/>
      <c r="DT164" s="19"/>
      <c r="DU164" s="19"/>
      <c r="DV164" s="19"/>
      <c r="DX164" s="8"/>
      <c r="DY164" s="7"/>
      <c r="DZ164" s="19"/>
      <c r="EA164" s="19"/>
      <c r="EB164" s="19"/>
      <c r="EC164" s="19"/>
      <c r="EE164" s="8"/>
      <c r="EF164" s="7"/>
      <c r="EG164" s="19"/>
      <c r="EH164" s="19"/>
      <c r="EI164" s="19"/>
      <c r="EJ164" s="19"/>
      <c r="EL164" s="8"/>
      <c r="EM164" s="7"/>
      <c r="EN164" s="19"/>
      <c r="EO164" s="19"/>
      <c r="EP164" s="19"/>
      <c r="EQ164" s="19"/>
      <c r="ES164" s="8"/>
      <c r="ET164" s="7"/>
      <c r="EU164" s="19"/>
      <c r="EV164" s="19"/>
      <c r="EW164" s="19"/>
      <c r="EX164" s="19"/>
      <c r="EZ164" s="8"/>
      <c r="FA164" s="7"/>
      <c r="FB164" s="19"/>
      <c r="FC164" s="19"/>
      <c r="FD164" s="19"/>
      <c r="FE164" s="19"/>
      <c r="FG164" s="8"/>
      <c r="FH164" s="7"/>
      <c r="FI164" s="19"/>
      <c r="FJ164" s="19"/>
      <c r="FK164" s="19"/>
      <c r="FL164" s="19"/>
      <c r="FN164" s="8"/>
      <c r="FO164" s="7"/>
      <c r="FP164" s="19"/>
      <c r="FQ164" s="19"/>
      <c r="FR164" s="19"/>
      <c r="FS164" s="19"/>
      <c r="FU164" s="8"/>
      <c r="FV164" s="7"/>
      <c r="FW164" s="19"/>
      <c r="FX164" s="19"/>
      <c r="FY164" s="19"/>
      <c r="FZ164" s="19"/>
      <c r="GB164" s="8"/>
      <c r="GC164" s="7"/>
      <c r="GD164" s="19"/>
      <c r="GE164" s="19"/>
      <c r="GF164" s="19"/>
      <c r="GG164" s="19"/>
      <c r="GI164" s="8"/>
      <c r="GJ164" s="7"/>
      <c r="GK164" s="19"/>
      <c r="GL164" s="19"/>
      <c r="GM164" s="19"/>
      <c r="GN164" s="19"/>
      <c r="GP164" s="8"/>
      <c r="GQ164" s="7"/>
      <c r="GR164" s="19"/>
      <c r="GS164" s="19"/>
      <c r="GT164" s="19"/>
      <c r="GU164" s="19"/>
      <c r="GW164" s="8"/>
      <c r="GX164" s="7"/>
      <c r="GY164" s="19"/>
      <c r="GZ164" s="19"/>
      <c r="HA164" s="19"/>
      <c r="HB164" s="19"/>
      <c r="HD164" s="8"/>
      <c r="HE164" s="7"/>
      <c r="HF164" s="19"/>
      <c r="HG164" s="19"/>
      <c r="HH164" s="19"/>
      <c r="HI164" s="19"/>
      <c r="HK164" s="8"/>
      <c r="HL164" s="7"/>
      <c r="HM164" s="19"/>
      <c r="HN164" s="19"/>
      <c r="HO164" s="19"/>
      <c r="HP164" s="19"/>
      <c r="HR164" s="8"/>
      <c r="HS164" s="7"/>
      <c r="HT164" s="19"/>
      <c r="HU164" s="19"/>
      <c r="HV164" s="19"/>
      <c r="HW164" s="19"/>
      <c r="HY164" s="8"/>
      <c r="HZ164" s="7"/>
      <c r="IA164" s="19"/>
      <c r="IB164" s="19"/>
      <c r="IC164" s="19"/>
      <c r="ID164" s="19"/>
      <c r="IF164" s="8"/>
      <c r="IG164" s="7"/>
      <c r="IH164" s="19"/>
      <c r="II164" s="19"/>
      <c r="IJ164" s="19"/>
      <c r="IK164" s="19"/>
      <c r="IM164" s="8"/>
      <c r="IN164" s="7"/>
      <c r="IO164" s="19"/>
      <c r="IP164" s="19"/>
      <c r="IQ164" s="19"/>
      <c r="IR164" s="19"/>
      <c r="IT164" s="8"/>
      <c r="IU164" s="7"/>
      <c r="IV164" s="19"/>
      <c r="IW164" s="19"/>
      <c r="IX164" s="19"/>
      <c r="IY164" s="19"/>
      <c r="JA164" s="8"/>
      <c r="JB164" s="7"/>
      <c r="JC164" s="19"/>
      <c r="JD164" s="19"/>
      <c r="JE164" s="19"/>
      <c r="JF164" s="19"/>
      <c r="JH164" s="8"/>
      <c r="JI164" s="7"/>
      <c r="JJ164" s="19"/>
      <c r="JK164" s="19"/>
      <c r="JL164" s="19"/>
      <c r="JM164" s="19"/>
      <c r="JO164" s="8"/>
      <c r="JP164" s="7"/>
      <c r="JQ164" s="19"/>
      <c r="JR164" s="19"/>
      <c r="JS164" s="19"/>
      <c r="JT164" s="19"/>
      <c r="JV164" s="8"/>
      <c r="JW164" s="7"/>
      <c r="JX164" s="19"/>
      <c r="JY164" s="19"/>
      <c r="JZ164" s="19"/>
      <c r="KA164" s="19"/>
      <c r="KC164" s="8"/>
      <c r="KD164" s="7"/>
      <c r="KE164" s="19"/>
      <c r="KF164" s="19"/>
      <c r="KG164" s="19"/>
      <c r="KH164" s="19"/>
      <c r="KJ164" s="8"/>
      <c r="KK164" s="7"/>
      <c r="KL164" s="19"/>
      <c r="KM164" s="19"/>
      <c r="KN164" s="19"/>
      <c r="KO164" s="19"/>
      <c r="KQ164" s="8"/>
      <c r="KR164" s="7"/>
      <c r="KS164" s="19"/>
      <c r="KT164" s="19"/>
      <c r="KU164" s="19"/>
      <c r="KV164" s="19"/>
      <c r="KX164" s="8"/>
      <c r="KY164" s="7"/>
      <c r="KZ164" s="19"/>
      <c r="LA164" s="19"/>
      <c r="LB164" s="19"/>
      <c r="LC164" s="19"/>
      <c r="LE164" s="8"/>
      <c r="LF164" s="7"/>
      <c r="LG164" s="19"/>
      <c r="LH164" s="19"/>
      <c r="LI164" s="19"/>
      <c r="LJ164" s="19"/>
      <c r="LL164" s="8"/>
      <c r="LM164" s="7"/>
      <c r="LN164" s="19"/>
      <c r="LO164" s="19"/>
      <c r="LP164" s="19"/>
      <c r="LQ164" s="19"/>
      <c r="LS164" s="8"/>
      <c r="LT164" s="7"/>
      <c r="LU164" s="19"/>
      <c r="LV164" s="19"/>
      <c r="LW164" s="19"/>
      <c r="LX164" s="19"/>
      <c r="LZ164" s="8"/>
      <c r="MA164" s="7"/>
      <c r="MB164" s="19"/>
      <c r="MC164" s="19"/>
      <c r="MD164" s="19"/>
      <c r="ME164" s="19"/>
      <c r="MG164" s="8"/>
      <c r="MH164" s="7"/>
      <c r="MI164" s="19"/>
      <c r="MJ164" s="19"/>
      <c r="MK164" s="19"/>
      <c r="ML164" s="19"/>
      <c r="MN164" s="8"/>
      <c r="MO164" s="7"/>
      <c r="MP164" s="19"/>
      <c r="MQ164" s="19"/>
      <c r="MR164" s="19"/>
      <c r="MS164" s="19"/>
      <c r="MU164" s="8"/>
      <c r="MV164" s="7"/>
      <c r="MW164" s="19"/>
      <c r="MX164" s="19"/>
      <c r="MY164" s="19"/>
      <c r="MZ164" s="19"/>
      <c r="NB164" s="8"/>
      <c r="NC164" s="7"/>
      <c r="ND164" s="19"/>
      <c r="NE164" s="19"/>
      <c r="NF164" s="19"/>
      <c r="NG164" s="19"/>
      <c r="NI164" s="8"/>
      <c r="NJ164" s="7"/>
      <c r="NK164" s="19"/>
      <c r="NL164" s="19"/>
      <c r="NM164" s="19"/>
      <c r="NN164" s="19"/>
      <c r="NP164" s="8"/>
      <c r="NQ164" s="7"/>
      <c r="NR164" s="19"/>
      <c r="NS164" s="19"/>
      <c r="NT164" s="19"/>
      <c r="NU164" s="19"/>
      <c r="NW164" s="8"/>
      <c r="NX164" s="7"/>
      <c r="NY164" s="19"/>
      <c r="NZ164" s="19"/>
      <c r="OA164" s="19"/>
      <c r="OB164" s="19"/>
      <c r="OD164" s="8"/>
      <c r="OE164" s="7"/>
      <c r="OF164" s="19"/>
      <c r="OG164" s="19"/>
      <c r="OH164" s="19"/>
      <c r="OI164" s="19"/>
      <c r="OK164" s="8"/>
      <c r="OL164" s="7"/>
      <c r="OM164" s="19"/>
      <c r="ON164" s="19"/>
      <c r="OO164" s="19"/>
      <c r="OP164" s="19"/>
      <c r="OR164" s="8"/>
      <c r="OS164" s="7"/>
      <c r="OT164" s="19"/>
      <c r="OU164" s="19"/>
      <c r="OV164" s="19"/>
      <c r="OW164" s="19"/>
      <c r="OY164" s="8"/>
      <c r="OZ164" s="7"/>
      <c r="PA164" s="19"/>
      <c r="PB164" s="19"/>
      <c r="PC164" s="19"/>
      <c r="PD164" s="19"/>
      <c r="PF164" s="8"/>
      <c r="PG164" s="7"/>
      <c r="PH164" s="19"/>
      <c r="PI164" s="19"/>
      <c r="PJ164" s="19"/>
      <c r="PK164" s="19"/>
      <c r="PM164" s="8"/>
    </row>
    <row r="165" spans="1:429" s="1" customFormat="1" ht="26" customHeight="1" outlineLevel="1">
      <c r="B165" s="471"/>
      <c r="C165" s="7"/>
      <c r="D165" s="19"/>
      <c r="E165" s="19"/>
      <c r="F165" s="19"/>
      <c r="G165" s="19"/>
      <c r="I165" s="8"/>
      <c r="J165" s="7"/>
      <c r="K165" s="19"/>
      <c r="L165" s="19"/>
      <c r="M165" s="19"/>
      <c r="N165" s="19"/>
      <c r="P165" s="8"/>
      <c r="Q165" s="7"/>
      <c r="R165" s="19"/>
      <c r="S165" s="19"/>
      <c r="T165" s="19"/>
      <c r="U165" s="19"/>
      <c r="W165" s="8"/>
      <c r="X165" s="7"/>
      <c r="Y165" s="19"/>
      <c r="Z165" s="19"/>
      <c r="AA165" s="19"/>
      <c r="AB165" s="19"/>
      <c r="AD165" s="8"/>
      <c r="AE165" s="7"/>
      <c r="AF165" s="19"/>
      <c r="AG165" s="19"/>
      <c r="AH165" s="19"/>
      <c r="AI165" s="19"/>
      <c r="AK165" s="8"/>
      <c r="AL165" s="7"/>
      <c r="AM165" s="19"/>
      <c r="AN165" s="19"/>
      <c r="AO165" s="19"/>
      <c r="AP165" s="19"/>
      <c r="AR165" s="8"/>
      <c r="AS165" s="7"/>
      <c r="AT165" s="19"/>
      <c r="AU165" s="19"/>
      <c r="AV165" s="19"/>
      <c r="AW165" s="19"/>
      <c r="AY165" s="8"/>
      <c r="AZ165" s="7"/>
      <c r="BA165" s="19"/>
      <c r="BB165" s="19"/>
      <c r="BC165" s="19"/>
      <c r="BD165" s="19"/>
      <c r="BF165" s="8"/>
      <c r="BG165" s="7"/>
      <c r="BH165" s="19"/>
      <c r="BI165" s="19"/>
      <c r="BJ165" s="19"/>
      <c r="BK165" s="19"/>
      <c r="BM165" s="8"/>
      <c r="BN165" s="7"/>
      <c r="BO165" s="19"/>
      <c r="BP165" s="19"/>
      <c r="BQ165" s="19"/>
      <c r="BR165" s="19"/>
      <c r="BT165" s="8"/>
      <c r="BU165" s="7"/>
      <c r="BV165" s="19"/>
      <c r="BW165" s="19"/>
      <c r="BX165" s="19"/>
      <c r="BY165" s="19"/>
      <c r="CA165" s="8"/>
      <c r="CB165" s="7"/>
      <c r="CC165" s="19"/>
      <c r="CD165" s="19"/>
      <c r="CE165" s="19"/>
      <c r="CF165" s="19"/>
      <c r="CH165" s="8"/>
      <c r="CI165" s="7"/>
      <c r="CJ165" s="19"/>
      <c r="CK165" s="19"/>
      <c r="CL165" s="19"/>
      <c r="CM165" s="19"/>
      <c r="CO165" s="8"/>
      <c r="CP165" s="7"/>
      <c r="CQ165" s="19"/>
      <c r="CR165" s="19"/>
      <c r="CS165" s="19"/>
      <c r="CT165" s="19"/>
      <c r="CV165" s="8"/>
      <c r="CW165" s="7"/>
      <c r="CX165" s="19"/>
      <c r="CY165" s="19"/>
      <c r="CZ165" s="19"/>
      <c r="DA165" s="19"/>
      <c r="DC165" s="8"/>
      <c r="DD165" s="7"/>
      <c r="DE165" s="19"/>
      <c r="DF165" s="19"/>
      <c r="DG165" s="19"/>
      <c r="DH165" s="19"/>
      <c r="DJ165" s="8"/>
      <c r="DK165" s="7"/>
      <c r="DL165" s="19"/>
      <c r="DM165" s="19"/>
      <c r="DN165" s="19"/>
      <c r="DO165" s="19"/>
      <c r="DQ165" s="8"/>
      <c r="DR165" s="7"/>
      <c r="DS165" s="19"/>
      <c r="DT165" s="19"/>
      <c r="DU165" s="19"/>
      <c r="DV165" s="19"/>
      <c r="DX165" s="8"/>
      <c r="DY165" s="7"/>
      <c r="DZ165" s="19"/>
      <c r="EA165" s="19"/>
      <c r="EB165" s="19"/>
      <c r="EC165" s="19"/>
      <c r="EE165" s="8"/>
      <c r="EF165" s="7"/>
      <c r="EG165" s="19"/>
      <c r="EH165" s="19"/>
      <c r="EI165" s="19"/>
      <c r="EJ165" s="19"/>
      <c r="EL165" s="8"/>
      <c r="EM165" s="7"/>
      <c r="EN165" s="19"/>
      <c r="EO165" s="19"/>
      <c r="EP165" s="19"/>
      <c r="EQ165" s="19"/>
      <c r="ES165" s="8"/>
      <c r="ET165" s="7"/>
      <c r="EU165" s="19"/>
      <c r="EV165" s="19"/>
      <c r="EW165" s="19"/>
      <c r="EX165" s="19"/>
      <c r="EZ165" s="8"/>
      <c r="FA165" s="7"/>
      <c r="FB165" s="19"/>
      <c r="FC165" s="19"/>
      <c r="FD165" s="19"/>
      <c r="FE165" s="19"/>
      <c r="FG165" s="8"/>
      <c r="FH165" s="7"/>
      <c r="FI165" s="19"/>
      <c r="FJ165" s="19"/>
      <c r="FK165" s="19"/>
      <c r="FL165" s="19"/>
      <c r="FN165" s="8"/>
      <c r="FO165" s="7"/>
      <c r="FP165" s="19"/>
      <c r="FQ165" s="19"/>
      <c r="FR165" s="19"/>
      <c r="FS165" s="19"/>
      <c r="FU165" s="8"/>
      <c r="FV165" s="7"/>
      <c r="FW165" s="19"/>
      <c r="FX165" s="19"/>
      <c r="FY165" s="19"/>
      <c r="FZ165" s="19"/>
      <c r="GB165" s="8"/>
      <c r="GC165" s="7"/>
      <c r="GD165" s="19"/>
      <c r="GE165" s="19"/>
      <c r="GF165" s="19"/>
      <c r="GG165" s="19"/>
      <c r="GI165" s="8"/>
      <c r="GJ165" s="7"/>
      <c r="GK165" s="19"/>
      <c r="GL165" s="19"/>
      <c r="GM165" s="19"/>
      <c r="GN165" s="19"/>
      <c r="GP165" s="8"/>
      <c r="GQ165" s="7"/>
      <c r="GR165" s="19"/>
      <c r="GS165" s="19"/>
      <c r="GT165" s="19"/>
      <c r="GU165" s="19"/>
      <c r="GW165" s="8"/>
      <c r="GX165" s="7"/>
      <c r="GY165" s="19"/>
      <c r="GZ165" s="19"/>
      <c r="HA165" s="19"/>
      <c r="HB165" s="19"/>
      <c r="HD165" s="8"/>
      <c r="HE165" s="7"/>
      <c r="HF165" s="19"/>
      <c r="HG165" s="19"/>
      <c r="HH165" s="19"/>
      <c r="HI165" s="19"/>
      <c r="HK165" s="8"/>
      <c r="HL165" s="7"/>
      <c r="HM165" s="19"/>
      <c r="HN165" s="19"/>
      <c r="HO165" s="19"/>
      <c r="HP165" s="19"/>
      <c r="HR165" s="8"/>
      <c r="HS165" s="7"/>
      <c r="HT165" s="19"/>
      <c r="HU165" s="19"/>
      <c r="HV165" s="19"/>
      <c r="HW165" s="19"/>
      <c r="HY165" s="8"/>
      <c r="HZ165" s="7"/>
      <c r="IA165" s="19"/>
      <c r="IB165" s="19"/>
      <c r="IC165" s="19"/>
      <c r="ID165" s="19"/>
      <c r="IF165" s="8"/>
      <c r="IG165" s="7"/>
      <c r="IH165" s="19"/>
      <c r="II165" s="19"/>
      <c r="IJ165" s="19"/>
      <c r="IK165" s="19"/>
      <c r="IM165" s="8"/>
      <c r="IN165" s="7"/>
      <c r="IO165" s="19"/>
      <c r="IP165" s="19"/>
      <c r="IQ165" s="19"/>
      <c r="IR165" s="19"/>
      <c r="IT165" s="8"/>
      <c r="IU165" s="7"/>
      <c r="IV165" s="19"/>
      <c r="IW165" s="19"/>
      <c r="IX165" s="19"/>
      <c r="IY165" s="19"/>
      <c r="JA165" s="8"/>
      <c r="JB165" s="7"/>
      <c r="JC165" s="19"/>
      <c r="JD165" s="19"/>
      <c r="JE165" s="19"/>
      <c r="JF165" s="19"/>
      <c r="JH165" s="8"/>
      <c r="JI165" s="7"/>
      <c r="JJ165" s="19"/>
      <c r="JK165" s="19"/>
      <c r="JL165" s="19"/>
      <c r="JM165" s="19"/>
      <c r="JO165" s="8"/>
      <c r="JP165" s="7"/>
      <c r="JQ165" s="19"/>
      <c r="JR165" s="19"/>
      <c r="JS165" s="19"/>
      <c r="JT165" s="19"/>
      <c r="JV165" s="8"/>
      <c r="JW165" s="7"/>
      <c r="JX165" s="19"/>
      <c r="JY165" s="19"/>
      <c r="JZ165" s="19"/>
      <c r="KA165" s="19"/>
      <c r="KC165" s="8"/>
      <c r="KD165" s="7"/>
      <c r="KE165" s="19"/>
      <c r="KF165" s="19"/>
      <c r="KG165" s="19"/>
      <c r="KH165" s="19"/>
      <c r="KJ165" s="8"/>
      <c r="KK165" s="7"/>
      <c r="KL165" s="19"/>
      <c r="KM165" s="19"/>
      <c r="KN165" s="19"/>
      <c r="KO165" s="19"/>
      <c r="KQ165" s="8"/>
      <c r="KR165" s="7"/>
      <c r="KS165" s="19"/>
      <c r="KT165" s="19"/>
      <c r="KU165" s="19"/>
      <c r="KV165" s="19"/>
      <c r="KX165" s="8"/>
      <c r="KY165" s="7"/>
      <c r="KZ165" s="19"/>
      <c r="LA165" s="19"/>
      <c r="LB165" s="19"/>
      <c r="LC165" s="19"/>
      <c r="LE165" s="8"/>
      <c r="LF165" s="7"/>
      <c r="LG165" s="19"/>
      <c r="LH165" s="19"/>
      <c r="LI165" s="19"/>
      <c r="LJ165" s="19"/>
      <c r="LL165" s="8"/>
      <c r="LM165" s="7"/>
      <c r="LN165" s="19"/>
      <c r="LO165" s="19"/>
      <c r="LP165" s="19"/>
      <c r="LQ165" s="19"/>
      <c r="LS165" s="8"/>
      <c r="LT165" s="7"/>
      <c r="LU165" s="19"/>
      <c r="LV165" s="19"/>
      <c r="LW165" s="19"/>
      <c r="LX165" s="19"/>
      <c r="LZ165" s="8"/>
      <c r="MA165" s="7"/>
      <c r="MB165" s="19"/>
      <c r="MC165" s="19"/>
      <c r="MD165" s="19"/>
      <c r="ME165" s="19"/>
      <c r="MG165" s="8"/>
      <c r="MH165" s="7"/>
      <c r="MI165" s="19"/>
      <c r="MJ165" s="19"/>
      <c r="MK165" s="19"/>
      <c r="ML165" s="19"/>
      <c r="MN165" s="8"/>
      <c r="MO165" s="7"/>
      <c r="MP165" s="19"/>
      <c r="MQ165" s="19"/>
      <c r="MR165" s="19"/>
      <c r="MS165" s="19"/>
      <c r="MU165" s="8"/>
      <c r="MV165" s="7"/>
      <c r="MW165" s="19"/>
      <c r="MX165" s="19"/>
      <c r="MY165" s="19"/>
      <c r="MZ165" s="19"/>
      <c r="NB165" s="8"/>
      <c r="NC165" s="7"/>
      <c r="ND165" s="19"/>
      <c r="NE165" s="19"/>
      <c r="NF165" s="19"/>
      <c r="NG165" s="19"/>
      <c r="NI165" s="8"/>
      <c r="NJ165" s="7"/>
      <c r="NK165" s="19"/>
      <c r="NL165" s="19"/>
      <c r="NM165" s="19"/>
      <c r="NN165" s="19"/>
      <c r="NP165" s="8"/>
      <c r="NQ165" s="7"/>
      <c r="NR165" s="19"/>
      <c r="NS165" s="19"/>
      <c r="NT165" s="19"/>
      <c r="NU165" s="19"/>
      <c r="NW165" s="8"/>
      <c r="NX165" s="7"/>
      <c r="NY165" s="19"/>
      <c r="NZ165" s="19"/>
      <c r="OA165" s="19"/>
      <c r="OB165" s="19"/>
      <c r="OD165" s="8"/>
      <c r="OE165" s="7"/>
      <c r="OF165" s="19"/>
      <c r="OG165" s="19"/>
      <c r="OH165" s="19"/>
      <c r="OI165" s="19"/>
      <c r="OK165" s="8"/>
      <c r="OL165" s="7"/>
      <c r="OM165" s="19"/>
      <c r="ON165" s="19"/>
      <c r="OO165" s="19"/>
      <c r="OP165" s="19"/>
      <c r="OR165" s="8"/>
      <c r="OS165" s="7"/>
      <c r="OT165" s="19"/>
      <c r="OU165" s="19"/>
      <c r="OV165" s="19"/>
      <c r="OW165" s="19"/>
      <c r="OY165" s="8"/>
      <c r="OZ165" s="7"/>
      <c r="PA165" s="19"/>
      <c r="PB165" s="19"/>
      <c r="PC165" s="19"/>
      <c r="PD165" s="19"/>
      <c r="PF165" s="8"/>
      <c r="PG165" s="7"/>
      <c r="PH165" s="19"/>
      <c r="PI165" s="19"/>
      <c r="PJ165" s="19"/>
      <c r="PK165" s="19"/>
      <c r="PM165" s="8"/>
    </row>
    <row r="166" spans="1:429" s="1" customFormat="1" ht="24" outlineLevel="1">
      <c r="B166" s="471"/>
      <c r="C166" s="7"/>
      <c r="D166" s="19"/>
      <c r="E166" s="19"/>
      <c r="F166" s="19"/>
      <c r="G166" s="19"/>
      <c r="I166" s="8"/>
      <c r="J166" s="7"/>
      <c r="K166" s="19"/>
      <c r="L166" s="19"/>
      <c r="M166" s="19"/>
      <c r="N166" s="19"/>
      <c r="P166" s="8"/>
      <c r="Q166" s="7"/>
      <c r="R166" s="19"/>
      <c r="S166" s="19"/>
      <c r="T166" s="19"/>
      <c r="U166" s="19"/>
      <c r="W166" s="8"/>
      <c r="X166" s="7"/>
      <c r="Y166" s="19"/>
      <c r="Z166" s="19"/>
      <c r="AA166" s="19"/>
      <c r="AB166" s="19"/>
      <c r="AD166" s="8"/>
      <c r="AE166" s="7"/>
      <c r="AF166" s="19"/>
      <c r="AG166" s="19"/>
      <c r="AH166" s="19"/>
      <c r="AI166" s="19"/>
      <c r="AK166" s="8"/>
      <c r="AL166" s="7"/>
      <c r="AM166" s="19"/>
      <c r="AN166" s="19"/>
      <c r="AO166" s="19"/>
      <c r="AP166" s="19"/>
      <c r="AR166" s="8"/>
      <c r="AS166" s="7"/>
      <c r="AT166" s="19"/>
      <c r="AU166" s="19"/>
      <c r="AV166" s="19"/>
      <c r="AW166" s="19"/>
      <c r="AY166" s="8"/>
      <c r="AZ166" s="7"/>
      <c r="BA166" s="19"/>
      <c r="BB166" s="19"/>
      <c r="BC166" s="19"/>
      <c r="BD166" s="19"/>
      <c r="BF166" s="8"/>
      <c r="BG166" s="7"/>
      <c r="BH166" s="19"/>
      <c r="BI166" s="19"/>
      <c r="BJ166" s="19"/>
      <c r="BK166" s="19"/>
      <c r="BM166" s="8"/>
      <c r="BN166" s="7"/>
      <c r="BO166" s="19"/>
      <c r="BP166" s="19"/>
      <c r="BQ166" s="19"/>
      <c r="BR166" s="19"/>
      <c r="BT166" s="8"/>
      <c r="BU166" s="7"/>
      <c r="BV166" s="19"/>
      <c r="BW166" s="19"/>
      <c r="BX166" s="19"/>
      <c r="BY166" s="19"/>
      <c r="CA166" s="8"/>
      <c r="CB166" s="7"/>
      <c r="CC166" s="19"/>
      <c r="CD166" s="19"/>
      <c r="CE166" s="19"/>
      <c r="CF166" s="19"/>
      <c r="CH166" s="8"/>
      <c r="CI166" s="7"/>
      <c r="CJ166" s="19"/>
      <c r="CK166" s="19"/>
      <c r="CL166" s="19"/>
      <c r="CM166" s="19"/>
      <c r="CO166" s="8"/>
      <c r="CP166" s="7"/>
      <c r="CQ166" s="19"/>
      <c r="CR166" s="19"/>
      <c r="CS166" s="19"/>
      <c r="CT166" s="19"/>
      <c r="CV166" s="8"/>
      <c r="CW166" s="7"/>
      <c r="CX166" s="19"/>
      <c r="CY166" s="19"/>
      <c r="CZ166" s="19"/>
      <c r="DA166" s="19"/>
      <c r="DC166" s="8"/>
      <c r="DD166" s="7"/>
      <c r="DE166" s="19"/>
      <c r="DF166" s="19"/>
      <c r="DG166" s="19"/>
      <c r="DH166" s="19"/>
      <c r="DJ166" s="8"/>
      <c r="DK166" s="7"/>
      <c r="DL166" s="19"/>
      <c r="DM166" s="19"/>
      <c r="DN166" s="19"/>
      <c r="DO166" s="19"/>
      <c r="DQ166" s="8"/>
      <c r="DR166" s="7"/>
      <c r="DS166" s="19"/>
      <c r="DT166" s="19"/>
      <c r="DU166" s="19"/>
      <c r="DV166" s="19"/>
      <c r="DX166" s="8"/>
      <c r="DY166" s="7"/>
      <c r="DZ166" s="19"/>
      <c r="EA166" s="19"/>
      <c r="EB166" s="19"/>
      <c r="EC166" s="19"/>
      <c r="EE166" s="8"/>
      <c r="EF166" s="7"/>
      <c r="EG166" s="19"/>
      <c r="EH166" s="19"/>
      <c r="EI166" s="19"/>
      <c r="EJ166" s="19"/>
      <c r="EL166" s="8"/>
      <c r="EM166" s="7"/>
      <c r="EN166" s="19"/>
      <c r="EO166" s="19"/>
      <c r="EP166" s="19"/>
      <c r="EQ166" s="19"/>
      <c r="ES166" s="8"/>
      <c r="ET166" s="7"/>
      <c r="EU166" s="19"/>
      <c r="EV166" s="19"/>
      <c r="EW166" s="19"/>
      <c r="EX166" s="19"/>
      <c r="EZ166" s="8"/>
      <c r="FA166" s="7"/>
      <c r="FB166" s="19"/>
      <c r="FC166" s="19"/>
      <c r="FD166" s="19"/>
      <c r="FE166" s="19"/>
      <c r="FG166" s="8"/>
      <c r="FH166" s="7"/>
      <c r="FI166" s="19"/>
      <c r="FJ166" s="19"/>
      <c r="FK166" s="19"/>
      <c r="FL166" s="19"/>
      <c r="FN166" s="8"/>
      <c r="FO166" s="7"/>
      <c r="FP166" s="19"/>
      <c r="FQ166" s="19"/>
      <c r="FR166" s="19"/>
      <c r="FS166" s="19"/>
      <c r="FU166" s="8"/>
      <c r="FV166" s="7"/>
      <c r="FW166" s="19"/>
      <c r="FX166" s="19"/>
      <c r="FY166" s="19"/>
      <c r="FZ166" s="19"/>
      <c r="GB166" s="8"/>
      <c r="GC166" s="7"/>
      <c r="GD166" s="19"/>
      <c r="GE166" s="19"/>
      <c r="GF166" s="19"/>
      <c r="GG166" s="19"/>
      <c r="GI166" s="8"/>
      <c r="GJ166" s="7"/>
      <c r="GK166" s="19"/>
      <c r="GL166" s="19"/>
      <c r="GM166" s="19"/>
      <c r="GN166" s="19"/>
      <c r="GP166" s="8"/>
      <c r="GQ166" s="7"/>
      <c r="GR166" s="19"/>
      <c r="GS166" s="19"/>
      <c r="GT166" s="19"/>
      <c r="GU166" s="19"/>
      <c r="GW166" s="8"/>
      <c r="GX166" s="7"/>
      <c r="GY166" s="19"/>
      <c r="GZ166" s="19"/>
      <c r="HA166" s="19"/>
      <c r="HB166" s="19"/>
      <c r="HD166" s="8"/>
      <c r="HE166" s="7"/>
      <c r="HF166" s="19"/>
      <c r="HG166" s="19"/>
      <c r="HH166" s="19"/>
      <c r="HI166" s="19"/>
      <c r="HK166" s="8"/>
      <c r="HL166" s="7"/>
      <c r="HM166" s="19"/>
      <c r="HN166" s="19"/>
      <c r="HO166" s="19"/>
      <c r="HP166" s="19"/>
      <c r="HR166" s="8"/>
      <c r="HS166" s="7"/>
      <c r="HT166" s="19"/>
      <c r="HU166" s="19"/>
      <c r="HV166" s="19"/>
      <c r="HW166" s="19"/>
      <c r="HY166" s="8"/>
      <c r="HZ166" s="7"/>
      <c r="IA166" s="19"/>
      <c r="IB166" s="19"/>
      <c r="IC166" s="19"/>
      <c r="ID166" s="19"/>
      <c r="IF166" s="8"/>
      <c r="IG166" s="7"/>
      <c r="IH166" s="19"/>
      <c r="II166" s="19"/>
      <c r="IJ166" s="19"/>
      <c r="IK166" s="19"/>
      <c r="IM166" s="8"/>
      <c r="IN166" s="7"/>
      <c r="IO166" s="19"/>
      <c r="IP166" s="19"/>
      <c r="IQ166" s="19"/>
      <c r="IR166" s="19"/>
      <c r="IT166" s="8"/>
      <c r="IU166" s="7"/>
      <c r="IV166" s="19"/>
      <c r="IW166" s="19"/>
      <c r="IX166" s="19"/>
      <c r="IY166" s="19"/>
      <c r="JA166" s="8"/>
      <c r="JB166" s="7"/>
      <c r="JC166" s="19"/>
      <c r="JD166" s="19"/>
      <c r="JE166" s="19"/>
      <c r="JF166" s="19"/>
      <c r="JH166" s="8"/>
      <c r="JI166" s="7"/>
      <c r="JJ166" s="19"/>
      <c r="JK166" s="19"/>
      <c r="JL166" s="19"/>
      <c r="JM166" s="19"/>
      <c r="JO166" s="8"/>
      <c r="JP166" s="7"/>
      <c r="JQ166" s="19"/>
      <c r="JR166" s="19"/>
      <c r="JS166" s="19"/>
      <c r="JT166" s="19"/>
      <c r="JV166" s="8"/>
      <c r="JW166" s="7"/>
      <c r="JX166" s="19"/>
      <c r="JY166" s="19"/>
      <c r="JZ166" s="19"/>
      <c r="KA166" s="19"/>
      <c r="KC166" s="8"/>
      <c r="KD166" s="7"/>
      <c r="KE166" s="19"/>
      <c r="KF166" s="19"/>
      <c r="KG166" s="19"/>
      <c r="KH166" s="19"/>
      <c r="KJ166" s="8"/>
      <c r="KK166" s="7"/>
      <c r="KL166" s="19"/>
      <c r="KM166" s="19"/>
      <c r="KN166" s="19"/>
      <c r="KO166" s="19"/>
      <c r="KQ166" s="8"/>
      <c r="KR166" s="7"/>
      <c r="KS166" s="19"/>
      <c r="KT166" s="19"/>
      <c r="KU166" s="19"/>
      <c r="KV166" s="19"/>
      <c r="KX166" s="8"/>
      <c r="KY166" s="7"/>
      <c r="KZ166" s="19"/>
      <c r="LA166" s="19"/>
      <c r="LB166" s="19"/>
      <c r="LC166" s="19"/>
      <c r="LE166" s="8"/>
      <c r="LF166" s="7"/>
      <c r="LG166" s="19"/>
      <c r="LH166" s="19"/>
      <c r="LI166" s="19"/>
      <c r="LJ166" s="19"/>
      <c r="LL166" s="8"/>
      <c r="LM166" s="7"/>
      <c r="LN166" s="19"/>
      <c r="LO166" s="19"/>
      <c r="LP166" s="19"/>
      <c r="LQ166" s="19"/>
      <c r="LS166" s="8"/>
      <c r="LT166" s="7"/>
      <c r="LU166" s="19"/>
      <c r="LV166" s="19"/>
      <c r="LW166" s="19"/>
      <c r="LX166" s="19"/>
      <c r="LZ166" s="8"/>
      <c r="MA166" s="7"/>
      <c r="MB166" s="19"/>
      <c r="MC166" s="19"/>
      <c r="MD166" s="19"/>
      <c r="ME166" s="19"/>
      <c r="MG166" s="8"/>
      <c r="MH166" s="7"/>
      <c r="MI166" s="19"/>
      <c r="MJ166" s="19"/>
      <c r="MK166" s="19"/>
      <c r="ML166" s="19"/>
      <c r="MN166" s="8"/>
      <c r="MO166" s="7"/>
      <c r="MP166" s="19"/>
      <c r="MQ166" s="19"/>
      <c r="MR166" s="19"/>
      <c r="MS166" s="19"/>
      <c r="MU166" s="8"/>
      <c r="MV166" s="7"/>
      <c r="MW166" s="19"/>
      <c r="MX166" s="19"/>
      <c r="MY166" s="19"/>
      <c r="MZ166" s="19"/>
      <c r="NB166" s="8"/>
      <c r="NC166" s="7"/>
      <c r="ND166" s="19"/>
      <c r="NE166" s="19"/>
      <c r="NF166" s="19"/>
      <c r="NG166" s="19"/>
      <c r="NI166" s="8"/>
      <c r="NJ166" s="7"/>
      <c r="NK166" s="19"/>
      <c r="NL166" s="19"/>
      <c r="NM166" s="19"/>
      <c r="NN166" s="19"/>
      <c r="NP166" s="8"/>
      <c r="NQ166" s="7"/>
      <c r="NR166" s="19"/>
      <c r="NS166" s="19"/>
      <c r="NT166" s="19"/>
      <c r="NU166" s="19"/>
      <c r="NW166" s="8"/>
      <c r="NX166" s="7"/>
      <c r="NY166" s="19"/>
      <c r="NZ166" s="19"/>
      <c r="OA166" s="19"/>
      <c r="OB166" s="19"/>
      <c r="OD166" s="8"/>
      <c r="OE166" s="7"/>
      <c r="OF166" s="19"/>
      <c r="OG166" s="19"/>
      <c r="OH166" s="19"/>
      <c r="OI166" s="19"/>
      <c r="OK166" s="8"/>
      <c r="OL166" s="7"/>
      <c r="OM166" s="19"/>
      <c r="ON166" s="19"/>
      <c r="OO166" s="19"/>
      <c r="OP166" s="19"/>
      <c r="OR166" s="8"/>
      <c r="OS166" s="7"/>
      <c r="OT166" s="19"/>
      <c r="OU166" s="19"/>
      <c r="OV166" s="19"/>
      <c r="OW166" s="19"/>
      <c r="OY166" s="8"/>
      <c r="OZ166" s="7"/>
      <c r="PA166" s="19"/>
      <c r="PB166" s="19"/>
      <c r="PC166" s="19"/>
      <c r="PD166" s="19"/>
      <c r="PF166" s="8"/>
      <c r="PG166" s="7"/>
      <c r="PH166" s="19"/>
      <c r="PI166" s="19"/>
      <c r="PJ166" s="19"/>
      <c r="PK166" s="19"/>
      <c r="PM166" s="8"/>
    </row>
    <row r="167" spans="1:429" s="475" customFormat="1" ht="19" customHeight="1">
      <c r="A167" s="6" t="s">
        <v>79</v>
      </c>
      <c r="B167" s="472"/>
      <c r="C167" s="10"/>
      <c r="D167" s="20"/>
      <c r="E167" s="20"/>
      <c r="F167" s="20"/>
      <c r="G167" s="20"/>
      <c r="H167" s="10"/>
      <c r="I167" s="10"/>
      <c r="J167" s="10"/>
      <c r="K167" s="20"/>
      <c r="L167" s="20"/>
      <c r="M167" s="20"/>
      <c r="N167" s="20"/>
      <c r="O167" s="10"/>
      <c r="P167" s="10"/>
      <c r="Q167" s="10"/>
      <c r="R167" s="20"/>
      <c r="S167" s="20"/>
      <c r="T167" s="20"/>
      <c r="U167" s="20"/>
      <c r="V167" s="10"/>
      <c r="W167" s="10"/>
      <c r="X167" s="10"/>
      <c r="Y167" s="20"/>
      <c r="Z167" s="20"/>
      <c r="AA167" s="20"/>
      <c r="AB167" s="20"/>
      <c r="AC167" s="10"/>
      <c r="AD167" s="10"/>
      <c r="AE167" s="10"/>
      <c r="AF167" s="20"/>
      <c r="AG167" s="20"/>
      <c r="AH167" s="20"/>
      <c r="AI167" s="20"/>
      <c r="AJ167" s="10"/>
      <c r="AK167" s="10"/>
      <c r="AL167" s="10"/>
      <c r="AM167" s="20"/>
      <c r="AN167" s="20"/>
      <c r="AO167" s="20"/>
      <c r="AP167" s="20"/>
      <c r="AQ167" s="10"/>
      <c r="AR167" s="10"/>
      <c r="AS167" s="10"/>
      <c r="AT167" s="20"/>
      <c r="AU167" s="20"/>
      <c r="AV167" s="20"/>
      <c r="AW167" s="20"/>
      <c r="AX167" s="10"/>
      <c r="AY167" s="10"/>
      <c r="AZ167" s="10"/>
      <c r="BA167" s="20"/>
      <c r="BB167" s="20"/>
      <c r="BC167" s="20"/>
      <c r="BD167" s="20"/>
      <c r="BE167" s="10"/>
      <c r="BF167" s="10"/>
      <c r="BG167" s="10"/>
      <c r="BH167" s="20"/>
      <c r="BI167" s="20"/>
      <c r="BJ167" s="20"/>
      <c r="BK167" s="20"/>
      <c r="BL167" s="10"/>
      <c r="BM167" s="10"/>
      <c r="BN167" s="10"/>
      <c r="BO167" s="20"/>
      <c r="BP167" s="20"/>
      <c r="BQ167" s="20"/>
      <c r="BR167" s="20"/>
      <c r="BS167" s="10"/>
      <c r="BT167" s="10"/>
      <c r="BU167" s="10"/>
      <c r="BV167" s="20"/>
      <c r="BW167" s="20"/>
      <c r="BX167" s="20"/>
      <c r="BY167" s="20"/>
      <c r="BZ167" s="10"/>
      <c r="CA167" s="10"/>
      <c r="CB167" s="10"/>
      <c r="CC167" s="20"/>
      <c r="CD167" s="20"/>
      <c r="CE167" s="20"/>
      <c r="CF167" s="20"/>
      <c r="CG167" s="10"/>
      <c r="CH167" s="10"/>
      <c r="CI167" s="10"/>
      <c r="CJ167" s="20"/>
      <c r="CK167" s="20"/>
      <c r="CL167" s="20"/>
      <c r="CM167" s="20"/>
      <c r="CN167" s="10"/>
      <c r="CO167" s="10"/>
      <c r="CP167" s="10"/>
      <c r="CQ167" s="20"/>
      <c r="CR167" s="20"/>
      <c r="CS167" s="20"/>
      <c r="CT167" s="20"/>
      <c r="CU167" s="10"/>
      <c r="CV167" s="10"/>
      <c r="CW167" s="10"/>
      <c r="CX167" s="20"/>
      <c r="CY167" s="20"/>
      <c r="CZ167" s="20"/>
      <c r="DA167" s="20"/>
      <c r="DB167" s="10"/>
      <c r="DC167" s="10"/>
      <c r="DD167" s="10"/>
      <c r="DE167" s="20"/>
      <c r="DF167" s="20"/>
      <c r="DG167" s="20"/>
      <c r="DH167" s="20"/>
      <c r="DI167" s="10"/>
      <c r="DJ167" s="10"/>
      <c r="DK167" s="10"/>
      <c r="DL167" s="20"/>
      <c r="DM167" s="20"/>
      <c r="DN167" s="20"/>
      <c r="DO167" s="20"/>
      <c r="DP167" s="10"/>
      <c r="DQ167" s="10"/>
      <c r="DR167" s="10"/>
      <c r="DS167" s="20"/>
      <c r="DT167" s="20"/>
      <c r="DU167" s="20"/>
      <c r="DV167" s="20"/>
      <c r="DW167" s="10"/>
      <c r="DX167" s="10"/>
      <c r="DY167" s="10"/>
      <c r="DZ167" s="20"/>
      <c r="EA167" s="20"/>
      <c r="EB167" s="20"/>
      <c r="EC167" s="20"/>
      <c r="ED167" s="10"/>
      <c r="EE167" s="10"/>
      <c r="EF167" s="10"/>
      <c r="EG167" s="20"/>
      <c r="EH167" s="20"/>
      <c r="EI167" s="20"/>
      <c r="EJ167" s="20"/>
      <c r="EK167" s="10"/>
      <c r="EL167" s="10"/>
      <c r="EM167" s="10"/>
      <c r="EN167" s="20"/>
      <c r="EO167" s="20"/>
      <c r="EP167" s="20"/>
      <c r="EQ167" s="20"/>
      <c r="ER167" s="10"/>
      <c r="ES167" s="10"/>
      <c r="ET167" s="10"/>
      <c r="EU167" s="20"/>
      <c r="EV167" s="20"/>
      <c r="EW167" s="20"/>
      <c r="EX167" s="20"/>
      <c r="EY167" s="10"/>
      <c r="EZ167" s="10"/>
      <c r="FA167" s="10"/>
      <c r="FB167" s="20"/>
      <c r="FC167" s="20"/>
      <c r="FD167" s="20"/>
      <c r="FE167" s="20"/>
      <c r="FF167" s="10"/>
      <c r="FG167" s="10"/>
      <c r="FH167" s="10"/>
      <c r="FI167" s="20"/>
      <c r="FJ167" s="20"/>
      <c r="FK167" s="20"/>
      <c r="FL167" s="20"/>
      <c r="FM167" s="10"/>
      <c r="FN167" s="10"/>
      <c r="FO167" s="10"/>
      <c r="FP167" s="20"/>
      <c r="FQ167" s="20"/>
      <c r="FR167" s="20"/>
      <c r="FS167" s="20"/>
      <c r="FT167" s="10"/>
      <c r="FU167" s="10"/>
      <c r="FV167" s="10"/>
      <c r="FW167" s="20"/>
      <c r="FX167" s="20"/>
      <c r="FY167" s="20"/>
      <c r="FZ167" s="20"/>
      <c r="GA167" s="10"/>
      <c r="GB167" s="10"/>
      <c r="GC167" s="10"/>
      <c r="GD167" s="20"/>
      <c r="GE167" s="20"/>
      <c r="GF167" s="20"/>
      <c r="GG167" s="20"/>
      <c r="GH167" s="10"/>
      <c r="GI167" s="10"/>
      <c r="GJ167" s="10"/>
      <c r="GK167" s="20"/>
      <c r="GL167" s="20"/>
      <c r="GM167" s="20"/>
      <c r="GN167" s="20"/>
      <c r="GO167" s="10"/>
      <c r="GP167" s="10"/>
      <c r="GQ167" s="10"/>
      <c r="GR167" s="20"/>
      <c r="GS167" s="20"/>
      <c r="GT167" s="20"/>
      <c r="GU167" s="20"/>
      <c r="GV167" s="10"/>
      <c r="GW167" s="10"/>
      <c r="GX167" s="10"/>
      <c r="GY167" s="20"/>
      <c r="GZ167" s="20"/>
      <c r="HA167" s="20"/>
      <c r="HB167" s="20"/>
      <c r="HC167" s="10"/>
      <c r="HD167" s="10"/>
      <c r="HE167" s="10"/>
      <c r="HF167" s="20"/>
      <c r="HG167" s="20"/>
      <c r="HH167" s="20"/>
      <c r="HI167" s="20"/>
      <c r="HJ167" s="10"/>
      <c r="HK167" s="10"/>
      <c r="HL167" s="10"/>
      <c r="HM167" s="20"/>
      <c r="HN167" s="20"/>
      <c r="HO167" s="20"/>
      <c r="HP167" s="20"/>
      <c r="HQ167" s="10"/>
      <c r="HR167" s="10"/>
      <c r="HS167" s="10"/>
      <c r="HT167" s="20"/>
      <c r="HU167" s="20"/>
      <c r="HV167" s="20"/>
      <c r="HW167" s="20"/>
      <c r="HX167" s="10"/>
      <c r="HY167" s="10"/>
      <c r="HZ167" s="10"/>
      <c r="IA167" s="20"/>
      <c r="IB167" s="20"/>
      <c r="IC167" s="20"/>
      <c r="ID167" s="20"/>
      <c r="IE167" s="10"/>
      <c r="IF167" s="10"/>
      <c r="IG167" s="10"/>
      <c r="IH167" s="20"/>
      <c r="II167" s="20"/>
      <c r="IJ167" s="20"/>
      <c r="IK167" s="20"/>
      <c r="IL167" s="10"/>
      <c r="IM167" s="10"/>
      <c r="IN167" s="10"/>
      <c r="IO167" s="20"/>
      <c r="IP167" s="20"/>
      <c r="IQ167" s="20"/>
      <c r="IR167" s="20"/>
      <c r="IS167" s="10"/>
      <c r="IT167" s="10"/>
      <c r="IU167" s="10"/>
      <c r="IV167" s="20"/>
      <c r="IW167" s="20"/>
      <c r="IX167" s="20"/>
      <c r="IY167" s="20"/>
      <c r="IZ167" s="10"/>
      <c r="JA167" s="10"/>
      <c r="JB167" s="10"/>
      <c r="JC167" s="20"/>
      <c r="JD167" s="20"/>
      <c r="JE167" s="20"/>
      <c r="JF167" s="20"/>
      <c r="JG167" s="10"/>
      <c r="JH167" s="10"/>
      <c r="JI167" s="10"/>
      <c r="JJ167" s="20"/>
      <c r="JK167" s="20"/>
      <c r="JL167" s="20"/>
      <c r="JM167" s="20"/>
      <c r="JN167" s="10"/>
      <c r="JO167" s="10"/>
      <c r="JP167" s="10"/>
      <c r="JQ167" s="20"/>
      <c r="JR167" s="20"/>
      <c r="JS167" s="20"/>
      <c r="JT167" s="20"/>
      <c r="JU167" s="10"/>
      <c r="JV167" s="10"/>
      <c r="JW167" s="10"/>
      <c r="JX167" s="20"/>
      <c r="JY167" s="20"/>
      <c r="JZ167" s="20"/>
      <c r="KA167" s="20"/>
      <c r="KB167" s="10"/>
      <c r="KC167" s="10"/>
      <c r="KD167" s="10"/>
      <c r="KE167" s="20"/>
      <c r="KF167" s="20"/>
      <c r="KG167" s="20"/>
      <c r="KH167" s="20"/>
      <c r="KI167" s="10"/>
      <c r="KJ167" s="10"/>
      <c r="KK167" s="10"/>
      <c r="KL167" s="20"/>
      <c r="KM167" s="20"/>
      <c r="KN167" s="20"/>
      <c r="KO167" s="20"/>
      <c r="KP167" s="10"/>
      <c r="KQ167" s="10"/>
      <c r="KR167" s="10"/>
      <c r="KS167" s="20"/>
      <c r="KT167" s="20"/>
      <c r="KU167" s="20"/>
      <c r="KV167" s="20"/>
      <c r="KW167" s="10"/>
      <c r="KX167" s="10"/>
      <c r="KY167" s="10"/>
      <c r="KZ167" s="20"/>
      <c r="LA167" s="20"/>
      <c r="LB167" s="20"/>
      <c r="LC167" s="20"/>
      <c r="LD167" s="10"/>
      <c r="LE167" s="10"/>
      <c r="LF167" s="10"/>
      <c r="LG167" s="20"/>
      <c r="LH167" s="20"/>
      <c r="LI167" s="20"/>
      <c r="LJ167" s="20"/>
      <c r="LK167" s="10"/>
      <c r="LL167" s="10"/>
      <c r="LM167" s="10"/>
      <c r="LN167" s="20"/>
      <c r="LO167" s="20"/>
      <c r="LP167" s="20"/>
      <c r="LQ167" s="20"/>
      <c r="LR167" s="10"/>
      <c r="LS167" s="10"/>
      <c r="LT167" s="10"/>
      <c r="LU167" s="20"/>
      <c r="LV167" s="20"/>
      <c r="LW167" s="20"/>
      <c r="LX167" s="20"/>
      <c r="LY167" s="10"/>
      <c r="LZ167" s="10"/>
      <c r="MA167" s="10"/>
      <c r="MB167" s="20"/>
      <c r="MC167" s="20"/>
      <c r="MD167" s="20"/>
      <c r="ME167" s="20"/>
      <c r="MF167" s="10"/>
      <c r="MG167" s="10"/>
      <c r="MH167" s="10"/>
      <c r="MI167" s="20"/>
      <c r="MJ167" s="20"/>
      <c r="MK167" s="20"/>
      <c r="ML167" s="20"/>
      <c r="MM167" s="10"/>
      <c r="MN167" s="10"/>
      <c r="MO167" s="10"/>
      <c r="MP167" s="20"/>
      <c r="MQ167" s="20"/>
      <c r="MR167" s="20"/>
      <c r="MS167" s="20"/>
      <c r="MT167" s="10"/>
      <c r="MU167" s="10"/>
      <c r="MV167" s="10"/>
      <c r="MW167" s="20"/>
      <c r="MX167" s="20"/>
      <c r="MY167" s="20"/>
      <c r="MZ167" s="20"/>
      <c r="NA167" s="10"/>
      <c r="NB167" s="10"/>
      <c r="NC167" s="10"/>
      <c r="ND167" s="20"/>
      <c r="NE167" s="20"/>
      <c r="NF167" s="20"/>
      <c r="NG167" s="20"/>
      <c r="NH167" s="10"/>
      <c r="NI167" s="10"/>
      <c r="NJ167" s="10"/>
      <c r="NK167" s="20"/>
      <c r="NL167" s="20"/>
      <c r="NM167" s="20"/>
      <c r="NN167" s="20"/>
      <c r="NO167" s="10"/>
      <c r="NP167" s="10"/>
      <c r="NQ167" s="10"/>
      <c r="NR167" s="20"/>
      <c r="NS167" s="20"/>
      <c r="NT167" s="20"/>
      <c r="NU167" s="20"/>
      <c r="NV167" s="10"/>
      <c r="NW167" s="10"/>
      <c r="NX167" s="10"/>
      <c r="NY167" s="20"/>
      <c r="NZ167" s="20"/>
      <c r="OA167" s="20"/>
      <c r="OB167" s="20"/>
      <c r="OC167" s="10"/>
      <c r="OD167" s="10"/>
      <c r="OE167" s="10"/>
      <c r="OF167" s="20"/>
      <c r="OG167" s="20"/>
      <c r="OH167" s="20"/>
      <c r="OI167" s="20"/>
      <c r="OJ167" s="10"/>
      <c r="OK167" s="10"/>
      <c r="OL167" s="10"/>
      <c r="OM167" s="20"/>
      <c r="ON167" s="20"/>
      <c r="OO167" s="20"/>
      <c r="OP167" s="20"/>
      <c r="OQ167" s="10"/>
      <c r="OR167" s="10"/>
      <c r="OS167" s="10"/>
      <c r="OT167" s="20"/>
      <c r="OU167" s="20"/>
      <c r="OV167" s="20"/>
      <c r="OW167" s="20"/>
      <c r="OX167" s="10"/>
      <c r="OY167" s="10"/>
      <c r="OZ167" s="10"/>
      <c r="PA167" s="20"/>
      <c r="PB167" s="20"/>
      <c r="PC167" s="20"/>
      <c r="PD167" s="20"/>
      <c r="PE167" s="10"/>
      <c r="PF167" s="10"/>
      <c r="PG167" s="10"/>
      <c r="PH167" s="20"/>
      <c r="PI167" s="20"/>
      <c r="PJ167" s="20"/>
      <c r="PK167" s="20"/>
      <c r="PL167" s="10"/>
      <c r="PM167" s="10"/>
    </row>
    <row r="168" spans="1:429" s="1" customFormat="1" ht="26" customHeight="1" outlineLevel="1">
      <c r="B168" s="471"/>
      <c r="C168" s="7"/>
      <c r="D168" s="19"/>
      <c r="E168" s="19"/>
      <c r="F168" s="19"/>
      <c r="G168" s="19"/>
      <c r="I168" s="8"/>
      <c r="J168" s="7"/>
      <c r="K168" s="19"/>
      <c r="L168" s="19"/>
      <c r="M168" s="19"/>
      <c r="N168" s="19"/>
      <c r="P168" s="8"/>
      <c r="Q168" s="7"/>
      <c r="R168" s="19"/>
      <c r="S168" s="19"/>
      <c r="T168" s="19"/>
      <c r="U168" s="19"/>
      <c r="W168" s="8"/>
      <c r="X168" s="7"/>
      <c r="Y168" s="19"/>
      <c r="Z168" s="19"/>
      <c r="AA168" s="19"/>
      <c r="AB168" s="19"/>
      <c r="AD168" s="8"/>
      <c r="AE168" s="7"/>
      <c r="AF168" s="19"/>
      <c r="AG168" s="19"/>
      <c r="AH168" s="19"/>
      <c r="AI168" s="19"/>
      <c r="AK168" s="8"/>
      <c r="AL168" s="7"/>
      <c r="AM168" s="19"/>
      <c r="AN168" s="19"/>
      <c r="AO168" s="19"/>
      <c r="AP168" s="19"/>
      <c r="AR168" s="8"/>
      <c r="AS168" s="7"/>
      <c r="AT168" s="19"/>
      <c r="AU168" s="19"/>
      <c r="AV168" s="19"/>
      <c r="AW168" s="19"/>
      <c r="AY168" s="8"/>
      <c r="AZ168" s="7"/>
      <c r="BA168" s="19"/>
      <c r="BB168" s="19"/>
      <c r="BC168" s="19"/>
      <c r="BD168" s="19"/>
      <c r="BF168" s="8"/>
      <c r="BG168" s="7"/>
      <c r="BH168" s="19"/>
      <c r="BI168" s="19"/>
      <c r="BJ168" s="19"/>
      <c r="BK168" s="19"/>
      <c r="BM168" s="8"/>
      <c r="BN168" s="7"/>
      <c r="BO168" s="19"/>
      <c r="BP168" s="19"/>
      <c r="BQ168" s="19"/>
      <c r="BR168" s="19"/>
      <c r="BT168" s="8"/>
      <c r="BU168" s="7"/>
      <c r="BV168" s="19"/>
      <c r="BW168" s="19"/>
      <c r="BX168" s="19"/>
      <c r="BY168" s="19"/>
      <c r="CA168" s="8"/>
      <c r="CB168" s="7"/>
      <c r="CC168" s="19"/>
      <c r="CD168" s="19"/>
      <c r="CE168" s="19"/>
      <c r="CF168" s="19"/>
      <c r="CH168" s="8"/>
      <c r="CI168" s="7"/>
      <c r="CJ168" s="19"/>
      <c r="CK168" s="19"/>
      <c r="CL168" s="19"/>
      <c r="CM168" s="19"/>
      <c r="CO168" s="8"/>
      <c r="CP168" s="7"/>
      <c r="CQ168" s="19"/>
      <c r="CR168" s="19"/>
      <c r="CS168" s="19"/>
      <c r="CT168" s="19"/>
      <c r="CV168" s="8"/>
      <c r="CW168" s="7"/>
      <c r="CX168" s="19"/>
      <c r="CY168" s="19"/>
      <c r="CZ168" s="19"/>
      <c r="DA168" s="19"/>
      <c r="DC168" s="8"/>
      <c r="DD168" s="7"/>
      <c r="DE168" s="19"/>
      <c r="DF168" s="19"/>
      <c r="DG168" s="19"/>
      <c r="DH168" s="19"/>
      <c r="DJ168" s="8"/>
      <c r="DK168" s="7"/>
      <c r="DL168" s="19"/>
      <c r="DM168" s="19"/>
      <c r="DN168" s="19"/>
      <c r="DO168" s="19"/>
      <c r="DQ168" s="8"/>
      <c r="DR168" s="7"/>
      <c r="DS168" s="19"/>
      <c r="DT168" s="19"/>
      <c r="DU168" s="19"/>
      <c r="DV168" s="19"/>
      <c r="DX168" s="8"/>
      <c r="DY168" s="7"/>
      <c r="DZ168" s="19"/>
      <c r="EA168" s="19"/>
      <c r="EB168" s="19"/>
      <c r="EC168" s="19"/>
      <c r="EE168" s="8"/>
      <c r="EF168" s="7"/>
      <c r="EG168" s="19"/>
      <c r="EH168" s="19"/>
      <c r="EI168" s="19"/>
      <c r="EJ168" s="19"/>
      <c r="EL168" s="8"/>
      <c r="EM168" s="7"/>
      <c r="EN168" s="19"/>
      <c r="EO168" s="19"/>
      <c r="EP168" s="19"/>
      <c r="EQ168" s="19"/>
      <c r="ES168" s="8"/>
      <c r="ET168" s="7"/>
      <c r="EU168" s="19"/>
      <c r="EV168" s="19"/>
      <c r="EW168" s="19"/>
      <c r="EX168" s="19"/>
      <c r="EZ168" s="8"/>
      <c r="FA168" s="7"/>
      <c r="FB168" s="19"/>
      <c r="FC168" s="19"/>
      <c r="FD168" s="19"/>
      <c r="FE168" s="19"/>
      <c r="FG168" s="8"/>
      <c r="FH168" s="7"/>
      <c r="FI168" s="19"/>
      <c r="FJ168" s="19"/>
      <c r="FK168" s="19"/>
      <c r="FL168" s="19"/>
      <c r="FN168" s="8"/>
      <c r="FO168" s="7"/>
      <c r="FP168" s="19"/>
      <c r="FQ168" s="19"/>
      <c r="FR168" s="19"/>
      <c r="FS168" s="19"/>
      <c r="FU168" s="8"/>
      <c r="FV168" s="7"/>
      <c r="FW168" s="19"/>
      <c r="FX168" s="19"/>
      <c r="FY168" s="19"/>
      <c r="FZ168" s="19"/>
      <c r="GB168" s="8"/>
      <c r="GC168" s="7"/>
      <c r="GD168" s="19"/>
      <c r="GE168" s="19"/>
      <c r="GF168" s="19"/>
      <c r="GG168" s="19"/>
      <c r="GI168" s="8"/>
      <c r="GJ168" s="7"/>
      <c r="GK168" s="19"/>
      <c r="GL168" s="19"/>
      <c r="GM168" s="19"/>
      <c r="GN168" s="19"/>
      <c r="GP168" s="8"/>
      <c r="GQ168" s="7"/>
      <c r="GR168" s="19"/>
      <c r="GS168" s="19"/>
      <c r="GT168" s="19"/>
      <c r="GU168" s="19"/>
      <c r="GW168" s="8"/>
      <c r="GX168" s="7"/>
      <c r="GY168" s="19"/>
      <c r="GZ168" s="19"/>
      <c r="HA168" s="19"/>
      <c r="HB168" s="19"/>
      <c r="HD168" s="8"/>
      <c r="HE168" s="7"/>
      <c r="HF168" s="19"/>
      <c r="HG168" s="19"/>
      <c r="HH168" s="19"/>
      <c r="HI168" s="19"/>
      <c r="HK168" s="8"/>
      <c r="HL168" s="7"/>
      <c r="HM168" s="19"/>
      <c r="HN168" s="19"/>
      <c r="HO168" s="19"/>
      <c r="HP168" s="19"/>
      <c r="HR168" s="8"/>
      <c r="HS168" s="7"/>
      <c r="HT168" s="19"/>
      <c r="HU168" s="19"/>
      <c r="HV168" s="19"/>
      <c r="HW168" s="19"/>
      <c r="HY168" s="8"/>
      <c r="HZ168" s="7"/>
      <c r="IA168" s="19"/>
      <c r="IB168" s="19"/>
      <c r="IC168" s="19"/>
      <c r="ID168" s="19"/>
      <c r="IF168" s="8"/>
      <c r="IG168" s="7"/>
      <c r="IH168" s="19"/>
      <c r="II168" s="19"/>
      <c r="IJ168" s="19"/>
      <c r="IK168" s="19"/>
      <c r="IM168" s="8"/>
      <c r="IN168" s="7"/>
      <c r="IO168" s="19"/>
      <c r="IP168" s="19"/>
      <c r="IQ168" s="19"/>
      <c r="IR168" s="19"/>
      <c r="IT168" s="8"/>
      <c r="IU168" s="7"/>
      <c r="IV168" s="19"/>
      <c r="IW168" s="19"/>
      <c r="IX168" s="19"/>
      <c r="IY168" s="19"/>
      <c r="JA168" s="8"/>
      <c r="JB168" s="7"/>
      <c r="JC168" s="19"/>
      <c r="JD168" s="19"/>
      <c r="JE168" s="19"/>
      <c r="JF168" s="19"/>
      <c r="JH168" s="8"/>
      <c r="JI168" s="7"/>
      <c r="JJ168" s="19"/>
      <c r="JK168" s="19"/>
      <c r="JL168" s="19"/>
      <c r="JM168" s="19"/>
      <c r="JO168" s="8"/>
      <c r="JP168" s="7"/>
      <c r="JQ168" s="19"/>
      <c r="JR168" s="19"/>
      <c r="JS168" s="19"/>
      <c r="JT168" s="19"/>
      <c r="JV168" s="8"/>
      <c r="JW168" s="7"/>
      <c r="JX168" s="19"/>
      <c r="JY168" s="19"/>
      <c r="JZ168" s="19"/>
      <c r="KA168" s="19"/>
      <c r="KC168" s="8"/>
      <c r="KD168" s="7"/>
      <c r="KE168" s="19"/>
      <c r="KF168" s="19"/>
      <c r="KG168" s="19"/>
      <c r="KH168" s="19"/>
      <c r="KJ168" s="8"/>
      <c r="KK168" s="7"/>
      <c r="KL168" s="19"/>
      <c r="KM168" s="19"/>
      <c r="KN168" s="19"/>
      <c r="KO168" s="19"/>
      <c r="KQ168" s="8"/>
      <c r="KR168" s="7"/>
      <c r="KS168" s="19"/>
      <c r="KT168" s="19"/>
      <c r="KU168" s="19"/>
      <c r="KV168" s="19"/>
      <c r="KX168" s="8"/>
      <c r="KY168" s="7"/>
      <c r="KZ168" s="19"/>
      <c r="LA168" s="19"/>
      <c r="LB168" s="19"/>
      <c r="LC168" s="19"/>
      <c r="LE168" s="8"/>
      <c r="LF168" s="7"/>
      <c r="LG168" s="19"/>
      <c r="LH168" s="19"/>
      <c r="LI168" s="19"/>
      <c r="LJ168" s="19"/>
      <c r="LL168" s="8"/>
      <c r="LM168" s="7"/>
      <c r="LN168" s="19"/>
      <c r="LO168" s="19"/>
      <c r="LP168" s="19"/>
      <c r="LQ168" s="19"/>
      <c r="LS168" s="8"/>
      <c r="LT168" s="7"/>
      <c r="LU168" s="19"/>
      <c r="LV168" s="19"/>
      <c r="LW168" s="19"/>
      <c r="LX168" s="19"/>
      <c r="LZ168" s="8"/>
      <c r="MA168" s="7"/>
      <c r="MB168" s="19"/>
      <c r="MC168" s="19"/>
      <c r="MD168" s="19"/>
      <c r="ME168" s="19"/>
      <c r="MG168" s="8"/>
      <c r="MH168" s="7"/>
      <c r="MI168" s="19"/>
      <c r="MJ168" s="19"/>
      <c r="MK168" s="19"/>
      <c r="ML168" s="19"/>
      <c r="MN168" s="8"/>
      <c r="MO168" s="7"/>
      <c r="MP168" s="19"/>
      <c r="MQ168" s="19"/>
      <c r="MR168" s="19"/>
      <c r="MS168" s="19"/>
      <c r="MU168" s="8"/>
      <c r="MV168" s="7"/>
      <c r="MW168" s="19"/>
      <c r="MX168" s="19"/>
      <c r="MY168" s="19"/>
      <c r="MZ168" s="19"/>
      <c r="NB168" s="8"/>
      <c r="NC168" s="7"/>
      <c r="ND168" s="19"/>
      <c r="NE168" s="19"/>
      <c r="NF168" s="19"/>
      <c r="NG168" s="19"/>
      <c r="NI168" s="8"/>
      <c r="NJ168" s="7"/>
      <c r="NK168" s="19"/>
      <c r="NL168" s="19"/>
      <c r="NM168" s="19"/>
      <c r="NN168" s="19"/>
      <c r="NP168" s="8"/>
      <c r="NQ168" s="7"/>
      <c r="NR168" s="19"/>
      <c r="NS168" s="19"/>
      <c r="NT168" s="19"/>
      <c r="NU168" s="19"/>
      <c r="NW168" s="8"/>
      <c r="NX168" s="7"/>
      <c r="NY168" s="19"/>
      <c r="NZ168" s="19"/>
      <c r="OA168" s="19"/>
      <c r="OB168" s="19"/>
      <c r="OD168" s="8"/>
      <c r="OE168" s="7"/>
      <c r="OF168" s="19"/>
      <c r="OG168" s="19"/>
      <c r="OH168" s="19"/>
      <c r="OI168" s="19"/>
      <c r="OK168" s="8"/>
      <c r="OL168" s="7"/>
      <c r="OM168" s="19"/>
      <c r="ON168" s="19"/>
      <c r="OO168" s="19"/>
      <c r="OP168" s="19"/>
      <c r="OR168" s="8"/>
      <c r="OS168" s="7"/>
      <c r="OT168" s="19"/>
      <c r="OU168" s="19"/>
      <c r="OV168" s="19"/>
      <c r="OW168" s="19"/>
      <c r="OY168" s="8"/>
      <c r="OZ168" s="7"/>
      <c r="PA168" s="19"/>
      <c r="PB168" s="19"/>
      <c r="PC168" s="19"/>
      <c r="PD168" s="19"/>
      <c r="PF168" s="8"/>
      <c r="PG168" s="7"/>
      <c r="PH168" s="19"/>
      <c r="PI168" s="19"/>
      <c r="PJ168" s="19"/>
      <c r="PK168" s="19"/>
      <c r="PM168" s="8"/>
    </row>
    <row r="169" spans="1:429" s="1" customFormat="1" ht="26" customHeight="1" outlineLevel="1">
      <c r="B169" s="471"/>
      <c r="C169" s="7"/>
      <c r="D169" s="19"/>
      <c r="E169" s="19"/>
      <c r="F169" s="19"/>
      <c r="G169" s="19"/>
      <c r="I169" s="8"/>
      <c r="J169" s="7"/>
      <c r="K169" s="19"/>
      <c r="L169" s="19"/>
      <c r="M169" s="19"/>
      <c r="N169" s="19"/>
      <c r="P169" s="8"/>
      <c r="Q169" s="7"/>
      <c r="R169" s="19"/>
      <c r="S169" s="19"/>
      <c r="T169" s="19"/>
      <c r="U169" s="19"/>
      <c r="W169" s="8"/>
      <c r="X169" s="7"/>
      <c r="Y169" s="19"/>
      <c r="Z169" s="19"/>
      <c r="AA169" s="19"/>
      <c r="AB169" s="19"/>
      <c r="AD169" s="8"/>
      <c r="AE169" s="7"/>
      <c r="AF169" s="19"/>
      <c r="AG169" s="19"/>
      <c r="AH169" s="19"/>
      <c r="AI169" s="19"/>
      <c r="AK169" s="8"/>
      <c r="AL169" s="7"/>
      <c r="AM169" s="19"/>
      <c r="AN169" s="19"/>
      <c r="AO169" s="19"/>
      <c r="AP169" s="19"/>
      <c r="AR169" s="8"/>
      <c r="AS169" s="7"/>
      <c r="AT169" s="19"/>
      <c r="AU169" s="19"/>
      <c r="AV169" s="19"/>
      <c r="AW169" s="19"/>
      <c r="AY169" s="8"/>
      <c r="AZ169" s="7"/>
      <c r="BA169" s="19"/>
      <c r="BB169" s="19"/>
      <c r="BC169" s="19"/>
      <c r="BD169" s="19"/>
      <c r="BF169" s="8"/>
      <c r="BG169" s="7"/>
      <c r="BH169" s="19"/>
      <c r="BI169" s="19"/>
      <c r="BJ169" s="19"/>
      <c r="BK169" s="19"/>
      <c r="BM169" s="8"/>
      <c r="BN169" s="7"/>
      <c r="BO169" s="19"/>
      <c r="BP169" s="19"/>
      <c r="BQ169" s="19"/>
      <c r="BR169" s="19"/>
      <c r="BT169" s="8"/>
      <c r="BU169" s="7"/>
      <c r="BV169" s="19"/>
      <c r="BW169" s="19"/>
      <c r="BX169" s="19"/>
      <c r="BY169" s="19"/>
      <c r="CA169" s="8"/>
      <c r="CB169" s="7"/>
      <c r="CC169" s="19"/>
      <c r="CD169" s="19"/>
      <c r="CE169" s="19"/>
      <c r="CF169" s="19"/>
      <c r="CH169" s="8"/>
      <c r="CI169" s="7"/>
      <c r="CJ169" s="19"/>
      <c r="CK169" s="19"/>
      <c r="CL169" s="19"/>
      <c r="CM169" s="19"/>
      <c r="CO169" s="8"/>
      <c r="CP169" s="7"/>
      <c r="CQ169" s="19"/>
      <c r="CR169" s="19"/>
      <c r="CS169" s="19"/>
      <c r="CT169" s="19"/>
      <c r="CV169" s="8"/>
      <c r="CW169" s="7"/>
      <c r="CX169" s="19"/>
      <c r="CY169" s="19"/>
      <c r="CZ169" s="19"/>
      <c r="DA169" s="19"/>
      <c r="DC169" s="8"/>
      <c r="DD169" s="7"/>
      <c r="DE169" s="19"/>
      <c r="DF169" s="19"/>
      <c r="DG169" s="19"/>
      <c r="DH169" s="19"/>
      <c r="DJ169" s="8"/>
      <c r="DK169" s="7"/>
      <c r="DL169" s="19"/>
      <c r="DM169" s="19"/>
      <c r="DN169" s="19"/>
      <c r="DO169" s="19"/>
      <c r="DQ169" s="8"/>
      <c r="DR169" s="7"/>
      <c r="DS169" s="19"/>
      <c r="DT169" s="19"/>
      <c r="DU169" s="19"/>
      <c r="DV169" s="19"/>
      <c r="DX169" s="8"/>
      <c r="DY169" s="7"/>
      <c r="DZ169" s="19"/>
      <c r="EA169" s="19"/>
      <c r="EB169" s="19"/>
      <c r="EC169" s="19"/>
      <c r="EE169" s="8"/>
      <c r="EF169" s="7"/>
      <c r="EG169" s="19"/>
      <c r="EH169" s="19"/>
      <c r="EI169" s="19"/>
      <c r="EJ169" s="19"/>
      <c r="EL169" s="8"/>
      <c r="EM169" s="7"/>
      <c r="EN169" s="19"/>
      <c r="EO169" s="19"/>
      <c r="EP169" s="19"/>
      <c r="EQ169" s="19"/>
      <c r="ES169" s="8"/>
      <c r="ET169" s="7"/>
      <c r="EU169" s="19"/>
      <c r="EV169" s="19"/>
      <c r="EW169" s="19"/>
      <c r="EX169" s="19"/>
      <c r="EZ169" s="8"/>
      <c r="FA169" s="7"/>
      <c r="FB169" s="19"/>
      <c r="FC169" s="19"/>
      <c r="FD169" s="19"/>
      <c r="FE169" s="19"/>
      <c r="FG169" s="8"/>
      <c r="FH169" s="7"/>
      <c r="FI169" s="19"/>
      <c r="FJ169" s="19"/>
      <c r="FK169" s="19"/>
      <c r="FL169" s="19"/>
      <c r="FN169" s="8"/>
      <c r="FO169" s="7"/>
      <c r="FP169" s="19"/>
      <c r="FQ169" s="19"/>
      <c r="FR169" s="19"/>
      <c r="FS169" s="19"/>
      <c r="FU169" s="8"/>
      <c r="FV169" s="7"/>
      <c r="FW169" s="19"/>
      <c r="FX169" s="19"/>
      <c r="FY169" s="19"/>
      <c r="FZ169" s="19"/>
      <c r="GB169" s="8"/>
      <c r="GC169" s="7"/>
      <c r="GD169" s="19"/>
      <c r="GE169" s="19"/>
      <c r="GF169" s="19"/>
      <c r="GG169" s="19"/>
      <c r="GI169" s="8"/>
      <c r="GJ169" s="7"/>
      <c r="GK169" s="19"/>
      <c r="GL169" s="19"/>
      <c r="GM169" s="19"/>
      <c r="GN169" s="19"/>
      <c r="GP169" s="8"/>
      <c r="GQ169" s="7"/>
      <c r="GR169" s="19"/>
      <c r="GS169" s="19"/>
      <c r="GT169" s="19"/>
      <c r="GU169" s="19"/>
      <c r="GW169" s="8"/>
      <c r="GX169" s="7"/>
      <c r="GY169" s="19"/>
      <c r="GZ169" s="19"/>
      <c r="HA169" s="19"/>
      <c r="HB169" s="19"/>
      <c r="HD169" s="8"/>
      <c r="HE169" s="7"/>
      <c r="HF169" s="19"/>
      <c r="HG169" s="19"/>
      <c r="HH169" s="19"/>
      <c r="HI169" s="19"/>
      <c r="HK169" s="8"/>
      <c r="HL169" s="7"/>
      <c r="HM169" s="19"/>
      <c r="HN169" s="19"/>
      <c r="HO169" s="19"/>
      <c r="HP169" s="19"/>
      <c r="HR169" s="8"/>
      <c r="HS169" s="7"/>
      <c r="HT169" s="19"/>
      <c r="HU169" s="19"/>
      <c r="HV169" s="19"/>
      <c r="HW169" s="19"/>
      <c r="HY169" s="8"/>
      <c r="HZ169" s="7"/>
      <c r="IA169" s="19"/>
      <c r="IB169" s="19"/>
      <c r="IC169" s="19"/>
      <c r="ID169" s="19"/>
      <c r="IF169" s="8"/>
      <c r="IG169" s="7"/>
      <c r="IH169" s="19"/>
      <c r="II169" s="19"/>
      <c r="IJ169" s="19"/>
      <c r="IK169" s="19"/>
      <c r="IM169" s="8"/>
      <c r="IN169" s="7"/>
      <c r="IO169" s="19"/>
      <c r="IP169" s="19"/>
      <c r="IQ169" s="19"/>
      <c r="IR169" s="19"/>
      <c r="IT169" s="8"/>
      <c r="IU169" s="7"/>
      <c r="IV169" s="19"/>
      <c r="IW169" s="19"/>
      <c r="IX169" s="19"/>
      <c r="IY169" s="19"/>
      <c r="JA169" s="8"/>
      <c r="JB169" s="7"/>
      <c r="JC169" s="19"/>
      <c r="JD169" s="19"/>
      <c r="JE169" s="19"/>
      <c r="JF169" s="19"/>
      <c r="JH169" s="8"/>
      <c r="JI169" s="7"/>
      <c r="JJ169" s="19"/>
      <c r="JK169" s="19"/>
      <c r="JL169" s="19"/>
      <c r="JM169" s="19"/>
      <c r="JO169" s="8"/>
      <c r="JP169" s="7"/>
      <c r="JQ169" s="19"/>
      <c r="JR169" s="19"/>
      <c r="JS169" s="19"/>
      <c r="JT169" s="19"/>
      <c r="JV169" s="8"/>
      <c r="JW169" s="7"/>
      <c r="JX169" s="19"/>
      <c r="JY169" s="19"/>
      <c r="JZ169" s="19"/>
      <c r="KA169" s="19"/>
      <c r="KC169" s="8"/>
      <c r="KD169" s="7"/>
      <c r="KE169" s="19"/>
      <c r="KF169" s="19"/>
      <c r="KG169" s="19"/>
      <c r="KH169" s="19"/>
      <c r="KJ169" s="8"/>
      <c r="KK169" s="7"/>
      <c r="KL169" s="19"/>
      <c r="KM169" s="19"/>
      <c r="KN169" s="19"/>
      <c r="KO169" s="19"/>
      <c r="KQ169" s="8"/>
      <c r="KR169" s="7"/>
      <c r="KS169" s="19"/>
      <c r="KT169" s="19"/>
      <c r="KU169" s="19"/>
      <c r="KV169" s="19"/>
      <c r="KX169" s="8"/>
      <c r="KY169" s="7"/>
      <c r="KZ169" s="19"/>
      <c r="LA169" s="19"/>
      <c r="LB169" s="19"/>
      <c r="LC169" s="19"/>
      <c r="LE169" s="8"/>
      <c r="LF169" s="7"/>
      <c r="LG169" s="19"/>
      <c r="LH169" s="19"/>
      <c r="LI169" s="19"/>
      <c r="LJ169" s="19"/>
      <c r="LL169" s="8"/>
      <c r="LM169" s="7"/>
      <c r="LN169" s="19"/>
      <c r="LO169" s="19"/>
      <c r="LP169" s="19"/>
      <c r="LQ169" s="19"/>
      <c r="LS169" s="8"/>
      <c r="LT169" s="7"/>
      <c r="LU169" s="19"/>
      <c r="LV169" s="19"/>
      <c r="LW169" s="19"/>
      <c r="LX169" s="19"/>
      <c r="LZ169" s="8"/>
      <c r="MA169" s="7"/>
      <c r="MB169" s="19"/>
      <c r="MC169" s="19"/>
      <c r="MD169" s="19"/>
      <c r="ME169" s="19"/>
      <c r="MG169" s="8"/>
      <c r="MH169" s="7"/>
      <c r="MI169" s="19"/>
      <c r="MJ169" s="19"/>
      <c r="MK169" s="19"/>
      <c r="ML169" s="19"/>
      <c r="MN169" s="8"/>
      <c r="MO169" s="7"/>
      <c r="MP169" s="19"/>
      <c r="MQ169" s="19"/>
      <c r="MR169" s="19"/>
      <c r="MS169" s="19"/>
      <c r="MU169" s="8"/>
      <c r="MV169" s="7"/>
      <c r="MW169" s="19"/>
      <c r="MX169" s="19"/>
      <c r="MY169" s="19"/>
      <c r="MZ169" s="19"/>
      <c r="NB169" s="8"/>
      <c r="NC169" s="7"/>
      <c r="ND169" s="19"/>
      <c r="NE169" s="19"/>
      <c r="NF169" s="19"/>
      <c r="NG169" s="19"/>
      <c r="NI169" s="8"/>
      <c r="NJ169" s="7"/>
      <c r="NK169" s="19"/>
      <c r="NL169" s="19"/>
      <c r="NM169" s="19"/>
      <c r="NN169" s="19"/>
      <c r="NP169" s="8"/>
      <c r="NQ169" s="7"/>
      <c r="NR169" s="19"/>
      <c r="NS169" s="19"/>
      <c r="NT169" s="19"/>
      <c r="NU169" s="19"/>
      <c r="NW169" s="8"/>
      <c r="NX169" s="7"/>
      <c r="NY169" s="19"/>
      <c r="NZ169" s="19"/>
      <c r="OA169" s="19"/>
      <c r="OB169" s="19"/>
      <c r="OD169" s="8"/>
      <c r="OE169" s="7"/>
      <c r="OF169" s="19"/>
      <c r="OG169" s="19"/>
      <c r="OH169" s="19"/>
      <c r="OI169" s="19"/>
      <c r="OK169" s="8"/>
      <c r="OL169" s="7"/>
      <c r="OM169" s="19"/>
      <c r="ON169" s="19"/>
      <c r="OO169" s="19"/>
      <c r="OP169" s="19"/>
      <c r="OR169" s="8"/>
      <c r="OS169" s="7"/>
      <c r="OT169" s="19"/>
      <c r="OU169" s="19"/>
      <c r="OV169" s="19"/>
      <c r="OW169" s="19"/>
      <c r="OY169" s="8"/>
      <c r="OZ169" s="7"/>
      <c r="PA169" s="19"/>
      <c r="PB169" s="19"/>
      <c r="PC169" s="19"/>
      <c r="PD169" s="19"/>
      <c r="PF169" s="8"/>
      <c r="PG169" s="7"/>
      <c r="PH169" s="19"/>
      <c r="PI169" s="19"/>
      <c r="PJ169" s="19"/>
      <c r="PK169" s="19"/>
      <c r="PM169" s="8"/>
    </row>
    <row r="170" spans="1:429" s="1" customFormat="1" ht="26" customHeight="1" outlineLevel="1">
      <c r="B170" s="471"/>
      <c r="C170" s="7"/>
      <c r="D170" s="19"/>
      <c r="E170" s="19"/>
      <c r="F170" s="19"/>
      <c r="G170" s="19"/>
      <c r="I170" s="8"/>
      <c r="J170" s="7"/>
      <c r="K170" s="19"/>
      <c r="L170" s="19"/>
      <c r="M170" s="19"/>
      <c r="N170" s="19"/>
      <c r="P170" s="8"/>
      <c r="Q170" s="7"/>
      <c r="R170" s="19"/>
      <c r="S170" s="19"/>
      <c r="T170" s="19"/>
      <c r="U170" s="19"/>
      <c r="W170" s="8"/>
      <c r="X170" s="7"/>
      <c r="Y170" s="19"/>
      <c r="Z170" s="19"/>
      <c r="AA170" s="19"/>
      <c r="AB170" s="19"/>
      <c r="AD170" s="8"/>
      <c r="AE170" s="7"/>
      <c r="AF170" s="19"/>
      <c r="AG170" s="19"/>
      <c r="AH170" s="19"/>
      <c r="AI170" s="19"/>
      <c r="AK170" s="8"/>
      <c r="AL170" s="7"/>
      <c r="AM170" s="19"/>
      <c r="AN170" s="19"/>
      <c r="AO170" s="19"/>
      <c r="AP170" s="19"/>
      <c r="AR170" s="8"/>
      <c r="AS170" s="7"/>
      <c r="AT170" s="19"/>
      <c r="AU170" s="19"/>
      <c r="AV170" s="19"/>
      <c r="AW170" s="19"/>
      <c r="AY170" s="8"/>
      <c r="AZ170" s="7"/>
      <c r="BA170" s="19"/>
      <c r="BB170" s="19"/>
      <c r="BC170" s="19"/>
      <c r="BD170" s="19"/>
      <c r="BF170" s="8"/>
      <c r="BG170" s="7"/>
      <c r="BH170" s="19"/>
      <c r="BI170" s="19"/>
      <c r="BJ170" s="19"/>
      <c r="BK170" s="19"/>
      <c r="BM170" s="8"/>
      <c r="BN170" s="7"/>
      <c r="BO170" s="19"/>
      <c r="BP170" s="19"/>
      <c r="BQ170" s="19"/>
      <c r="BR170" s="19"/>
      <c r="BT170" s="8"/>
      <c r="BU170" s="7"/>
      <c r="BV170" s="19"/>
      <c r="BW170" s="19"/>
      <c r="BX170" s="19"/>
      <c r="BY170" s="19"/>
      <c r="CA170" s="8"/>
      <c r="CB170" s="7"/>
      <c r="CC170" s="19"/>
      <c r="CD170" s="19"/>
      <c r="CE170" s="19"/>
      <c r="CF170" s="19"/>
      <c r="CH170" s="8"/>
      <c r="CI170" s="7"/>
      <c r="CJ170" s="19"/>
      <c r="CK170" s="19"/>
      <c r="CL170" s="19"/>
      <c r="CM170" s="19"/>
      <c r="CO170" s="8"/>
      <c r="CP170" s="7"/>
      <c r="CQ170" s="19"/>
      <c r="CR170" s="19"/>
      <c r="CS170" s="19"/>
      <c r="CT170" s="19"/>
      <c r="CV170" s="8"/>
      <c r="CW170" s="7"/>
      <c r="CX170" s="19"/>
      <c r="CY170" s="19"/>
      <c r="CZ170" s="19"/>
      <c r="DA170" s="19"/>
      <c r="DC170" s="8"/>
      <c r="DD170" s="7"/>
      <c r="DE170" s="19"/>
      <c r="DF170" s="19"/>
      <c r="DG170" s="19"/>
      <c r="DH170" s="19"/>
      <c r="DJ170" s="8"/>
      <c r="DK170" s="7"/>
      <c r="DL170" s="19"/>
      <c r="DM170" s="19"/>
      <c r="DN170" s="19"/>
      <c r="DO170" s="19"/>
      <c r="DQ170" s="8"/>
      <c r="DR170" s="7"/>
      <c r="DS170" s="19"/>
      <c r="DT170" s="19"/>
      <c r="DU170" s="19"/>
      <c r="DV170" s="19"/>
      <c r="DX170" s="8"/>
      <c r="DY170" s="7"/>
      <c r="DZ170" s="19"/>
      <c r="EA170" s="19"/>
      <c r="EB170" s="19"/>
      <c r="EC170" s="19"/>
      <c r="EE170" s="8"/>
      <c r="EF170" s="7"/>
      <c r="EG170" s="19"/>
      <c r="EH170" s="19"/>
      <c r="EI170" s="19"/>
      <c r="EJ170" s="19"/>
      <c r="EL170" s="8"/>
      <c r="EM170" s="7"/>
      <c r="EN170" s="19"/>
      <c r="EO170" s="19"/>
      <c r="EP170" s="19"/>
      <c r="EQ170" s="19"/>
      <c r="ES170" s="8"/>
      <c r="ET170" s="7"/>
      <c r="EU170" s="19"/>
      <c r="EV170" s="19"/>
      <c r="EW170" s="19"/>
      <c r="EX170" s="19"/>
      <c r="EZ170" s="8"/>
      <c r="FA170" s="7"/>
      <c r="FB170" s="19"/>
      <c r="FC170" s="19"/>
      <c r="FD170" s="19"/>
      <c r="FE170" s="19"/>
      <c r="FG170" s="8"/>
      <c r="FH170" s="7"/>
      <c r="FI170" s="19"/>
      <c r="FJ170" s="19"/>
      <c r="FK170" s="19"/>
      <c r="FL170" s="19"/>
      <c r="FN170" s="8"/>
      <c r="FO170" s="7"/>
      <c r="FP170" s="19"/>
      <c r="FQ170" s="19"/>
      <c r="FR170" s="19"/>
      <c r="FS170" s="19"/>
      <c r="FU170" s="8"/>
      <c r="FV170" s="7"/>
      <c r="FW170" s="19"/>
      <c r="FX170" s="19"/>
      <c r="FY170" s="19"/>
      <c r="FZ170" s="19"/>
      <c r="GB170" s="8"/>
      <c r="GC170" s="7"/>
      <c r="GD170" s="19"/>
      <c r="GE170" s="19"/>
      <c r="GF170" s="19"/>
      <c r="GG170" s="19"/>
      <c r="GI170" s="8"/>
      <c r="GJ170" s="7"/>
      <c r="GK170" s="19"/>
      <c r="GL170" s="19"/>
      <c r="GM170" s="19"/>
      <c r="GN170" s="19"/>
      <c r="GP170" s="8"/>
      <c r="GQ170" s="7"/>
      <c r="GR170" s="19"/>
      <c r="GS170" s="19"/>
      <c r="GT170" s="19"/>
      <c r="GU170" s="19"/>
      <c r="GW170" s="8"/>
      <c r="GX170" s="7"/>
      <c r="GY170" s="19"/>
      <c r="GZ170" s="19"/>
      <c r="HA170" s="19"/>
      <c r="HB170" s="19"/>
      <c r="HD170" s="8"/>
      <c r="HE170" s="7"/>
      <c r="HF170" s="19"/>
      <c r="HG170" s="19"/>
      <c r="HH170" s="19"/>
      <c r="HI170" s="19"/>
      <c r="HK170" s="8"/>
      <c r="HL170" s="7"/>
      <c r="HM170" s="19"/>
      <c r="HN170" s="19"/>
      <c r="HO170" s="19"/>
      <c r="HP170" s="19"/>
      <c r="HR170" s="8"/>
      <c r="HS170" s="7"/>
      <c r="HT170" s="19"/>
      <c r="HU170" s="19"/>
      <c r="HV170" s="19"/>
      <c r="HW170" s="19"/>
      <c r="HY170" s="8"/>
      <c r="HZ170" s="7"/>
      <c r="IA170" s="19"/>
      <c r="IB170" s="19"/>
      <c r="IC170" s="19"/>
      <c r="ID170" s="19"/>
      <c r="IF170" s="8"/>
      <c r="IG170" s="7"/>
      <c r="IH170" s="19"/>
      <c r="II170" s="19"/>
      <c r="IJ170" s="19"/>
      <c r="IK170" s="19"/>
      <c r="IM170" s="8"/>
      <c r="IN170" s="7"/>
      <c r="IO170" s="19"/>
      <c r="IP170" s="19"/>
      <c r="IQ170" s="19"/>
      <c r="IR170" s="19"/>
      <c r="IT170" s="8"/>
      <c r="IU170" s="7"/>
      <c r="IV170" s="19"/>
      <c r="IW170" s="19"/>
      <c r="IX170" s="19"/>
      <c r="IY170" s="19"/>
      <c r="JA170" s="8"/>
      <c r="JB170" s="7"/>
      <c r="JC170" s="19"/>
      <c r="JD170" s="19"/>
      <c r="JE170" s="19"/>
      <c r="JF170" s="19"/>
      <c r="JH170" s="8"/>
      <c r="JI170" s="7"/>
      <c r="JJ170" s="19"/>
      <c r="JK170" s="19"/>
      <c r="JL170" s="19"/>
      <c r="JM170" s="19"/>
      <c r="JO170" s="8"/>
      <c r="JP170" s="7"/>
      <c r="JQ170" s="19"/>
      <c r="JR170" s="19"/>
      <c r="JS170" s="19"/>
      <c r="JT170" s="19"/>
      <c r="JV170" s="8"/>
      <c r="JW170" s="7"/>
      <c r="JX170" s="19"/>
      <c r="JY170" s="19"/>
      <c r="JZ170" s="19"/>
      <c r="KA170" s="19"/>
      <c r="KC170" s="8"/>
      <c r="KD170" s="7"/>
      <c r="KE170" s="19"/>
      <c r="KF170" s="19"/>
      <c r="KG170" s="19"/>
      <c r="KH170" s="19"/>
      <c r="KJ170" s="8"/>
      <c r="KK170" s="7"/>
      <c r="KL170" s="19"/>
      <c r="KM170" s="19"/>
      <c r="KN170" s="19"/>
      <c r="KO170" s="19"/>
      <c r="KQ170" s="8"/>
      <c r="KR170" s="7"/>
      <c r="KS170" s="19"/>
      <c r="KT170" s="19"/>
      <c r="KU170" s="19"/>
      <c r="KV170" s="19"/>
      <c r="KX170" s="8"/>
      <c r="KY170" s="7"/>
      <c r="KZ170" s="19"/>
      <c r="LA170" s="19"/>
      <c r="LB170" s="19"/>
      <c r="LC170" s="19"/>
      <c r="LE170" s="8"/>
      <c r="LF170" s="7"/>
      <c r="LG170" s="19"/>
      <c r="LH170" s="19"/>
      <c r="LI170" s="19"/>
      <c r="LJ170" s="19"/>
      <c r="LL170" s="8"/>
      <c r="LM170" s="7"/>
      <c r="LN170" s="19"/>
      <c r="LO170" s="19"/>
      <c r="LP170" s="19"/>
      <c r="LQ170" s="19"/>
      <c r="LS170" s="8"/>
      <c r="LT170" s="7"/>
      <c r="LU170" s="19"/>
      <c r="LV170" s="19"/>
      <c r="LW170" s="19"/>
      <c r="LX170" s="19"/>
      <c r="LZ170" s="8"/>
      <c r="MA170" s="7"/>
      <c r="MB170" s="19"/>
      <c r="MC170" s="19"/>
      <c r="MD170" s="19"/>
      <c r="ME170" s="19"/>
      <c r="MG170" s="8"/>
      <c r="MH170" s="7"/>
      <c r="MI170" s="19"/>
      <c r="MJ170" s="19"/>
      <c r="MK170" s="19"/>
      <c r="ML170" s="19"/>
      <c r="MN170" s="8"/>
      <c r="MO170" s="7"/>
      <c r="MP170" s="19"/>
      <c r="MQ170" s="19"/>
      <c r="MR170" s="19"/>
      <c r="MS170" s="19"/>
      <c r="MU170" s="8"/>
      <c r="MV170" s="7"/>
      <c r="MW170" s="19"/>
      <c r="MX170" s="19"/>
      <c r="MY170" s="19"/>
      <c r="MZ170" s="19"/>
      <c r="NB170" s="8"/>
      <c r="NC170" s="7"/>
      <c r="ND170" s="19"/>
      <c r="NE170" s="19"/>
      <c r="NF170" s="19"/>
      <c r="NG170" s="19"/>
      <c r="NI170" s="8"/>
      <c r="NJ170" s="7"/>
      <c r="NK170" s="19"/>
      <c r="NL170" s="19"/>
      <c r="NM170" s="19"/>
      <c r="NN170" s="19"/>
      <c r="NP170" s="8"/>
      <c r="NQ170" s="7"/>
      <c r="NR170" s="19"/>
      <c r="NS170" s="19"/>
      <c r="NT170" s="19"/>
      <c r="NU170" s="19"/>
      <c r="NW170" s="8"/>
      <c r="NX170" s="7"/>
      <c r="NY170" s="19"/>
      <c r="NZ170" s="19"/>
      <c r="OA170" s="19"/>
      <c r="OB170" s="19"/>
      <c r="OD170" s="8"/>
      <c r="OE170" s="7"/>
      <c r="OF170" s="19"/>
      <c r="OG170" s="19"/>
      <c r="OH170" s="19"/>
      <c r="OI170" s="19"/>
      <c r="OK170" s="8"/>
      <c r="OL170" s="7"/>
      <c r="OM170" s="19"/>
      <c r="ON170" s="19"/>
      <c r="OO170" s="19"/>
      <c r="OP170" s="19"/>
      <c r="OR170" s="8"/>
      <c r="OS170" s="7"/>
      <c r="OT170" s="19"/>
      <c r="OU170" s="19"/>
      <c r="OV170" s="19"/>
      <c r="OW170" s="19"/>
      <c r="OY170" s="8"/>
      <c r="OZ170" s="7"/>
      <c r="PA170" s="19"/>
      <c r="PB170" s="19"/>
      <c r="PC170" s="19"/>
      <c r="PD170" s="19"/>
      <c r="PF170" s="8"/>
      <c r="PG170" s="7"/>
      <c r="PH170" s="19"/>
      <c r="PI170" s="19"/>
      <c r="PJ170" s="19"/>
      <c r="PK170" s="19"/>
      <c r="PM170" s="8"/>
    </row>
    <row r="171" spans="1:429" s="1" customFormat="1" ht="26" customHeight="1" outlineLevel="1">
      <c r="B171" s="471"/>
      <c r="C171" s="7"/>
      <c r="D171" s="19"/>
      <c r="E171" s="19"/>
      <c r="F171" s="19"/>
      <c r="G171" s="19"/>
      <c r="I171" s="8"/>
      <c r="J171" s="7"/>
      <c r="K171" s="19"/>
      <c r="L171" s="19"/>
      <c r="M171" s="19"/>
      <c r="N171" s="19"/>
      <c r="P171" s="8"/>
      <c r="Q171" s="7"/>
      <c r="R171" s="19"/>
      <c r="S171" s="19"/>
      <c r="T171" s="19"/>
      <c r="U171" s="19"/>
      <c r="W171" s="8"/>
      <c r="X171" s="7"/>
      <c r="Y171" s="19"/>
      <c r="Z171" s="19"/>
      <c r="AA171" s="19"/>
      <c r="AB171" s="19"/>
      <c r="AD171" s="8"/>
      <c r="AE171" s="7"/>
      <c r="AF171" s="19"/>
      <c r="AG171" s="19"/>
      <c r="AH171" s="19"/>
      <c r="AI171" s="19"/>
      <c r="AK171" s="8"/>
      <c r="AL171" s="7"/>
      <c r="AM171" s="19"/>
      <c r="AN171" s="19"/>
      <c r="AO171" s="19"/>
      <c r="AP171" s="19"/>
      <c r="AR171" s="8"/>
      <c r="AS171" s="7"/>
      <c r="AT171" s="19"/>
      <c r="AU171" s="19"/>
      <c r="AV171" s="19"/>
      <c r="AW171" s="19"/>
      <c r="AY171" s="8"/>
      <c r="AZ171" s="7"/>
      <c r="BA171" s="19"/>
      <c r="BB171" s="19"/>
      <c r="BC171" s="19"/>
      <c r="BD171" s="19"/>
      <c r="BF171" s="8"/>
      <c r="BG171" s="7"/>
      <c r="BH171" s="19"/>
      <c r="BI171" s="19"/>
      <c r="BJ171" s="19"/>
      <c r="BK171" s="19"/>
      <c r="BM171" s="8"/>
      <c r="BN171" s="7"/>
      <c r="BO171" s="19"/>
      <c r="BP171" s="19"/>
      <c r="BQ171" s="19"/>
      <c r="BR171" s="19"/>
      <c r="BT171" s="8"/>
      <c r="BU171" s="7"/>
      <c r="BV171" s="19"/>
      <c r="BW171" s="19"/>
      <c r="BX171" s="19"/>
      <c r="BY171" s="19"/>
      <c r="CA171" s="8"/>
      <c r="CB171" s="7"/>
      <c r="CC171" s="19"/>
      <c r="CD171" s="19"/>
      <c r="CE171" s="19"/>
      <c r="CF171" s="19"/>
      <c r="CH171" s="8"/>
      <c r="CI171" s="7"/>
      <c r="CJ171" s="19"/>
      <c r="CK171" s="19"/>
      <c r="CL171" s="19"/>
      <c r="CM171" s="19"/>
      <c r="CO171" s="8"/>
      <c r="CP171" s="7"/>
      <c r="CQ171" s="19"/>
      <c r="CR171" s="19"/>
      <c r="CS171" s="19"/>
      <c r="CT171" s="19"/>
      <c r="CV171" s="8"/>
      <c r="CW171" s="7"/>
      <c r="CX171" s="19"/>
      <c r="CY171" s="19"/>
      <c r="CZ171" s="19"/>
      <c r="DA171" s="19"/>
      <c r="DC171" s="8"/>
      <c r="DD171" s="7"/>
      <c r="DE171" s="19"/>
      <c r="DF171" s="19"/>
      <c r="DG171" s="19"/>
      <c r="DH171" s="19"/>
      <c r="DJ171" s="8"/>
      <c r="DK171" s="7"/>
      <c r="DL171" s="19"/>
      <c r="DM171" s="19"/>
      <c r="DN171" s="19"/>
      <c r="DO171" s="19"/>
      <c r="DQ171" s="8"/>
      <c r="DR171" s="7"/>
      <c r="DS171" s="19"/>
      <c r="DT171" s="19"/>
      <c r="DU171" s="19"/>
      <c r="DV171" s="19"/>
      <c r="DX171" s="8"/>
      <c r="DY171" s="7"/>
      <c r="DZ171" s="19"/>
      <c r="EA171" s="19"/>
      <c r="EB171" s="19"/>
      <c r="EC171" s="19"/>
      <c r="EE171" s="8"/>
      <c r="EF171" s="7"/>
      <c r="EG171" s="19"/>
      <c r="EH171" s="19"/>
      <c r="EI171" s="19"/>
      <c r="EJ171" s="19"/>
      <c r="EL171" s="8"/>
      <c r="EM171" s="7"/>
      <c r="EN171" s="19"/>
      <c r="EO171" s="19"/>
      <c r="EP171" s="19"/>
      <c r="EQ171" s="19"/>
      <c r="ES171" s="8"/>
      <c r="ET171" s="7"/>
      <c r="EU171" s="19"/>
      <c r="EV171" s="19"/>
      <c r="EW171" s="19"/>
      <c r="EX171" s="19"/>
      <c r="EZ171" s="8"/>
      <c r="FA171" s="7"/>
      <c r="FB171" s="19"/>
      <c r="FC171" s="19"/>
      <c r="FD171" s="19"/>
      <c r="FE171" s="19"/>
      <c r="FG171" s="8"/>
      <c r="FH171" s="7"/>
      <c r="FI171" s="19"/>
      <c r="FJ171" s="19"/>
      <c r="FK171" s="19"/>
      <c r="FL171" s="19"/>
      <c r="FN171" s="8"/>
      <c r="FO171" s="7"/>
      <c r="FP171" s="19"/>
      <c r="FQ171" s="19"/>
      <c r="FR171" s="19"/>
      <c r="FS171" s="19"/>
      <c r="FU171" s="8"/>
      <c r="FV171" s="7"/>
      <c r="FW171" s="19"/>
      <c r="FX171" s="19"/>
      <c r="FY171" s="19"/>
      <c r="FZ171" s="19"/>
      <c r="GB171" s="8"/>
      <c r="GC171" s="7"/>
      <c r="GD171" s="19"/>
      <c r="GE171" s="19"/>
      <c r="GF171" s="19"/>
      <c r="GG171" s="19"/>
      <c r="GI171" s="8"/>
      <c r="GJ171" s="7"/>
      <c r="GK171" s="19"/>
      <c r="GL171" s="19"/>
      <c r="GM171" s="19"/>
      <c r="GN171" s="19"/>
      <c r="GP171" s="8"/>
      <c r="GQ171" s="7"/>
      <c r="GR171" s="19"/>
      <c r="GS171" s="19"/>
      <c r="GT171" s="19"/>
      <c r="GU171" s="19"/>
      <c r="GW171" s="8"/>
      <c r="GX171" s="7"/>
      <c r="GY171" s="19"/>
      <c r="GZ171" s="19"/>
      <c r="HA171" s="19"/>
      <c r="HB171" s="19"/>
      <c r="HD171" s="8"/>
      <c r="HE171" s="7"/>
      <c r="HF171" s="19"/>
      <c r="HG171" s="19"/>
      <c r="HH171" s="19"/>
      <c r="HI171" s="19"/>
      <c r="HK171" s="8"/>
      <c r="HL171" s="7"/>
      <c r="HM171" s="19"/>
      <c r="HN171" s="19"/>
      <c r="HO171" s="19"/>
      <c r="HP171" s="19"/>
      <c r="HR171" s="8"/>
      <c r="HS171" s="7"/>
      <c r="HT171" s="19"/>
      <c r="HU171" s="19"/>
      <c r="HV171" s="19"/>
      <c r="HW171" s="19"/>
      <c r="HY171" s="8"/>
      <c r="HZ171" s="7"/>
      <c r="IA171" s="19"/>
      <c r="IB171" s="19"/>
      <c r="IC171" s="19"/>
      <c r="ID171" s="19"/>
      <c r="IF171" s="8"/>
      <c r="IG171" s="7"/>
      <c r="IH171" s="19"/>
      <c r="II171" s="19"/>
      <c r="IJ171" s="19"/>
      <c r="IK171" s="19"/>
      <c r="IM171" s="8"/>
      <c r="IN171" s="7"/>
      <c r="IO171" s="19"/>
      <c r="IP171" s="19"/>
      <c r="IQ171" s="19"/>
      <c r="IR171" s="19"/>
      <c r="IT171" s="8"/>
      <c r="IU171" s="7"/>
      <c r="IV171" s="19"/>
      <c r="IW171" s="19"/>
      <c r="IX171" s="19"/>
      <c r="IY171" s="19"/>
      <c r="JA171" s="8"/>
      <c r="JB171" s="7"/>
      <c r="JC171" s="19"/>
      <c r="JD171" s="19"/>
      <c r="JE171" s="19"/>
      <c r="JF171" s="19"/>
      <c r="JH171" s="8"/>
      <c r="JI171" s="7"/>
      <c r="JJ171" s="19"/>
      <c r="JK171" s="19"/>
      <c r="JL171" s="19"/>
      <c r="JM171" s="19"/>
      <c r="JO171" s="8"/>
      <c r="JP171" s="7"/>
      <c r="JQ171" s="19"/>
      <c r="JR171" s="19"/>
      <c r="JS171" s="19"/>
      <c r="JT171" s="19"/>
      <c r="JV171" s="8"/>
      <c r="JW171" s="7"/>
      <c r="JX171" s="19"/>
      <c r="JY171" s="19"/>
      <c r="JZ171" s="19"/>
      <c r="KA171" s="19"/>
      <c r="KC171" s="8"/>
      <c r="KD171" s="7"/>
      <c r="KE171" s="19"/>
      <c r="KF171" s="19"/>
      <c r="KG171" s="19"/>
      <c r="KH171" s="19"/>
      <c r="KJ171" s="8"/>
      <c r="KK171" s="7"/>
      <c r="KL171" s="19"/>
      <c r="KM171" s="19"/>
      <c r="KN171" s="19"/>
      <c r="KO171" s="19"/>
      <c r="KQ171" s="8"/>
      <c r="KR171" s="7"/>
      <c r="KS171" s="19"/>
      <c r="KT171" s="19"/>
      <c r="KU171" s="19"/>
      <c r="KV171" s="19"/>
      <c r="KX171" s="8"/>
      <c r="KY171" s="7"/>
      <c r="KZ171" s="19"/>
      <c r="LA171" s="19"/>
      <c r="LB171" s="19"/>
      <c r="LC171" s="19"/>
      <c r="LE171" s="8"/>
      <c r="LF171" s="7"/>
      <c r="LG171" s="19"/>
      <c r="LH171" s="19"/>
      <c r="LI171" s="19"/>
      <c r="LJ171" s="19"/>
      <c r="LL171" s="8"/>
      <c r="LM171" s="7"/>
      <c r="LN171" s="19"/>
      <c r="LO171" s="19"/>
      <c r="LP171" s="19"/>
      <c r="LQ171" s="19"/>
      <c r="LS171" s="8"/>
      <c r="LT171" s="7"/>
      <c r="LU171" s="19"/>
      <c r="LV171" s="19"/>
      <c r="LW171" s="19"/>
      <c r="LX171" s="19"/>
      <c r="LZ171" s="8"/>
      <c r="MA171" s="7"/>
      <c r="MB171" s="19"/>
      <c r="MC171" s="19"/>
      <c r="MD171" s="19"/>
      <c r="ME171" s="19"/>
      <c r="MG171" s="8"/>
      <c r="MH171" s="7"/>
      <c r="MI171" s="19"/>
      <c r="MJ171" s="19"/>
      <c r="MK171" s="19"/>
      <c r="ML171" s="19"/>
      <c r="MN171" s="8"/>
      <c r="MO171" s="7"/>
      <c r="MP171" s="19"/>
      <c r="MQ171" s="19"/>
      <c r="MR171" s="19"/>
      <c r="MS171" s="19"/>
      <c r="MU171" s="8"/>
      <c r="MV171" s="7"/>
      <c r="MW171" s="19"/>
      <c r="MX171" s="19"/>
      <c r="MY171" s="19"/>
      <c r="MZ171" s="19"/>
      <c r="NB171" s="8"/>
      <c r="NC171" s="7"/>
      <c r="ND171" s="19"/>
      <c r="NE171" s="19"/>
      <c r="NF171" s="19"/>
      <c r="NG171" s="19"/>
      <c r="NI171" s="8"/>
      <c r="NJ171" s="7"/>
      <c r="NK171" s="19"/>
      <c r="NL171" s="19"/>
      <c r="NM171" s="19"/>
      <c r="NN171" s="19"/>
      <c r="NP171" s="8"/>
      <c r="NQ171" s="7"/>
      <c r="NR171" s="19"/>
      <c r="NS171" s="19"/>
      <c r="NT171" s="19"/>
      <c r="NU171" s="19"/>
      <c r="NW171" s="8"/>
      <c r="NX171" s="7"/>
      <c r="NY171" s="19"/>
      <c r="NZ171" s="19"/>
      <c r="OA171" s="19"/>
      <c r="OB171" s="19"/>
      <c r="OD171" s="8"/>
      <c r="OE171" s="7"/>
      <c r="OF171" s="19"/>
      <c r="OG171" s="19"/>
      <c r="OH171" s="19"/>
      <c r="OI171" s="19"/>
      <c r="OK171" s="8"/>
      <c r="OL171" s="7"/>
      <c r="OM171" s="19"/>
      <c r="ON171" s="19"/>
      <c r="OO171" s="19"/>
      <c r="OP171" s="19"/>
      <c r="OR171" s="8"/>
      <c r="OS171" s="7"/>
      <c r="OT171" s="19"/>
      <c r="OU171" s="19"/>
      <c r="OV171" s="19"/>
      <c r="OW171" s="19"/>
      <c r="OY171" s="8"/>
      <c r="OZ171" s="7"/>
      <c r="PA171" s="19"/>
      <c r="PB171" s="19"/>
      <c r="PC171" s="19"/>
      <c r="PD171" s="19"/>
      <c r="PF171" s="8"/>
      <c r="PG171" s="7"/>
      <c r="PH171" s="19"/>
      <c r="PI171" s="19"/>
      <c r="PJ171" s="19"/>
      <c r="PK171" s="19"/>
      <c r="PM171" s="8"/>
    </row>
    <row r="172" spans="1:429" s="1" customFormat="1" ht="26" customHeight="1" outlineLevel="1">
      <c r="B172" s="471"/>
      <c r="C172" s="7"/>
      <c r="D172" s="19"/>
      <c r="E172" s="19"/>
      <c r="F172" s="19"/>
      <c r="G172" s="19"/>
      <c r="I172" s="8"/>
      <c r="J172" s="7"/>
      <c r="K172" s="19"/>
      <c r="L172" s="19"/>
      <c r="M172" s="19"/>
      <c r="N172" s="19"/>
      <c r="P172" s="8"/>
      <c r="Q172" s="7"/>
      <c r="R172" s="19"/>
      <c r="S172" s="19"/>
      <c r="T172" s="19"/>
      <c r="U172" s="19"/>
      <c r="W172" s="8"/>
      <c r="X172" s="7"/>
      <c r="Y172" s="19"/>
      <c r="Z172" s="19"/>
      <c r="AA172" s="19"/>
      <c r="AB172" s="19"/>
      <c r="AD172" s="8"/>
      <c r="AE172" s="7"/>
      <c r="AF172" s="19"/>
      <c r="AG172" s="19"/>
      <c r="AH172" s="19"/>
      <c r="AI172" s="19"/>
      <c r="AK172" s="8"/>
      <c r="AL172" s="7"/>
      <c r="AM172" s="19"/>
      <c r="AN172" s="19"/>
      <c r="AO172" s="19"/>
      <c r="AP172" s="19"/>
      <c r="AR172" s="8"/>
      <c r="AS172" s="7"/>
      <c r="AT172" s="19"/>
      <c r="AU172" s="19"/>
      <c r="AV172" s="19"/>
      <c r="AW172" s="19"/>
      <c r="AY172" s="8"/>
      <c r="AZ172" s="7"/>
      <c r="BA172" s="19"/>
      <c r="BB172" s="19"/>
      <c r="BC172" s="19"/>
      <c r="BD172" s="19"/>
      <c r="BF172" s="8"/>
      <c r="BG172" s="7"/>
      <c r="BH172" s="19"/>
      <c r="BI172" s="19"/>
      <c r="BJ172" s="19"/>
      <c r="BK172" s="19"/>
      <c r="BM172" s="8"/>
      <c r="BN172" s="7"/>
      <c r="BO172" s="19"/>
      <c r="BP172" s="19"/>
      <c r="BQ172" s="19"/>
      <c r="BR172" s="19"/>
      <c r="BT172" s="8"/>
      <c r="BU172" s="7"/>
      <c r="BV172" s="19"/>
      <c r="BW172" s="19"/>
      <c r="BX172" s="19"/>
      <c r="BY172" s="19"/>
      <c r="CA172" s="8"/>
      <c r="CB172" s="7"/>
      <c r="CC172" s="19"/>
      <c r="CD172" s="19"/>
      <c r="CE172" s="19"/>
      <c r="CF172" s="19"/>
      <c r="CH172" s="8"/>
      <c r="CI172" s="7"/>
      <c r="CJ172" s="19"/>
      <c r="CK172" s="19"/>
      <c r="CL172" s="19"/>
      <c r="CM172" s="19"/>
      <c r="CO172" s="8"/>
      <c r="CP172" s="7"/>
      <c r="CQ172" s="19"/>
      <c r="CR172" s="19"/>
      <c r="CS172" s="19"/>
      <c r="CT172" s="19"/>
      <c r="CV172" s="8"/>
      <c r="CW172" s="7"/>
      <c r="CX172" s="19"/>
      <c r="CY172" s="19"/>
      <c r="CZ172" s="19"/>
      <c r="DA172" s="19"/>
      <c r="DC172" s="8"/>
      <c r="DD172" s="7"/>
      <c r="DE172" s="19"/>
      <c r="DF172" s="19"/>
      <c r="DG172" s="19"/>
      <c r="DH172" s="19"/>
      <c r="DJ172" s="8"/>
      <c r="DK172" s="7"/>
      <c r="DL172" s="19"/>
      <c r="DM172" s="19"/>
      <c r="DN172" s="19"/>
      <c r="DO172" s="19"/>
      <c r="DQ172" s="8"/>
      <c r="DR172" s="7"/>
      <c r="DS172" s="19"/>
      <c r="DT172" s="19"/>
      <c r="DU172" s="19"/>
      <c r="DV172" s="19"/>
      <c r="DX172" s="8"/>
      <c r="DY172" s="7"/>
      <c r="DZ172" s="19"/>
      <c r="EA172" s="19"/>
      <c r="EB172" s="19"/>
      <c r="EC172" s="19"/>
      <c r="EE172" s="8"/>
      <c r="EF172" s="7"/>
      <c r="EG172" s="19"/>
      <c r="EH172" s="19"/>
      <c r="EI172" s="19"/>
      <c r="EJ172" s="19"/>
      <c r="EL172" s="8"/>
      <c r="EM172" s="7"/>
      <c r="EN172" s="19"/>
      <c r="EO172" s="19"/>
      <c r="EP172" s="19"/>
      <c r="EQ172" s="19"/>
      <c r="ES172" s="8"/>
      <c r="ET172" s="7"/>
      <c r="EU172" s="19"/>
      <c r="EV172" s="19"/>
      <c r="EW172" s="19"/>
      <c r="EX172" s="19"/>
      <c r="EZ172" s="8"/>
      <c r="FA172" s="7"/>
      <c r="FB172" s="19"/>
      <c r="FC172" s="19"/>
      <c r="FD172" s="19"/>
      <c r="FE172" s="19"/>
      <c r="FG172" s="8"/>
      <c r="FH172" s="7"/>
      <c r="FI172" s="19"/>
      <c r="FJ172" s="19"/>
      <c r="FK172" s="19"/>
      <c r="FL172" s="19"/>
      <c r="FN172" s="8"/>
      <c r="FO172" s="7"/>
      <c r="FP172" s="19"/>
      <c r="FQ172" s="19"/>
      <c r="FR172" s="19"/>
      <c r="FS172" s="19"/>
      <c r="FU172" s="8"/>
      <c r="FV172" s="7"/>
      <c r="FW172" s="19"/>
      <c r="FX172" s="19"/>
      <c r="FY172" s="19"/>
      <c r="FZ172" s="19"/>
      <c r="GB172" s="8"/>
      <c r="GC172" s="7"/>
      <c r="GD172" s="19"/>
      <c r="GE172" s="19"/>
      <c r="GF172" s="19"/>
      <c r="GG172" s="19"/>
      <c r="GI172" s="8"/>
      <c r="GJ172" s="7"/>
      <c r="GK172" s="19"/>
      <c r="GL172" s="19"/>
      <c r="GM172" s="19"/>
      <c r="GN172" s="19"/>
      <c r="GP172" s="8"/>
      <c r="GQ172" s="7"/>
      <c r="GR172" s="19"/>
      <c r="GS172" s="19"/>
      <c r="GT172" s="19"/>
      <c r="GU172" s="19"/>
      <c r="GW172" s="8"/>
      <c r="GX172" s="7"/>
      <c r="GY172" s="19"/>
      <c r="GZ172" s="19"/>
      <c r="HA172" s="19"/>
      <c r="HB172" s="19"/>
      <c r="HD172" s="8"/>
      <c r="HE172" s="7"/>
      <c r="HF172" s="19"/>
      <c r="HG172" s="19"/>
      <c r="HH172" s="19"/>
      <c r="HI172" s="19"/>
      <c r="HK172" s="8"/>
      <c r="HL172" s="7"/>
      <c r="HM172" s="19"/>
      <c r="HN172" s="19"/>
      <c r="HO172" s="19"/>
      <c r="HP172" s="19"/>
      <c r="HR172" s="8"/>
      <c r="HS172" s="7"/>
      <c r="HT172" s="19"/>
      <c r="HU172" s="19"/>
      <c r="HV172" s="19"/>
      <c r="HW172" s="19"/>
      <c r="HY172" s="8"/>
      <c r="HZ172" s="7"/>
      <c r="IA172" s="19"/>
      <c r="IB172" s="19"/>
      <c r="IC172" s="19"/>
      <c r="ID172" s="19"/>
      <c r="IF172" s="8"/>
      <c r="IG172" s="7"/>
      <c r="IH172" s="19"/>
      <c r="II172" s="19"/>
      <c r="IJ172" s="19"/>
      <c r="IK172" s="19"/>
      <c r="IM172" s="8"/>
      <c r="IN172" s="7"/>
      <c r="IO172" s="19"/>
      <c r="IP172" s="19"/>
      <c r="IQ172" s="19"/>
      <c r="IR172" s="19"/>
      <c r="IT172" s="8"/>
      <c r="IU172" s="7"/>
      <c r="IV172" s="19"/>
      <c r="IW172" s="19"/>
      <c r="IX172" s="19"/>
      <c r="IY172" s="19"/>
      <c r="JA172" s="8"/>
      <c r="JB172" s="7"/>
      <c r="JC172" s="19"/>
      <c r="JD172" s="19"/>
      <c r="JE172" s="19"/>
      <c r="JF172" s="19"/>
      <c r="JH172" s="8"/>
      <c r="JI172" s="7"/>
      <c r="JJ172" s="19"/>
      <c r="JK172" s="19"/>
      <c r="JL172" s="19"/>
      <c r="JM172" s="19"/>
      <c r="JO172" s="8"/>
      <c r="JP172" s="7"/>
      <c r="JQ172" s="19"/>
      <c r="JR172" s="19"/>
      <c r="JS172" s="19"/>
      <c r="JT172" s="19"/>
      <c r="JV172" s="8"/>
      <c r="JW172" s="7"/>
      <c r="JX172" s="19"/>
      <c r="JY172" s="19"/>
      <c r="JZ172" s="19"/>
      <c r="KA172" s="19"/>
      <c r="KC172" s="8"/>
      <c r="KD172" s="7"/>
      <c r="KE172" s="19"/>
      <c r="KF172" s="19"/>
      <c r="KG172" s="19"/>
      <c r="KH172" s="19"/>
      <c r="KJ172" s="8"/>
      <c r="KK172" s="7"/>
      <c r="KL172" s="19"/>
      <c r="KM172" s="19"/>
      <c r="KN172" s="19"/>
      <c r="KO172" s="19"/>
      <c r="KQ172" s="8"/>
      <c r="KR172" s="7"/>
      <c r="KS172" s="19"/>
      <c r="KT172" s="19"/>
      <c r="KU172" s="19"/>
      <c r="KV172" s="19"/>
      <c r="KX172" s="8"/>
      <c r="KY172" s="7"/>
      <c r="KZ172" s="19"/>
      <c r="LA172" s="19"/>
      <c r="LB172" s="19"/>
      <c r="LC172" s="19"/>
      <c r="LE172" s="8"/>
      <c r="LF172" s="7"/>
      <c r="LG172" s="19"/>
      <c r="LH172" s="19"/>
      <c r="LI172" s="19"/>
      <c r="LJ172" s="19"/>
      <c r="LL172" s="8"/>
      <c r="LM172" s="7"/>
      <c r="LN172" s="19"/>
      <c r="LO172" s="19"/>
      <c r="LP172" s="19"/>
      <c r="LQ172" s="19"/>
      <c r="LS172" s="8"/>
      <c r="LT172" s="7"/>
      <c r="LU172" s="19"/>
      <c r="LV172" s="19"/>
      <c r="LW172" s="19"/>
      <c r="LX172" s="19"/>
      <c r="LZ172" s="8"/>
      <c r="MA172" s="7"/>
      <c r="MB172" s="19"/>
      <c r="MC172" s="19"/>
      <c r="MD172" s="19"/>
      <c r="ME172" s="19"/>
      <c r="MG172" s="8"/>
      <c r="MH172" s="7"/>
      <c r="MI172" s="19"/>
      <c r="MJ172" s="19"/>
      <c r="MK172" s="19"/>
      <c r="ML172" s="19"/>
      <c r="MN172" s="8"/>
      <c r="MO172" s="7"/>
      <c r="MP172" s="19"/>
      <c r="MQ172" s="19"/>
      <c r="MR172" s="19"/>
      <c r="MS172" s="19"/>
      <c r="MU172" s="8"/>
      <c r="MV172" s="7"/>
      <c r="MW172" s="19"/>
      <c r="MX172" s="19"/>
      <c r="MY172" s="19"/>
      <c r="MZ172" s="19"/>
      <c r="NB172" s="8"/>
      <c r="NC172" s="7"/>
      <c r="ND172" s="19"/>
      <c r="NE172" s="19"/>
      <c r="NF172" s="19"/>
      <c r="NG172" s="19"/>
      <c r="NI172" s="8"/>
      <c r="NJ172" s="7"/>
      <c r="NK172" s="19"/>
      <c r="NL172" s="19"/>
      <c r="NM172" s="19"/>
      <c r="NN172" s="19"/>
      <c r="NP172" s="8"/>
      <c r="NQ172" s="7"/>
      <c r="NR172" s="19"/>
      <c r="NS172" s="19"/>
      <c r="NT172" s="19"/>
      <c r="NU172" s="19"/>
      <c r="NW172" s="8"/>
      <c r="NX172" s="7"/>
      <c r="NY172" s="19"/>
      <c r="NZ172" s="19"/>
      <c r="OA172" s="19"/>
      <c r="OB172" s="19"/>
      <c r="OD172" s="8"/>
      <c r="OE172" s="7"/>
      <c r="OF172" s="19"/>
      <c r="OG172" s="19"/>
      <c r="OH172" s="19"/>
      <c r="OI172" s="19"/>
      <c r="OK172" s="8"/>
      <c r="OL172" s="7"/>
      <c r="OM172" s="19"/>
      <c r="ON172" s="19"/>
      <c r="OO172" s="19"/>
      <c r="OP172" s="19"/>
      <c r="OR172" s="8"/>
      <c r="OS172" s="7"/>
      <c r="OT172" s="19"/>
      <c r="OU172" s="19"/>
      <c r="OV172" s="19"/>
      <c r="OW172" s="19"/>
      <c r="OY172" s="8"/>
      <c r="OZ172" s="7"/>
      <c r="PA172" s="19"/>
      <c r="PB172" s="19"/>
      <c r="PC172" s="19"/>
      <c r="PD172" s="19"/>
      <c r="PF172" s="8"/>
      <c r="PG172" s="7"/>
      <c r="PH172" s="19"/>
      <c r="PI172" s="19"/>
      <c r="PJ172" s="19"/>
      <c r="PK172" s="19"/>
      <c r="PM172" s="8"/>
    </row>
    <row r="173" spans="1:429" s="1" customFormat="1" ht="24" outlineLevel="1">
      <c r="B173" s="471"/>
      <c r="C173" s="7"/>
      <c r="D173" s="19"/>
      <c r="E173" s="19"/>
      <c r="F173" s="19"/>
      <c r="G173" s="19"/>
      <c r="I173" s="8"/>
      <c r="J173" s="7"/>
      <c r="K173" s="19"/>
      <c r="L173" s="19"/>
      <c r="M173" s="19"/>
      <c r="N173" s="19"/>
      <c r="P173" s="8"/>
      <c r="Q173" s="7"/>
      <c r="R173" s="19"/>
      <c r="S173" s="19"/>
      <c r="T173" s="19"/>
      <c r="U173" s="19"/>
      <c r="W173" s="8"/>
      <c r="X173" s="7"/>
      <c r="Y173" s="19"/>
      <c r="Z173" s="19"/>
      <c r="AA173" s="19"/>
      <c r="AB173" s="19"/>
      <c r="AD173" s="8"/>
      <c r="AE173" s="7"/>
      <c r="AF173" s="19"/>
      <c r="AG173" s="19"/>
      <c r="AH173" s="19"/>
      <c r="AI173" s="19"/>
      <c r="AK173" s="8"/>
      <c r="AL173" s="7"/>
      <c r="AM173" s="19"/>
      <c r="AN173" s="19"/>
      <c r="AO173" s="19"/>
      <c r="AP173" s="19"/>
      <c r="AR173" s="8"/>
      <c r="AS173" s="7"/>
      <c r="AT173" s="19"/>
      <c r="AU173" s="19"/>
      <c r="AV173" s="19"/>
      <c r="AW173" s="19"/>
      <c r="AY173" s="8"/>
      <c r="AZ173" s="7"/>
      <c r="BA173" s="19"/>
      <c r="BB173" s="19"/>
      <c r="BC173" s="19"/>
      <c r="BD173" s="19"/>
      <c r="BF173" s="8"/>
      <c r="BG173" s="7"/>
      <c r="BH173" s="19"/>
      <c r="BI173" s="19"/>
      <c r="BJ173" s="19"/>
      <c r="BK173" s="19"/>
      <c r="BM173" s="8"/>
      <c r="BN173" s="7"/>
      <c r="BO173" s="19"/>
      <c r="BP173" s="19"/>
      <c r="BQ173" s="19"/>
      <c r="BR173" s="19"/>
      <c r="BT173" s="8"/>
      <c r="BU173" s="7"/>
      <c r="BV173" s="19"/>
      <c r="BW173" s="19"/>
      <c r="BX173" s="19"/>
      <c r="BY173" s="19"/>
      <c r="CA173" s="8"/>
      <c r="CB173" s="7"/>
      <c r="CC173" s="19"/>
      <c r="CD173" s="19"/>
      <c r="CE173" s="19"/>
      <c r="CF173" s="19"/>
      <c r="CH173" s="8"/>
      <c r="CI173" s="7"/>
      <c r="CJ173" s="19"/>
      <c r="CK173" s="19"/>
      <c r="CL173" s="19"/>
      <c r="CM173" s="19"/>
      <c r="CO173" s="8"/>
      <c r="CP173" s="7"/>
      <c r="CQ173" s="19"/>
      <c r="CR173" s="19"/>
      <c r="CS173" s="19"/>
      <c r="CT173" s="19"/>
      <c r="CV173" s="8"/>
      <c r="CW173" s="7"/>
      <c r="CX173" s="19"/>
      <c r="CY173" s="19"/>
      <c r="CZ173" s="19"/>
      <c r="DA173" s="19"/>
      <c r="DC173" s="8"/>
      <c r="DD173" s="7"/>
      <c r="DE173" s="19"/>
      <c r="DF173" s="19"/>
      <c r="DG173" s="19"/>
      <c r="DH173" s="19"/>
      <c r="DJ173" s="8"/>
      <c r="DK173" s="7"/>
      <c r="DL173" s="19"/>
      <c r="DM173" s="19"/>
      <c r="DN173" s="19"/>
      <c r="DO173" s="19"/>
      <c r="DQ173" s="8"/>
      <c r="DR173" s="7"/>
      <c r="DS173" s="19"/>
      <c r="DT173" s="19"/>
      <c r="DU173" s="19"/>
      <c r="DV173" s="19"/>
      <c r="DX173" s="8"/>
      <c r="DY173" s="7"/>
      <c r="DZ173" s="19"/>
      <c r="EA173" s="19"/>
      <c r="EB173" s="19"/>
      <c r="EC173" s="19"/>
      <c r="EE173" s="8"/>
      <c r="EF173" s="7"/>
      <c r="EG173" s="19"/>
      <c r="EH173" s="19"/>
      <c r="EI173" s="19"/>
      <c r="EJ173" s="19"/>
      <c r="EL173" s="8"/>
      <c r="EM173" s="7"/>
      <c r="EN173" s="19"/>
      <c r="EO173" s="19"/>
      <c r="EP173" s="19"/>
      <c r="EQ173" s="19"/>
      <c r="ES173" s="8"/>
      <c r="ET173" s="7"/>
      <c r="EU173" s="19"/>
      <c r="EV173" s="19"/>
      <c r="EW173" s="19"/>
      <c r="EX173" s="19"/>
      <c r="EZ173" s="8"/>
      <c r="FA173" s="7"/>
      <c r="FB173" s="19"/>
      <c r="FC173" s="19"/>
      <c r="FD173" s="19"/>
      <c r="FE173" s="19"/>
      <c r="FG173" s="8"/>
      <c r="FH173" s="7"/>
      <c r="FI173" s="19"/>
      <c r="FJ173" s="19"/>
      <c r="FK173" s="19"/>
      <c r="FL173" s="19"/>
      <c r="FN173" s="8"/>
      <c r="FO173" s="7"/>
      <c r="FP173" s="19"/>
      <c r="FQ173" s="19"/>
      <c r="FR173" s="19"/>
      <c r="FS173" s="19"/>
      <c r="FU173" s="8"/>
      <c r="FV173" s="7"/>
      <c r="FW173" s="19"/>
      <c r="FX173" s="19"/>
      <c r="FY173" s="19"/>
      <c r="FZ173" s="19"/>
      <c r="GB173" s="8"/>
      <c r="GC173" s="7"/>
      <c r="GD173" s="19"/>
      <c r="GE173" s="19"/>
      <c r="GF173" s="19"/>
      <c r="GG173" s="19"/>
      <c r="GI173" s="8"/>
      <c r="GJ173" s="7"/>
      <c r="GK173" s="19"/>
      <c r="GL173" s="19"/>
      <c r="GM173" s="19"/>
      <c r="GN173" s="19"/>
      <c r="GP173" s="8"/>
      <c r="GQ173" s="7"/>
      <c r="GR173" s="19"/>
      <c r="GS173" s="19"/>
      <c r="GT173" s="19"/>
      <c r="GU173" s="19"/>
      <c r="GW173" s="8"/>
      <c r="GX173" s="7"/>
      <c r="GY173" s="19"/>
      <c r="GZ173" s="19"/>
      <c r="HA173" s="19"/>
      <c r="HB173" s="19"/>
      <c r="HD173" s="8"/>
      <c r="HE173" s="7"/>
      <c r="HF173" s="19"/>
      <c r="HG173" s="19"/>
      <c r="HH173" s="19"/>
      <c r="HI173" s="19"/>
      <c r="HK173" s="8"/>
      <c r="HL173" s="7"/>
      <c r="HM173" s="19"/>
      <c r="HN173" s="19"/>
      <c r="HO173" s="19"/>
      <c r="HP173" s="19"/>
      <c r="HR173" s="8"/>
      <c r="HS173" s="7"/>
      <c r="HT173" s="19"/>
      <c r="HU173" s="19"/>
      <c r="HV173" s="19"/>
      <c r="HW173" s="19"/>
      <c r="HY173" s="8"/>
      <c r="HZ173" s="7"/>
      <c r="IA173" s="19"/>
      <c r="IB173" s="19"/>
      <c r="IC173" s="19"/>
      <c r="ID173" s="19"/>
      <c r="IF173" s="8"/>
      <c r="IG173" s="7"/>
      <c r="IH173" s="19"/>
      <c r="II173" s="19"/>
      <c r="IJ173" s="19"/>
      <c r="IK173" s="19"/>
      <c r="IM173" s="8"/>
      <c r="IN173" s="7"/>
      <c r="IO173" s="19"/>
      <c r="IP173" s="19"/>
      <c r="IQ173" s="19"/>
      <c r="IR173" s="19"/>
      <c r="IT173" s="8"/>
      <c r="IU173" s="7"/>
      <c r="IV173" s="19"/>
      <c r="IW173" s="19"/>
      <c r="IX173" s="19"/>
      <c r="IY173" s="19"/>
      <c r="JA173" s="8"/>
      <c r="JB173" s="7"/>
      <c r="JC173" s="19"/>
      <c r="JD173" s="19"/>
      <c r="JE173" s="19"/>
      <c r="JF173" s="19"/>
      <c r="JH173" s="8"/>
      <c r="JI173" s="7"/>
      <c r="JJ173" s="19"/>
      <c r="JK173" s="19"/>
      <c r="JL173" s="19"/>
      <c r="JM173" s="19"/>
      <c r="JO173" s="8"/>
      <c r="JP173" s="7"/>
      <c r="JQ173" s="19"/>
      <c r="JR173" s="19"/>
      <c r="JS173" s="19"/>
      <c r="JT173" s="19"/>
      <c r="JV173" s="8"/>
      <c r="JW173" s="7"/>
      <c r="JX173" s="19"/>
      <c r="JY173" s="19"/>
      <c r="JZ173" s="19"/>
      <c r="KA173" s="19"/>
      <c r="KC173" s="8"/>
      <c r="KD173" s="7"/>
      <c r="KE173" s="19"/>
      <c r="KF173" s="19"/>
      <c r="KG173" s="19"/>
      <c r="KH173" s="19"/>
      <c r="KJ173" s="8"/>
      <c r="KK173" s="7"/>
      <c r="KL173" s="19"/>
      <c r="KM173" s="19"/>
      <c r="KN173" s="19"/>
      <c r="KO173" s="19"/>
      <c r="KQ173" s="8"/>
      <c r="KR173" s="7"/>
      <c r="KS173" s="19"/>
      <c r="KT173" s="19"/>
      <c r="KU173" s="19"/>
      <c r="KV173" s="19"/>
      <c r="KX173" s="8"/>
      <c r="KY173" s="7"/>
      <c r="KZ173" s="19"/>
      <c r="LA173" s="19"/>
      <c r="LB173" s="19"/>
      <c r="LC173" s="19"/>
      <c r="LE173" s="8"/>
      <c r="LF173" s="7"/>
      <c r="LG173" s="19"/>
      <c r="LH173" s="19"/>
      <c r="LI173" s="19"/>
      <c r="LJ173" s="19"/>
      <c r="LL173" s="8"/>
      <c r="LM173" s="7"/>
      <c r="LN173" s="19"/>
      <c r="LO173" s="19"/>
      <c r="LP173" s="19"/>
      <c r="LQ173" s="19"/>
      <c r="LS173" s="8"/>
      <c r="LT173" s="7"/>
      <c r="LU173" s="19"/>
      <c r="LV173" s="19"/>
      <c r="LW173" s="19"/>
      <c r="LX173" s="19"/>
      <c r="LZ173" s="8"/>
      <c r="MA173" s="7"/>
      <c r="MB173" s="19"/>
      <c r="MC173" s="19"/>
      <c r="MD173" s="19"/>
      <c r="ME173" s="19"/>
      <c r="MG173" s="8"/>
      <c r="MH173" s="7"/>
      <c r="MI173" s="19"/>
      <c r="MJ173" s="19"/>
      <c r="MK173" s="19"/>
      <c r="ML173" s="19"/>
      <c r="MN173" s="8"/>
      <c r="MO173" s="7"/>
      <c r="MP173" s="19"/>
      <c r="MQ173" s="19"/>
      <c r="MR173" s="19"/>
      <c r="MS173" s="19"/>
      <c r="MU173" s="8"/>
      <c r="MV173" s="7"/>
      <c r="MW173" s="19"/>
      <c r="MX173" s="19"/>
      <c r="MY173" s="19"/>
      <c r="MZ173" s="19"/>
      <c r="NB173" s="8"/>
      <c r="NC173" s="7"/>
      <c r="ND173" s="19"/>
      <c r="NE173" s="19"/>
      <c r="NF173" s="19"/>
      <c r="NG173" s="19"/>
      <c r="NI173" s="8"/>
      <c r="NJ173" s="7"/>
      <c r="NK173" s="19"/>
      <c r="NL173" s="19"/>
      <c r="NM173" s="19"/>
      <c r="NN173" s="19"/>
      <c r="NP173" s="8"/>
      <c r="NQ173" s="7"/>
      <c r="NR173" s="19"/>
      <c r="NS173" s="19"/>
      <c r="NT173" s="19"/>
      <c r="NU173" s="19"/>
      <c r="NW173" s="8"/>
      <c r="NX173" s="7"/>
      <c r="NY173" s="19"/>
      <c r="NZ173" s="19"/>
      <c r="OA173" s="19"/>
      <c r="OB173" s="19"/>
      <c r="OD173" s="8"/>
      <c r="OE173" s="7"/>
      <c r="OF173" s="19"/>
      <c r="OG173" s="19"/>
      <c r="OH173" s="19"/>
      <c r="OI173" s="19"/>
      <c r="OK173" s="8"/>
      <c r="OL173" s="7"/>
      <c r="OM173" s="19"/>
      <c r="ON173" s="19"/>
      <c r="OO173" s="19"/>
      <c r="OP173" s="19"/>
      <c r="OR173" s="8"/>
      <c r="OS173" s="7"/>
      <c r="OT173" s="19"/>
      <c r="OU173" s="19"/>
      <c r="OV173" s="19"/>
      <c r="OW173" s="19"/>
      <c r="OY173" s="8"/>
      <c r="OZ173" s="7"/>
      <c r="PA173" s="19"/>
      <c r="PB173" s="19"/>
      <c r="PC173" s="19"/>
      <c r="PD173" s="19"/>
      <c r="PF173" s="8"/>
      <c r="PG173" s="7"/>
      <c r="PH173" s="19"/>
      <c r="PI173" s="19"/>
      <c r="PJ173" s="19"/>
      <c r="PK173" s="19"/>
      <c r="PM173" s="8"/>
    </row>
    <row r="174" spans="1:429" s="475" customFormat="1" ht="19" customHeight="1">
      <c r="A174" s="6" t="s">
        <v>80</v>
      </c>
      <c r="B174" s="472"/>
      <c r="C174" s="10"/>
      <c r="D174" s="20"/>
      <c r="E174" s="20"/>
      <c r="F174" s="20"/>
      <c r="G174" s="20"/>
      <c r="H174" s="10"/>
      <c r="I174" s="10"/>
      <c r="J174" s="10"/>
      <c r="K174" s="20"/>
      <c r="L174" s="20"/>
      <c r="M174" s="20"/>
      <c r="N174" s="20"/>
      <c r="O174" s="10"/>
      <c r="P174" s="10"/>
      <c r="Q174" s="10"/>
      <c r="R174" s="20"/>
      <c r="S174" s="20"/>
      <c r="T174" s="20"/>
      <c r="U174" s="20"/>
      <c r="V174" s="10"/>
      <c r="W174" s="10"/>
      <c r="X174" s="10"/>
      <c r="Y174" s="20"/>
      <c r="Z174" s="20"/>
      <c r="AA174" s="20"/>
      <c r="AB174" s="20"/>
      <c r="AC174" s="10"/>
      <c r="AD174" s="10"/>
      <c r="AE174" s="10"/>
      <c r="AF174" s="20"/>
      <c r="AG174" s="20"/>
      <c r="AH174" s="20"/>
      <c r="AI174" s="20"/>
      <c r="AJ174" s="10"/>
      <c r="AK174" s="10"/>
      <c r="AL174" s="10"/>
      <c r="AM174" s="20"/>
      <c r="AN174" s="20"/>
      <c r="AO174" s="20"/>
      <c r="AP174" s="20"/>
      <c r="AQ174" s="10"/>
      <c r="AR174" s="10"/>
      <c r="AS174" s="10"/>
      <c r="AT174" s="20"/>
      <c r="AU174" s="20"/>
      <c r="AV174" s="20"/>
      <c r="AW174" s="20"/>
      <c r="AX174" s="10"/>
      <c r="AY174" s="10"/>
      <c r="AZ174" s="10"/>
      <c r="BA174" s="20"/>
      <c r="BB174" s="20"/>
      <c r="BC174" s="20"/>
      <c r="BD174" s="20"/>
      <c r="BE174" s="10"/>
      <c r="BF174" s="10"/>
      <c r="BG174" s="10"/>
      <c r="BH174" s="20"/>
      <c r="BI174" s="20"/>
      <c r="BJ174" s="20"/>
      <c r="BK174" s="20"/>
      <c r="BL174" s="10"/>
      <c r="BM174" s="10"/>
      <c r="BN174" s="10"/>
      <c r="BO174" s="20"/>
      <c r="BP174" s="20"/>
      <c r="BQ174" s="20"/>
      <c r="BR174" s="20"/>
      <c r="BS174" s="10"/>
      <c r="BT174" s="10"/>
      <c r="BU174" s="10"/>
      <c r="BV174" s="20"/>
      <c r="BW174" s="20"/>
      <c r="BX174" s="20"/>
      <c r="BY174" s="20"/>
      <c r="BZ174" s="10"/>
      <c r="CA174" s="10"/>
      <c r="CB174" s="10"/>
      <c r="CC174" s="20"/>
      <c r="CD174" s="20"/>
      <c r="CE174" s="20"/>
      <c r="CF174" s="20"/>
      <c r="CG174" s="10"/>
      <c r="CH174" s="10"/>
      <c r="CI174" s="10"/>
      <c r="CJ174" s="20"/>
      <c r="CK174" s="20"/>
      <c r="CL174" s="20"/>
      <c r="CM174" s="20"/>
      <c r="CN174" s="10"/>
      <c r="CO174" s="10"/>
      <c r="CP174" s="10"/>
      <c r="CQ174" s="20"/>
      <c r="CR174" s="20"/>
      <c r="CS174" s="20"/>
      <c r="CT174" s="20"/>
      <c r="CU174" s="10"/>
      <c r="CV174" s="10"/>
      <c r="CW174" s="10"/>
      <c r="CX174" s="20"/>
      <c r="CY174" s="20"/>
      <c r="CZ174" s="20"/>
      <c r="DA174" s="20"/>
      <c r="DB174" s="10"/>
      <c r="DC174" s="10"/>
      <c r="DD174" s="10"/>
      <c r="DE174" s="20"/>
      <c r="DF174" s="20"/>
      <c r="DG174" s="20"/>
      <c r="DH174" s="20"/>
      <c r="DI174" s="10"/>
      <c r="DJ174" s="10"/>
      <c r="DK174" s="10"/>
      <c r="DL174" s="20"/>
      <c r="DM174" s="20"/>
      <c r="DN174" s="20"/>
      <c r="DO174" s="20"/>
      <c r="DP174" s="10"/>
      <c r="DQ174" s="10"/>
      <c r="DR174" s="10"/>
      <c r="DS174" s="20"/>
      <c r="DT174" s="20"/>
      <c r="DU174" s="20"/>
      <c r="DV174" s="20"/>
      <c r="DW174" s="10"/>
      <c r="DX174" s="10"/>
      <c r="DY174" s="10"/>
      <c r="DZ174" s="20"/>
      <c r="EA174" s="20"/>
      <c r="EB174" s="20"/>
      <c r="EC174" s="20"/>
      <c r="ED174" s="10"/>
      <c r="EE174" s="10"/>
      <c r="EF174" s="10"/>
      <c r="EG174" s="20"/>
      <c r="EH174" s="20"/>
      <c r="EI174" s="20"/>
      <c r="EJ174" s="20"/>
      <c r="EK174" s="10"/>
      <c r="EL174" s="10"/>
      <c r="EM174" s="10"/>
      <c r="EN174" s="20"/>
      <c r="EO174" s="20"/>
      <c r="EP174" s="20"/>
      <c r="EQ174" s="20"/>
      <c r="ER174" s="10"/>
      <c r="ES174" s="10"/>
      <c r="ET174" s="10"/>
      <c r="EU174" s="20"/>
      <c r="EV174" s="20"/>
      <c r="EW174" s="20"/>
      <c r="EX174" s="20"/>
      <c r="EY174" s="10"/>
      <c r="EZ174" s="10"/>
      <c r="FA174" s="10"/>
      <c r="FB174" s="20"/>
      <c r="FC174" s="20"/>
      <c r="FD174" s="20"/>
      <c r="FE174" s="20"/>
      <c r="FF174" s="10"/>
      <c r="FG174" s="10"/>
      <c r="FH174" s="10"/>
      <c r="FI174" s="20"/>
      <c r="FJ174" s="20"/>
      <c r="FK174" s="20"/>
      <c r="FL174" s="20"/>
      <c r="FM174" s="10"/>
      <c r="FN174" s="10"/>
      <c r="FO174" s="10"/>
      <c r="FP174" s="20"/>
      <c r="FQ174" s="20"/>
      <c r="FR174" s="20"/>
      <c r="FS174" s="20"/>
      <c r="FT174" s="10"/>
      <c r="FU174" s="10"/>
      <c r="FV174" s="10"/>
      <c r="FW174" s="20"/>
      <c r="FX174" s="20"/>
      <c r="FY174" s="20"/>
      <c r="FZ174" s="20"/>
      <c r="GA174" s="10"/>
      <c r="GB174" s="10"/>
      <c r="GC174" s="10"/>
      <c r="GD174" s="20"/>
      <c r="GE174" s="20"/>
      <c r="GF174" s="20"/>
      <c r="GG174" s="20"/>
      <c r="GH174" s="10"/>
      <c r="GI174" s="10"/>
      <c r="GJ174" s="10"/>
      <c r="GK174" s="20"/>
      <c r="GL174" s="20"/>
      <c r="GM174" s="20"/>
      <c r="GN174" s="20"/>
      <c r="GO174" s="10"/>
      <c r="GP174" s="10"/>
      <c r="GQ174" s="10"/>
      <c r="GR174" s="20"/>
      <c r="GS174" s="20"/>
      <c r="GT174" s="20"/>
      <c r="GU174" s="20"/>
      <c r="GV174" s="10"/>
      <c r="GW174" s="10"/>
      <c r="GX174" s="10"/>
      <c r="GY174" s="20"/>
      <c r="GZ174" s="20"/>
      <c r="HA174" s="20"/>
      <c r="HB174" s="20"/>
      <c r="HC174" s="10"/>
      <c r="HD174" s="10"/>
      <c r="HE174" s="10"/>
      <c r="HF174" s="20"/>
      <c r="HG174" s="20"/>
      <c r="HH174" s="20"/>
      <c r="HI174" s="20"/>
      <c r="HJ174" s="10"/>
      <c r="HK174" s="10"/>
      <c r="HL174" s="10"/>
      <c r="HM174" s="20"/>
      <c r="HN174" s="20"/>
      <c r="HO174" s="20"/>
      <c r="HP174" s="20"/>
      <c r="HQ174" s="10"/>
      <c r="HR174" s="10"/>
      <c r="HS174" s="10"/>
      <c r="HT174" s="20"/>
      <c r="HU174" s="20"/>
      <c r="HV174" s="20"/>
      <c r="HW174" s="20"/>
      <c r="HX174" s="10"/>
      <c r="HY174" s="10"/>
      <c r="HZ174" s="10"/>
      <c r="IA174" s="20"/>
      <c r="IB174" s="20"/>
      <c r="IC174" s="20"/>
      <c r="ID174" s="20"/>
      <c r="IE174" s="10"/>
      <c r="IF174" s="10"/>
      <c r="IG174" s="10"/>
      <c r="IH174" s="20"/>
      <c r="II174" s="20"/>
      <c r="IJ174" s="20"/>
      <c r="IK174" s="20"/>
      <c r="IL174" s="10"/>
      <c r="IM174" s="10"/>
      <c r="IN174" s="10"/>
      <c r="IO174" s="20"/>
      <c r="IP174" s="20"/>
      <c r="IQ174" s="20"/>
      <c r="IR174" s="20"/>
      <c r="IS174" s="10"/>
      <c r="IT174" s="10"/>
      <c r="IU174" s="10"/>
      <c r="IV174" s="20"/>
      <c r="IW174" s="20"/>
      <c r="IX174" s="20"/>
      <c r="IY174" s="20"/>
      <c r="IZ174" s="10"/>
      <c r="JA174" s="10"/>
      <c r="JB174" s="10"/>
      <c r="JC174" s="20"/>
      <c r="JD174" s="20"/>
      <c r="JE174" s="20"/>
      <c r="JF174" s="20"/>
      <c r="JG174" s="10"/>
      <c r="JH174" s="10"/>
      <c r="JI174" s="10"/>
      <c r="JJ174" s="20"/>
      <c r="JK174" s="20"/>
      <c r="JL174" s="20"/>
      <c r="JM174" s="20"/>
      <c r="JN174" s="10"/>
      <c r="JO174" s="10"/>
      <c r="JP174" s="10"/>
      <c r="JQ174" s="20"/>
      <c r="JR174" s="20"/>
      <c r="JS174" s="20"/>
      <c r="JT174" s="20"/>
      <c r="JU174" s="10"/>
      <c r="JV174" s="10"/>
      <c r="JW174" s="10"/>
      <c r="JX174" s="20"/>
      <c r="JY174" s="20"/>
      <c r="JZ174" s="20"/>
      <c r="KA174" s="20"/>
      <c r="KB174" s="10"/>
      <c r="KC174" s="10"/>
      <c r="KD174" s="10"/>
      <c r="KE174" s="20"/>
      <c r="KF174" s="20"/>
      <c r="KG174" s="20"/>
      <c r="KH174" s="20"/>
      <c r="KI174" s="10"/>
      <c r="KJ174" s="10"/>
      <c r="KK174" s="10"/>
      <c r="KL174" s="20"/>
      <c r="KM174" s="20"/>
      <c r="KN174" s="20"/>
      <c r="KO174" s="20"/>
      <c r="KP174" s="10"/>
      <c r="KQ174" s="10"/>
      <c r="KR174" s="10"/>
      <c r="KS174" s="20"/>
      <c r="KT174" s="20"/>
      <c r="KU174" s="20"/>
      <c r="KV174" s="20"/>
      <c r="KW174" s="10"/>
      <c r="KX174" s="10"/>
      <c r="KY174" s="10"/>
      <c r="KZ174" s="20"/>
      <c r="LA174" s="20"/>
      <c r="LB174" s="20"/>
      <c r="LC174" s="20"/>
      <c r="LD174" s="10"/>
      <c r="LE174" s="10"/>
      <c r="LF174" s="10"/>
      <c r="LG174" s="20"/>
      <c r="LH174" s="20"/>
      <c r="LI174" s="20"/>
      <c r="LJ174" s="20"/>
      <c r="LK174" s="10"/>
      <c r="LL174" s="10"/>
      <c r="LM174" s="10"/>
      <c r="LN174" s="20"/>
      <c r="LO174" s="20"/>
      <c r="LP174" s="20"/>
      <c r="LQ174" s="20"/>
      <c r="LR174" s="10"/>
      <c r="LS174" s="10"/>
      <c r="LT174" s="10"/>
      <c r="LU174" s="20"/>
      <c r="LV174" s="20"/>
      <c r="LW174" s="20"/>
      <c r="LX174" s="20"/>
      <c r="LY174" s="10"/>
      <c r="LZ174" s="10"/>
      <c r="MA174" s="10"/>
      <c r="MB174" s="20"/>
      <c r="MC174" s="20"/>
      <c r="MD174" s="20"/>
      <c r="ME174" s="20"/>
      <c r="MF174" s="10"/>
      <c r="MG174" s="10"/>
      <c r="MH174" s="10"/>
      <c r="MI174" s="20"/>
      <c r="MJ174" s="20"/>
      <c r="MK174" s="20"/>
      <c r="ML174" s="20"/>
      <c r="MM174" s="10"/>
      <c r="MN174" s="10"/>
      <c r="MO174" s="10"/>
      <c r="MP174" s="20"/>
      <c r="MQ174" s="20"/>
      <c r="MR174" s="20"/>
      <c r="MS174" s="20"/>
      <c r="MT174" s="10"/>
      <c r="MU174" s="10"/>
      <c r="MV174" s="10"/>
      <c r="MW174" s="20"/>
      <c r="MX174" s="20"/>
      <c r="MY174" s="20"/>
      <c r="MZ174" s="20"/>
      <c r="NA174" s="10"/>
      <c r="NB174" s="10"/>
      <c r="NC174" s="10"/>
      <c r="ND174" s="20"/>
      <c r="NE174" s="20"/>
      <c r="NF174" s="20"/>
      <c r="NG174" s="20"/>
      <c r="NH174" s="10"/>
      <c r="NI174" s="10"/>
      <c r="NJ174" s="10"/>
      <c r="NK174" s="20"/>
      <c r="NL174" s="20"/>
      <c r="NM174" s="20"/>
      <c r="NN174" s="20"/>
      <c r="NO174" s="10"/>
      <c r="NP174" s="10"/>
      <c r="NQ174" s="10"/>
      <c r="NR174" s="20"/>
      <c r="NS174" s="20"/>
      <c r="NT174" s="20"/>
      <c r="NU174" s="20"/>
      <c r="NV174" s="10"/>
      <c r="NW174" s="10"/>
      <c r="NX174" s="10"/>
      <c r="NY174" s="20"/>
      <c r="NZ174" s="20"/>
      <c r="OA174" s="20"/>
      <c r="OB174" s="20"/>
      <c r="OC174" s="10"/>
      <c r="OD174" s="10"/>
      <c r="OE174" s="10"/>
      <c r="OF174" s="20"/>
      <c r="OG174" s="20"/>
      <c r="OH174" s="20"/>
      <c r="OI174" s="20"/>
      <c r="OJ174" s="10"/>
      <c r="OK174" s="10"/>
      <c r="OL174" s="10"/>
      <c r="OM174" s="20"/>
      <c r="ON174" s="20"/>
      <c r="OO174" s="20"/>
      <c r="OP174" s="20"/>
      <c r="OQ174" s="10"/>
      <c r="OR174" s="10"/>
      <c r="OS174" s="10"/>
      <c r="OT174" s="20"/>
      <c r="OU174" s="20"/>
      <c r="OV174" s="20"/>
      <c r="OW174" s="20"/>
      <c r="OX174" s="10"/>
      <c r="OY174" s="10"/>
      <c r="OZ174" s="10"/>
      <c r="PA174" s="20"/>
      <c r="PB174" s="20"/>
      <c r="PC174" s="20"/>
      <c r="PD174" s="20"/>
      <c r="PE174" s="10"/>
      <c r="PF174" s="10"/>
      <c r="PG174" s="10"/>
      <c r="PH174" s="20"/>
      <c r="PI174" s="20"/>
      <c r="PJ174" s="20"/>
      <c r="PK174" s="20"/>
      <c r="PL174" s="10"/>
      <c r="PM174" s="10"/>
    </row>
    <row r="175" spans="1:429" s="1" customFormat="1" ht="26" customHeight="1" outlineLevel="1">
      <c r="B175" s="471"/>
      <c r="C175" s="7"/>
      <c r="D175" s="19"/>
      <c r="E175" s="19"/>
      <c r="F175" s="19"/>
      <c r="G175" s="19"/>
      <c r="I175" s="8"/>
      <c r="J175" s="7"/>
      <c r="K175" s="19"/>
      <c r="L175" s="19"/>
      <c r="M175" s="19"/>
      <c r="N175" s="19"/>
      <c r="P175" s="8"/>
      <c r="Q175" s="7"/>
      <c r="R175" s="19"/>
      <c r="S175" s="19"/>
      <c r="T175" s="19"/>
      <c r="U175" s="19"/>
      <c r="W175" s="8"/>
      <c r="X175" s="7"/>
      <c r="Y175" s="19"/>
      <c r="Z175" s="19"/>
      <c r="AA175" s="19"/>
      <c r="AB175" s="19"/>
      <c r="AD175" s="8"/>
      <c r="AE175" s="7"/>
      <c r="AF175" s="19"/>
      <c r="AG175" s="19"/>
      <c r="AH175" s="19"/>
      <c r="AI175" s="19"/>
      <c r="AK175" s="8"/>
      <c r="AL175" s="7"/>
      <c r="AM175" s="19"/>
      <c r="AN175" s="19"/>
      <c r="AO175" s="19"/>
      <c r="AP175" s="19"/>
      <c r="AR175" s="8"/>
      <c r="AS175" s="7"/>
      <c r="AT175" s="19"/>
      <c r="AU175" s="19"/>
      <c r="AV175" s="19"/>
      <c r="AW175" s="19"/>
      <c r="AY175" s="8"/>
      <c r="AZ175" s="7"/>
      <c r="BA175" s="19"/>
      <c r="BB175" s="19"/>
      <c r="BC175" s="19"/>
      <c r="BD175" s="19"/>
      <c r="BF175" s="8"/>
      <c r="BG175" s="7"/>
      <c r="BH175" s="19"/>
      <c r="BI175" s="19"/>
      <c r="BJ175" s="19"/>
      <c r="BK175" s="19"/>
      <c r="BM175" s="8"/>
      <c r="BN175" s="7"/>
      <c r="BO175" s="19"/>
      <c r="BP175" s="19"/>
      <c r="BQ175" s="19"/>
      <c r="BR175" s="19"/>
      <c r="BT175" s="8"/>
      <c r="BU175" s="7"/>
      <c r="BV175" s="19"/>
      <c r="BW175" s="19"/>
      <c r="BX175" s="19"/>
      <c r="BY175" s="19"/>
      <c r="CA175" s="8"/>
      <c r="CB175" s="7"/>
      <c r="CC175" s="19"/>
      <c r="CD175" s="19"/>
      <c r="CE175" s="19"/>
      <c r="CF175" s="19"/>
      <c r="CH175" s="8"/>
      <c r="CI175" s="7"/>
      <c r="CJ175" s="19"/>
      <c r="CK175" s="19"/>
      <c r="CL175" s="19"/>
      <c r="CM175" s="19"/>
      <c r="CO175" s="8"/>
      <c r="CP175" s="7"/>
      <c r="CQ175" s="19"/>
      <c r="CR175" s="19"/>
      <c r="CS175" s="19"/>
      <c r="CT175" s="19"/>
      <c r="CV175" s="8"/>
      <c r="CW175" s="7"/>
      <c r="CX175" s="19"/>
      <c r="CY175" s="19"/>
      <c r="CZ175" s="19"/>
      <c r="DA175" s="19"/>
      <c r="DC175" s="8"/>
      <c r="DD175" s="7"/>
      <c r="DE175" s="19"/>
      <c r="DF175" s="19"/>
      <c r="DG175" s="19"/>
      <c r="DH175" s="19"/>
      <c r="DJ175" s="8"/>
      <c r="DK175" s="7"/>
      <c r="DL175" s="19"/>
      <c r="DM175" s="19"/>
      <c r="DN175" s="19"/>
      <c r="DO175" s="19"/>
      <c r="DQ175" s="8"/>
      <c r="DR175" s="7"/>
      <c r="DS175" s="19"/>
      <c r="DT175" s="19"/>
      <c r="DU175" s="19"/>
      <c r="DV175" s="19"/>
      <c r="DX175" s="8"/>
      <c r="DY175" s="7"/>
      <c r="DZ175" s="19"/>
      <c r="EA175" s="19"/>
      <c r="EB175" s="19"/>
      <c r="EC175" s="19"/>
      <c r="EE175" s="8"/>
      <c r="EF175" s="7"/>
      <c r="EG175" s="19"/>
      <c r="EH175" s="19"/>
      <c r="EI175" s="19"/>
      <c r="EJ175" s="19"/>
      <c r="EL175" s="8"/>
      <c r="EM175" s="7"/>
      <c r="EN175" s="19"/>
      <c r="EO175" s="19"/>
      <c r="EP175" s="19"/>
      <c r="EQ175" s="19"/>
      <c r="ES175" s="8"/>
      <c r="ET175" s="7"/>
      <c r="EU175" s="19"/>
      <c r="EV175" s="19"/>
      <c r="EW175" s="19"/>
      <c r="EX175" s="19"/>
      <c r="EZ175" s="8"/>
      <c r="FA175" s="7"/>
      <c r="FB175" s="19"/>
      <c r="FC175" s="19"/>
      <c r="FD175" s="19"/>
      <c r="FE175" s="19"/>
      <c r="FG175" s="8"/>
      <c r="FH175" s="7"/>
      <c r="FI175" s="19"/>
      <c r="FJ175" s="19"/>
      <c r="FK175" s="19"/>
      <c r="FL175" s="19"/>
      <c r="FN175" s="8"/>
      <c r="FO175" s="7"/>
      <c r="FP175" s="19"/>
      <c r="FQ175" s="19"/>
      <c r="FR175" s="19"/>
      <c r="FS175" s="19"/>
      <c r="FU175" s="8"/>
      <c r="FV175" s="7"/>
      <c r="FW175" s="19"/>
      <c r="FX175" s="19"/>
      <c r="FY175" s="19"/>
      <c r="FZ175" s="19"/>
      <c r="GB175" s="8"/>
      <c r="GC175" s="7"/>
      <c r="GD175" s="19"/>
      <c r="GE175" s="19"/>
      <c r="GF175" s="19"/>
      <c r="GG175" s="19"/>
      <c r="GI175" s="8"/>
      <c r="GJ175" s="7"/>
      <c r="GK175" s="19"/>
      <c r="GL175" s="19"/>
      <c r="GM175" s="19"/>
      <c r="GN175" s="19"/>
      <c r="GP175" s="8"/>
      <c r="GQ175" s="7"/>
      <c r="GR175" s="19"/>
      <c r="GS175" s="19"/>
      <c r="GT175" s="19"/>
      <c r="GU175" s="19"/>
      <c r="GW175" s="8"/>
      <c r="GX175" s="7"/>
      <c r="GY175" s="19"/>
      <c r="GZ175" s="19"/>
      <c r="HA175" s="19"/>
      <c r="HB175" s="19"/>
      <c r="HD175" s="8"/>
      <c r="HE175" s="7"/>
      <c r="HF175" s="19"/>
      <c r="HG175" s="19"/>
      <c r="HH175" s="19"/>
      <c r="HI175" s="19"/>
      <c r="HK175" s="8"/>
      <c r="HL175" s="7"/>
      <c r="HM175" s="19"/>
      <c r="HN175" s="19"/>
      <c r="HO175" s="19"/>
      <c r="HP175" s="19"/>
      <c r="HR175" s="8"/>
      <c r="HS175" s="7"/>
      <c r="HT175" s="19"/>
      <c r="HU175" s="19"/>
      <c r="HV175" s="19"/>
      <c r="HW175" s="19"/>
      <c r="HY175" s="8"/>
      <c r="HZ175" s="7"/>
      <c r="IA175" s="19"/>
      <c r="IB175" s="19"/>
      <c r="IC175" s="19"/>
      <c r="ID175" s="19"/>
      <c r="IF175" s="8"/>
      <c r="IG175" s="7"/>
      <c r="IH175" s="19"/>
      <c r="II175" s="19"/>
      <c r="IJ175" s="19"/>
      <c r="IK175" s="19"/>
      <c r="IM175" s="8"/>
      <c r="IN175" s="7"/>
      <c r="IO175" s="19"/>
      <c r="IP175" s="19"/>
      <c r="IQ175" s="19"/>
      <c r="IR175" s="19"/>
      <c r="IT175" s="8"/>
      <c r="IU175" s="7"/>
      <c r="IV175" s="19"/>
      <c r="IW175" s="19"/>
      <c r="IX175" s="19"/>
      <c r="IY175" s="19"/>
      <c r="JA175" s="8"/>
      <c r="JB175" s="7"/>
      <c r="JC175" s="19"/>
      <c r="JD175" s="19"/>
      <c r="JE175" s="19"/>
      <c r="JF175" s="19"/>
      <c r="JH175" s="8"/>
      <c r="JI175" s="7"/>
      <c r="JJ175" s="19"/>
      <c r="JK175" s="19"/>
      <c r="JL175" s="19"/>
      <c r="JM175" s="19"/>
      <c r="JO175" s="8"/>
      <c r="JP175" s="7"/>
      <c r="JQ175" s="19"/>
      <c r="JR175" s="19"/>
      <c r="JS175" s="19"/>
      <c r="JT175" s="19"/>
      <c r="JV175" s="8"/>
      <c r="JW175" s="7"/>
      <c r="JX175" s="19"/>
      <c r="JY175" s="19"/>
      <c r="JZ175" s="19"/>
      <c r="KA175" s="19"/>
      <c r="KC175" s="8"/>
      <c r="KD175" s="7"/>
      <c r="KE175" s="19"/>
      <c r="KF175" s="19"/>
      <c r="KG175" s="19"/>
      <c r="KH175" s="19"/>
      <c r="KJ175" s="8"/>
      <c r="KK175" s="7"/>
      <c r="KL175" s="19"/>
      <c r="KM175" s="19"/>
      <c r="KN175" s="19"/>
      <c r="KO175" s="19"/>
      <c r="KQ175" s="8"/>
      <c r="KR175" s="7"/>
      <c r="KS175" s="19"/>
      <c r="KT175" s="19"/>
      <c r="KU175" s="19"/>
      <c r="KV175" s="19"/>
      <c r="KX175" s="8"/>
      <c r="KY175" s="7"/>
      <c r="KZ175" s="19"/>
      <c r="LA175" s="19"/>
      <c r="LB175" s="19"/>
      <c r="LC175" s="19"/>
      <c r="LE175" s="8"/>
      <c r="LF175" s="7"/>
      <c r="LG175" s="19"/>
      <c r="LH175" s="19"/>
      <c r="LI175" s="19"/>
      <c r="LJ175" s="19"/>
      <c r="LL175" s="8"/>
      <c r="LM175" s="7"/>
      <c r="LN175" s="19"/>
      <c r="LO175" s="19"/>
      <c r="LP175" s="19"/>
      <c r="LQ175" s="19"/>
      <c r="LS175" s="8"/>
      <c r="LT175" s="7"/>
      <c r="LU175" s="19"/>
      <c r="LV175" s="19"/>
      <c r="LW175" s="19"/>
      <c r="LX175" s="19"/>
      <c r="LZ175" s="8"/>
      <c r="MA175" s="7"/>
      <c r="MB175" s="19"/>
      <c r="MC175" s="19"/>
      <c r="MD175" s="19"/>
      <c r="ME175" s="19"/>
      <c r="MG175" s="8"/>
      <c r="MH175" s="7"/>
      <c r="MI175" s="19"/>
      <c r="MJ175" s="19"/>
      <c r="MK175" s="19"/>
      <c r="ML175" s="19"/>
      <c r="MN175" s="8"/>
      <c r="MO175" s="7"/>
      <c r="MP175" s="19"/>
      <c r="MQ175" s="19"/>
      <c r="MR175" s="19"/>
      <c r="MS175" s="19"/>
      <c r="MU175" s="8"/>
      <c r="MV175" s="7"/>
      <c r="MW175" s="19"/>
      <c r="MX175" s="19"/>
      <c r="MY175" s="19"/>
      <c r="MZ175" s="19"/>
      <c r="NB175" s="8"/>
      <c r="NC175" s="7"/>
      <c r="ND175" s="19"/>
      <c r="NE175" s="19"/>
      <c r="NF175" s="19"/>
      <c r="NG175" s="19"/>
      <c r="NI175" s="8"/>
      <c r="NJ175" s="7"/>
      <c r="NK175" s="19"/>
      <c r="NL175" s="19"/>
      <c r="NM175" s="19"/>
      <c r="NN175" s="19"/>
      <c r="NP175" s="8"/>
      <c r="NQ175" s="7"/>
      <c r="NR175" s="19"/>
      <c r="NS175" s="19"/>
      <c r="NT175" s="19"/>
      <c r="NU175" s="19"/>
      <c r="NW175" s="8"/>
      <c r="NX175" s="7"/>
      <c r="NY175" s="19"/>
      <c r="NZ175" s="19"/>
      <c r="OA175" s="19"/>
      <c r="OB175" s="19"/>
      <c r="OD175" s="8"/>
      <c r="OE175" s="7"/>
      <c r="OF175" s="19"/>
      <c r="OG175" s="19"/>
      <c r="OH175" s="19"/>
      <c r="OI175" s="19"/>
      <c r="OK175" s="8"/>
      <c r="OL175" s="7"/>
      <c r="OM175" s="19"/>
      <c r="ON175" s="19"/>
      <c r="OO175" s="19"/>
      <c r="OP175" s="19"/>
      <c r="OR175" s="8"/>
      <c r="OS175" s="7"/>
      <c r="OT175" s="19"/>
      <c r="OU175" s="19"/>
      <c r="OV175" s="19"/>
      <c r="OW175" s="19"/>
      <c r="OY175" s="8"/>
      <c r="OZ175" s="7"/>
      <c r="PA175" s="19"/>
      <c r="PB175" s="19"/>
      <c r="PC175" s="19"/>
      <c r="PD175" s="19"/>
      <c r="PF175" s="8"/>
      <c r="PG175" s="7"/>
      <c r="PH175" s="19"/>
      <c r="PI175" s="19"/>
      <c r="PJ175" s="19"/>
      <c r="PK175" s="19"/>
      <c r="PM175" s="8"/>
    </row>
    <row r="176" spans="1:429" s="1" customFormat="1" ht="26" customHeight="1" outlineLevel="1">
      <c r="B176" s="471"/>
      <c r="C176" s="7"/>
      <c r="D176" s="19"/>
      <c r="E176" s="19"/>
      <c r="F176" s="19"/>
      <c r="G176" s="19"/>
      <c r="I176" s="8"/>
      <c r="J176" s="7"/>
      <c r="K176" s="19"/>
      <c r="L176" s="19"/>
      <c r="M176" s="19"/>
      <c r="N176" s="19"/>
      <c r="P176" s="8"/>
      <c r="Q176" s="7"/>
      <c r="R176" s="19"/>
      <c r="S176" s="19"/>
      <c r="T176" s="19"/>
      <c r="U176" s="19"/>
      <c r="W176" s="8"/>
      <c r="X176" s="7"/>
      <c r="Y176" s="19"/>
      <c r="Z176" s="19"/>
      <c r="AA176" s="19"/>
      <c r="AB176" s="19"/>
      <c r="AD176" s="8"/>
      <c r="AE176" s="7"/>
      <c r="AF176" s="19"/>
      <c r="AG176" s="19"/>
      <c r="AH176" s="19"/>
      <c r="AI176" s="19"/>
      <c r="AK176" s="8"/>
      <c r="AL176" s="7"/>
      <c r="AM176" s="19"/>
      <c r="AN176" s="19"/>
      <c r="AO176" s="19"/>
      <c r="AP176" s="19"/>
      <c r="AR176" s="8"/>
      <c r="AS176" s="7"/>
      <c r="AT176" s="19"/>
      <c r="AU176" s="19"/>
      <c r="AV176" s="19"/>
      <c r="AW176" s="19"/>
      <c r="AY176" s="8"/>
      <c r="AZ176" s="7"/>
      <c r="BA176" s="19"/>
      <c r="BB176" s="19"/>
      <c r="BC176" s="19"/>
      <c r="BD176" s="19"/>
      <c r="BF176" s="8"/>
      <c r="BG176" s="7"/>
      <c r="BH176" s="19"/>
      <c r="BI176" s="19"/>
      <c r="BJ176" s="19"/>
      <c r="BK176" s="19"/>
      <c r="BM176" s="8"/>
      <c r="BN176" s="7"/>
      <c r="BO176" s="19"/>
      <c r="BP176" s="19"/>
      <c r="BQ176" s="19"/>
      <c r="BR176" s="19"/>
      <c r="BT176" s="8"/>
      <c r="BU176" s="7"/>
      <c r="BV176" s="19"/>
      <c r="BW176" s="19"/>
      <c r="BX176" s="19"/>
      <c r="BY176" s="19"/>
      <c r="CA176" s="8"/>
      <c r="CB176" s="7"/>
      <c r="CC176" s="19"/>
      <c r="CD176" s="19"/>
      <c r="CE176" s="19"/>
      <c r="CF176" s="19"/>
      <c r="CH176" s="8"/>
      <c r="CI176" s="7"/>
      <c r="CJ176" s="19"/>
      <c r="CK176" s="19"/>
      <c r="CL176" s="19"/>
      <c r="CM176" s="19"/>
      <c r="CO176" s="8"/>
      <c r="CP176" s="7"/>
      <c r="CQ176" s="19"/>
      <c r="CR176" s="19"/>
      <c r="CS176" s="19"/>
      <c r="CT176" s="19"/>
      <c r="CV176" s="8"/>
      <c r="CW176" s="7"/>
      <c r="CX176" s="19"/>
      <c r="CY176" s="19"/>
      <c r="CZ176" s="19"/>
      <c r="DA176" s="19"/>
      <c r="DC176" s="8"/>
      <c r="DD176" s="7"/>
      <c r="DE176" s="19"/>
      <c r="DF176" s="19"/>
      <c r="DG176" s="19"/>
      <c r="DH176" s="19"/>
      <c r="DJ176" s="8"/>
      <c r="DK176" s="7"/>
      <c r="DL176" s="19"/>
      <c r="DM176" s="19"/>
      <c r="DN176" s="19"/>
      <c r="DO176" s="19"/>
      <c r="DQ176" s="8"/>
      <c r="DR176" s="7"/>
      <c r="DS176" s="19"/>
      <c r="DT176" s="19"/>
      <c r="DU176" s="19"/>
      <c r="DV176" s="19"/>
      <c r="DX176" s="8"/>
      <c r="DY176" s="7"/>
      <c r="DZ176" s="19"/>
      <c r="EA176" s="19"/>
      <c r="EB176" s="19"/>
      <c r="EC176" s="19"/>
      <c r="EE176" s="8"/>
      <c r="EF176" s="7"/>
      <c r="EG176" s="19"/>
      <c r="EH176" s="19"/>
      <c r="EI176" s="19"/>
      <c r="EJ176" s="19"/>
      <c r="EL176" s="8"/>
      <c r="EM176" s="7"/>
      <c r="EN176" s="19"/>
      <c r="EO176" s="19"/>
      <c r="EP176" s="19"/>
      <c r="EQ176" s="19"/>
      <c r="ES176" s="8"/>
      <c r="ET176" s="7"/>
      <c r="EU176" s="19"/>
      <c r="EV176" s="19"/>
      <c r="EW176" s="19"/>
      <c r="EX176" s="19"/>
      <c r="EZ176" s="8"/>
      <c r="FA176" s="7"/>
      <c r="FB176" s="19"/>
      <c r="FC176" s="19"/>
      <c r="FD176" s="19"/>
      <c r="FE176" s="19"/>
      <c r="FG176" s="8"/>
      <c r="FH176" s="7"/>
      <c r="FI176" s="19"/>
      <c r="FJ176" s="19"/>
      <c r="FK176" s="19"/>
      <c r="FL176" s="19"/>
      <c r="FN176" s="8"/>
      <c r="FO176" s="7"/>
      <c r="FP176" s="19"/>
      <c r="FQ176" s="19"/>
      <c r="FR176" s="19"/>
      <c r="FS176" s="19"/>
      <c r="FU176" s="8"/>
      <c r="FV176" s="7"/>
      <c r="FW176" s="19"/>
      <c r="FX176" s="19"/>
      <c r="FY176" s="19"/>
      <c r="FZ176" s="19"/>
      <c r="GB176" s="8"/>
      <c r="GC176" s="7"/>
      <c r="GD176" s="19"/>
      <c r="GE176" s="19"/>
      <c r="GF176" s="19"/>
      <c r="GG176" s="19"/>
      <c r="GI176" s="8"/>
      <c r="GJ176" s="7"/>
      <c r="GK176" s="19"/>
      <c r="GL176" s="19"/>
      <c r="GM176" s="19"/>
      <c r="GN176" s="19"/>
      <c r="GP176" s="8"/>
      <c r="GQ176" s="7"/>
      <c r="GR176" s="19"/>
      <c r="GS176" s="19"/>
      <c r="GT176" s="19"/>
      <c r="GU176" s="19"/>
      <c r="GW176" s="8"/>
      <c r="GX176" s="7"/>
      <c r="GY176" s="19"/>
      <c r="GZ176" s="19"/>
      <c r="HA176" s="19"/>
      <c r="HB176" s="19"/>
      <c r="HD176" s="8"/>
      <c r="HE176" s="7"/>
      <c r="HF176" s="19"/>
      <c r="HG176" s="19"/>
      <c r="HH176" s="19"/>
      <c r="HI176" s="19"/>
      <c r="HK176" s="8"/>
      <c r="HL176" s="7"/>
      <c r="HM176" s="19"/>
      <c r="HN176" s="19"/>
      <c r="HO176" s="19"/>
      <c r="HP176" s="19"/>
      <c r="HR176" s="8"/>
      <c r="HS176" s="7"/>
      <c r="HT176" s="19"/>
      <c r="HU176" s="19"/>
      <c r="HV176" s="19"/>
      <c r="HW176" s="19"/>
      <c r="HY176" s="8"/>
      <c r="HZ176" s="7"/>
      <c r="IA176" s="19"/>
      <c r="IB176" s="19"/>
      <c r="IC176" s="19"/>
      <c r="ID176" s="19"/>
      <c r="IF176" s="8"/>
      <c r="IG176" s="7"/>
      <c r="IH176" s="19"/>
      <c r="II176" s="19"/>
      <c r="IJ176" s="19"/>
      <c r="IK176" s="19"/>
      <c r="IM176" s="8"/>
      <c r="IN176" s="7"/>
      <c r="IO176" s="19"/>
      <c r="IP176" s="19"/>
      <c r="IQ176" s="19"/>
      <c r="IR176" s="19"/>
      <c r="IT176" s="8"/>
      <c r="IU176" s="7"/>
      <c r="IV176" s="19"/>
      <c r="IW176" s="19"/>
      <c r="IX176" s="19"/>
      <c r="IY176" s="19"/>
      <c r="JA176" s="8"/>
      <c r="JB176" s="7"/>
      <c r="JC176" s="19"/>
      <c r="JD176" s="19"/>
      <c r="JE176" s="19"/>
      <c r="JF176" s="19"/>
      <c r="JH176" s="8"/>
      <c r="JI176" s="7"/>
      <c r="JJ176" s="19"/>
      <c r="JK176" s="19"/>
      <c r="JL176" s="19"/>
      <c r="JM176" s="19"/>
      <c r="JO176" s="8"/>
      <c r="JP176" s="7"/>
      <c r="JQ176" s="19"/>
      <c r="JR176" s="19"/>
      <c r="JS176" s="19"/>
      <c r="JT176" s="19"/>
      <c r="JV176" s="8"/>
      <c r="JW176" s="7"/>
      <c r="JX176" s="19"/>
      <c r="JY176" s="19"/>
      <c r="JZ176" s="19"/>
      <c r="KA176" s="19"/>
      <c r="KC176" s="8"/>
      <c r="KD176" s="7"/>
      <c r="KE176" s="19"/>
      <c r="KF176" s="19"/>
      <c r="KG176" s="19"/>
      <c r="KH176" s="19"/>
      <c r="KJ176" s="8"/>
      <c r="KK176" s="7"/>
      <c r="KL176" s="19"/>
      <c r="KM176" s="19"/>
      <c r="KN176" s="19"/>
      <c r="KO176" s="19"/>
      <c r="KQ176" s="8"/>
      <c r="KR176" s="7"/>
      <c r="KS176" s="19"/>
      <c r="KT176" s="19"/>
      <c r="KU176" s="19"/>
      <c r="KV176" s="19"/>
      <c r="KX176" s="8"/>
      <c r="KY176" s="7"/>
      <c r="KZ176" s="19"/>
      <c r="LA176" s="19"/>
      <c r="LB176" s="19"/>
      <c r="LC176" s="19"/>
      <c r="LE176" s="8"/>
      <c r="LF176" s="7"/>
      <c r="LG176" s="19"/>
      <c r="LH176" s="19"/>
      <c r="LI176" s="19"/>
      <c r="LJ176" s="19"/>
      <c r="LL176" s="8"/>
      <c r="LM176" s="7"/>
      <c r="LN176" s="19"/>
      <c r="LO176" s="19"/>
      <c r="LP176" s="19"/>
      <c r="LQ176" s="19"/>
      <c r="LS176" s="8"/>
      <c r="LT176" s="7"/>
      <c r="LU176" s="19"/>
      <c r="LV176" s="19"/>
      <c r="LW176" s="19"/>
      <c r="LX176" s="19"/>
      <c r="LZ176" s="8"/>
      <c r="MA176" s="7"/>
      <c r="MB176" s="19"/>
      <c r="MC176" s="19"/>
      <c r="MD176" s="19"/>
      <c r="ME176" s="19"/>
      <c r="MG176" s="8"/>
      <c r="MH176" s="7"/>
      <c r="MI176" s="19"/>
      <c r="MJ176" s="19"/>
      <c r="MK176" s="19"/>
      <c r="ML176" s="19"/>
      <c r="MN176" s="8"/>
      <c r="MO176" s="7"/>
      <c r="MP176" s="19"/>
      <c r="MQ176" s="19"/>
      <c r="MR176" s="19"/>
      <c r="MS176" s="19"/>
      <c r="MU176" s="8"/>
      <c r="MV176" s="7"/>
      <c r="MW176" s="19"/>
      <c r="MX176" s="19"/>
      <c r="MY176" s="19"/>
      <c r="MZ176" s="19"/>
      <c r="NB176" s="8"/>
      <c r="NC176" s="7"/>
      <c r="ND176" s="19"/>
      <c r="NE176" s="19"/>
      <c r="NF176" s="19"/>
      <c r="NG176" s="19"/>
      <c r="NI176" s="8"/>
      <c r="NJ176" s="7"/>
      <c r="NK176" s="19"/>
      <c r="NL176" s="19"/>
      <c r="NM176" s="19"/>
      <c r="NN176" s="19"/>
      <c r="NP176" s="8"/>
      <c r="NQ176" s="7"/>
      <c r="NR176" s="19"/>
      <c r="NS176" s="19"/>
      <c r="NT176" s="19"/>
      <c r="NU176" s="19"/>
      <c r="NW176" s="8"/>
      <c r="NX176" s="7"/>
      <c r="NY176" s="19"/>
      <c r="NZ176" s="19"/>
      <c r="OA176" s="19"/>
      <c r="OB176" s="19"/>
      <c r="OD176" s="8"/>
      <c r="OE176" s="7"/>
      <c r="OF176" s="19"/>
      <c r="OG176" s="19"/>
      <c r="OH176" s="19"/>
      <c r="OI176" s="19"/>
      <c r="OK176" s="8"/>
      <c r="OL176" s="7"/>
      <c r="OM176" s="19"/>
      <c r="ON176" s="19"/>
      <c r="OO176" s="19"/>
      <c r="OP176" s="19"/>
      <c r="OR176" s="8"/>
      <c r="OS176" s="7"/>
      <c r="OT176" s="19"/>
      <c r="OU176" s="19"/>
      <c r="OV176" s="19"/>
      <c r="OW176" s="19"/>
      <c r="OY176" s="8"/>
      <c r="OZ176" s="7"/>
      <c r="PA176" s="19"/>
      <c r="PB176" s="19"/>
      <c r="PC176" s="19"/>
      <c r="PD176" s="19"/>
      <c r="PF176" s="8"/>
      <c r="PG176" s="7"/>
      <c r="PH176" s="19"/>
      <c r="PI176" s="19"/>
      <c r="PJ176" s="19"/>
      <c r="PK176" s="19"/>
      <c r="PM176" s="8"/>
    </row>
    <row r="177" spans="1:429" s="1" customFormat="1" ht="26" customHeight="1" outlineLevel="1">
      <c r="B177" s="471"/>
      <c r="C177" s="7"/>
      <c r="D177" s="19"/>
      <c r="E177" s="19"/>
      <c r="F177" s="19"/>
      <c r="G177" s="19"/>
      <c r="I177" s="8"/>
      <c r="J177" s="7"/>
      <c r="K177" s="19"/>
      <c r="L177" s="19"/>
      <c r="M177" s="19"/>
      <c r="N177" s="19"/>
      <c r="P177" s="8"/>
      <c r="Q177" s="7"/>
      <c r="R177" s="19"/>
      <c r="S177" s="19"/>
      <c r="T177" s="19"/>
      <c r="U177" s="19"/>
      <c r="W177" s="8"/>
      <c r="X177" s="7"/>
      <c r="Y177" s="19"/>
      <c r="Z177" s="19"/>
      <c r="AA177" s="19"/>
      <c r="AB177" s="19"/>
      <c r="AD177" s="8"/>
      <c r="AE177" s="7"/>
      <c r="AF177" s="19"/>
      <c r="AG177" s="19"/>
      <c r="AH177" s="19"/>
      <c r="AI177" s="19"/>
      <c r="AK177" s="8"/>
      <c r="AL177" s="7"/>
      <c r="AM177" s="19"/>
      <c r="AN177" s="19"/>
      <c r="AO177" s="19"/>
      <c r="AP177" s="19"/>
      <c r="AR177" s="8"/>
      <c r="AS177" s="7"/>
      <c r="AT177" s="19"/>
      <c r="AU177" s="19"/>
      <c r="AV177" s="19"/>
      <c r="AW177" s="19"/>
      <c r="AY177" s="8"/>
      <c r="AZ177" s="7"/>
      <c r="BA177" s="19"/>
      <c r="BB177" s="19"/>
      <c r="BC177" s="19"/>
      <c r="BD177" s="19"/>
      <c r="BF177" s="8"/>
      <c r="BG177" s="7"/>
      <c r="BH177" s="19"/>
      <c r="BI177" s="19"/>
      <c r="BJ177" s="19"/>
      <c r="BK177" s="19"/>
      <c r="BM177" s="8"/>
      <c r="BN177" s="7"/>
      <c r="BO177" s="19"/>
      <c r="BP177" s="19"/>
      <c r="BQ177" s="19"/>
      <c r="BR177" s="19"/>
      <c r="BT177" s="8"/>
      <c r="BU177" s="7"/>
      <c r="BV177" s="19"/>
      <c r="BW177" s="19"/>
      <c r="BX177" s="19"/>
      <c r="BY177" s="19"/>
      <c r="CA177" s="8"/>
      <c r="CB177" s="7"/>
      <c r="CC177" s="19"/>
      <c r="CD177" s="19"/>
      <c r="CE177" s="19"/>
      <c r="CF177" s="19"/>
      <c r="CH177" s="8"/>
      <c r="CI177" s="7"/>
      <c r="CJ177" s="19"/>
      <c r="CK177" s="19"/>
      <c r="CL177" s="19"/>
      <c r="CM177" s="19"/>
      <c r="CO177" s="8"/>
      <c r="CP177" s="7"/>
      <c r="CQ177" s="19"/>
      <c r="CR177" s="19"/>
      <c r="CS177" s="19"/>
      <c r="CT177" s="19"/>
      <c r="CV177" s="8"/>
      <c r="CW177" s="7"/>
      <c r="CX177" s="19"/>
      <c r="CY177" s="19"/>
      <c r="CZ177" s="19"/>
      <c r="DA177" s="19"/>
      <c r="DC177" s="8"/>
      <c r="DD177" s="7"/>
      <c r="DE177" s="19"/>
      <c r="DF177" s="19"/>
      <c r="DG177" s="19"/>
      <c r="DH177" s="19"/>
      <c r="DJ177" s="8"/>
      <c r="DK177" s="7"/>
      <c r="DL177" s="19"/>
      <c r="DM177" s="19"/>
      <c r="DN177" s="19"/>
      <c r="DO177" s="19"/>
      <c r="DQ177" s="8"/>
      <c r="DR177" s="7"/>
      <c r="DS177" s="19"/>
      <c r="DT177" s="19"/>
      <c r="DU177" s="19"/>
      <c r="DV177" s="19"/>
      <c r="DX177" s="8"/>
      <c r="DY177" s="7"/>
      <c r="DZ177" s="19"/>
      <c r="EA177" s="19"/>
      <c r="EB177" s="19"/>
      <c r="EC177" s="19"/>
      <c r="EE177" s="8"/>
      <c r="EF177" s="7"/>
      <c r="EG177" s="19"/>
      <c r="EH177" s="19"/>
      <c r="EI177" s="19"/>
      <c r="EJ177" s="19"/>
      <c r="EL177" s="8"/>
      <c r="EM177" s="7"/>
      <c r="EN177" s="19"/>
      <c r="EO177" s="19"/>
      <c r="EP177" s="19"/>
      <c r="EQ177" s="19"/>
      <c r="ES177" s="8"/>
      <c r="ET177" s="7"/>
      <c r="EU177" s="19"/>
      <c r="EV177" s="19"/>
      <c r="EW177" s="19"/>
      <c r="EX177" s="19"/>
      <c r="EZ177" s="8"/>
      <c r="FA177" s="7"/>
      <c r="FB177" s="19"/>
      <c r="FC177" s="19"/>
      <c r="FD177" s="19"/>
      <c r="FE177" s="19"/>
      <c r="FG177" s="8"/>
      <c r="FH177" s="7"/>
      <c r="FI177" s="19"/>
      <c r="FJ177" s="19"/>
      <c r="FK177" s="19"/>
      <c r="FL177" s="19"/>
      <c r="FN177" s="8"/>
      <c r="FO177" s="7"/>
      <c r="FP177" s="19"/>
      <c r="FQ177" s="19"/>
      <c r="FR177" s="19"/>
      <c r="FS177" s="19"/>
      <c r="FU177" s="8"/>
      <c r="FV177" s="7"/>
      <c r="FW177" s="19"/>
      <c r="FX177" s="19"/>
      <c r="FY177" s="19"/>
      <c r="FZ177" s="19"/>
      <c r="GB177" s="8"/>
      <c r="GC177" s="7"/>
      <c r="GD177" s="19"/>
      <c r="GE177" s="19"/>
      <c r="GF177" s="19"/>
      <c r="GG177" s="19"/>
      <c r="GI177" s="8"/>
      <c r="GJ177" s="7"/>
      <c r="GK177" s="19"/>
      <c r="GL177" s="19"/>
      <c r="GM177" s="19"/>
      <c r="GN177" s="19"/>
      <c r="GP177" s="8"/>
      <c r="GQ177" s="7"/>
      <c r="GR177" s="19"/>
      <c r="GS177" s="19"/>
      <c r="GT177" s="19"/>
      <c r="GU177" s="19"/>
      <c r="GW177" s="8"/>
      <c r="GX177" s="7"/>
      <c r="GY177" s="19"/>
      <c r="GZ177" s="19"/>
      <c r="HA177" s="19"/>
      <c r="HB177" s="19"/>
      <c r="HD177" s="8"/>
      <c r="HE177" s="7"/>
      <c r="HF177" s="19"/>
      <c r="HG177" s="19"/>
      <c r="HH177" s="19"/>
      <c r="HI177" s="19"/>
      <c r="HK177" s="8"/>
      <c r="HL177" s="7"/>
      <c r="HM177" s="19"/>
      <c r="HN177" s="19"/>
      <c r="HO177" s="19"/>
      <c r="HP177" s="19"/>
      <c r="HR177" s="8"/>
      <c r="HS177" s="7"/>
      <c r="HT177" s="19"/>
      <c r="HU177" s="19"/>
      <c r="HV177" s="19"/>
      <c r="HW177" s="19"/>
      <c r="HY177" s="8"/>
      <c r="HZ177" s="7"/>
      <c r="IA177" s="19"/>
      <c r="IB177" s="19"/>
      <c r="IC177" s="19"/>
      <c r="ID177" s="19"/>
      <c r="IF177" s="8"/>
      <c r="IG177" s="7"/>
      <c r="IH177" s="19"/>
      <c r="II177" s="19"/>
      <c r="IJ177" s="19"/>
      <c r="IK177" s="19"/>
      <c r="IM177" s="8"/>
      <c r="IN177" s="7"/>
      <c r="IO177" s="19"/>
      <c r="IP177" s="19"/>
      <c r="IQ177" s="19"/>
      <c r="IR177" s="19"/>
      <c r="IT177" s="8"/>
      <c r="IU177" s="7"/>
      <c r="IV177" s="19"/>
      <c r="IW177" s="19"/>
      <c r="IX177" s="19"/>
      <c r="IY177" s="19"/>
      <c r="JA177" s="8"/>
      <c r="JB177" s="7"/>
      <c r="JC177" s="19"/>
      <c r="JD177" s="19"/>
      <c r="JE177" s="19"/>
      <c r="JF177" s="19"/>
      <c r="JH177" s="8"/>
      <c r="JI177" s="7"/>
      <c r="JJ177" s="19"/>
      <c r="JK177" s="19"/>
      <c r="JL177" s="19"/>
      <c r="JM177" s="19"/>
      <c r="JO177" s="8"/>
      <c r="JP177" s="7"/>
      <c r="JQ177" s="19"/>
      <c r="JR177" s="19"/>
      <c r="JS177" s="19"/>
      <c r="JT177" s="19"/>
      <c r="JV177" s="8"/>
      <c r="JW177" s="7"/>
      <c r="JX177" s="19"/>
      <c r="JY177" s="19"/>
      <c r="JZ177" s="19"/>
      <c r="KA177" s="19"/>
      <c r="KC177" s="8"/>
      <c r="KD177" s="7"/>
      <c r="KE177" s="19"/>
      <c r="KF177" s="19"/>
      <c r="KG177" s="19"/>
      <c r="KH177" s="19"/>
      <c r="KJ177" s="8"/>
      <c r="KK177" s="7"/>
      <c r="KL177" s="19"/>
      <c r="KM177" s="19"/>
      <c r="KN177" s="19"/>
      <c r="KO177" s="19"/>
      <c r="KQ177" s="8"/>
      <c r="KR177" s="7"/>
      <c r="KS177" s="19"/>
      <c r="KT177" s="19"/>
      <c r="KU177" s="19"/>
      <c r="KV177" s="19"/>
      <c r="KX177" s="8"/>
      <c r="KY177" s="7"/>
      <c r="KZ177" s="19"/>
      <c r="LA177" s="19"/>
      <c r="LB177" s="19"/>
      <c r="LC177" s="19"/>
      <c r="LE177" s="8"/>
      <c r="LF177" s="7"/>
      <c r="LG177" s="19"/>
      <c r="LH177" s="19"/>
      <c r="LI177" s="19"/>
      <c r="LJ177" s="19"/>
      <c r="LL177" s="8"/>
      <c r="LM177" s="7"/>
      <c r="LN177" s="19"/>
      <c r="LO177" s="19"/>
      <c r="LP177" s="19"/>
      <c r="LQ177" s="19"/>
      <c r="LS177" s="8"/>
      <c r="LT177" s="7"/>
      <c r="LU177" s="19"/>
      <c r="LV177" s="19"/>
      <c r="LW177" s="19"/>
      <c r="LX177" s="19"/>
      <c r="LZ177" s="8"/>
      <c r="MA177" s="7"/>
      <c r="MB177" s="19"/>
      <c r="MC177" s="19"/>
      <c r="MD177" s="19"/>
      <c r="ME177" s="19"/>
      <c r="MG177" s="8"/>
      <c r="MH177" s="7"/>
      <c r="MI177" s="19"/>
      <c r="MJ177" s="19"/>
      <c r="MK177" s="19"/>
      <c r="ML177" s="19"/>
      <c r="MN177" s="8"/>
      <c r="MO177" s="7"/>
      <c r="MP177" s="19"/>
      <c r="MQ177" s="19"/>
      <c r="MR177" s="19"/>
      <c r="MS177" s="19"/>
      <c r="MU177" s="8"/>
      <c r="MV177" s="7"/>
      <c r="MW177" s="19"/>
      <c r="MX177" s="19"/>
      <c r="MY177" s="19"/>
      <c r="MZ177" s="19"/>
      <c r="NB177" s="8"/>
      <c r="NC177" s="7"/>
      <c r="ND177" s="19"/>
      <c r="NE177" s="19"/>
      <c r="NF177" s="19"/>
      <c r="NG177" s="19"/>
      <c r="NI177" s="8"/>
      <c r="NJ177" s="7"/>
      <c r="NK177" s="19"/>
      <c r="NL177" s="19"/>
      <c r="NM177" s="19"/>
      <c r="NN177" s="19"/>
      <c r="NP177" s="8"/>
      <c r="NQ177" s="7"/>
      <c r="NR177" s="19"/>
      <c r="NS177" s="19"/>
      <c r="NT177" s="19"/>
      <c r="NU177" s="19"/>
      <c r="NW177" s="8"/>
      <c r="NX177" s="7"/>
      <c r="NY177" s="19"/>
      <c r="NZ177" s="19"/>
      <c r="OA177" s="19"/>
      <c r="OB177" s="19"/>
      <c r="OD177" s="8"/>
      <c r="OE177" s="7"/>
      <c r="OF177" s="19"/>
      <c r="OG177" s="19"/>
      <c r="OH177" s="19"/>
      <c r="OI177" s="19"/>
      <c r="OK177" s="8"/>
      <c r="OL177" s="7"/>
      <c r="OM177" s="19"/>
      <c r="ON177" s="19"/>
      <c r="OO177" s="19"/>
      <c r="OP177" s="19"/>
      <c r="OR177" s="8"/>
      <c r="OS177" s="7"/>
      <c r="OT177" s="19"/>
      <c r="OU177" s="19"/>
      <c r="OV177" s="19"/>
      <c r="OW177" s="19"/>
      <c r="OY177" s="8"/>
      <c r="OZ177" s="7"/>
      <c r="PA177" s="19"/>
      <c r="PB177" s="19"/>
      <c r="PC177" s="19"/>
      <c r="PD177" s="19"/>
      <c r="PF177" s="8"/>
      <c r="PG177" s="7"/>
      <c r="PH177" s="19"/>
      <c r="PI177" s="19"/>
      <c r="PJ177" s="19"/>
      <c r="PK177" s="19"/>
      <c r="PM177" s="8"/>
    </row>
    <row r="178" spans="1:429" s="1" customFormat="1" ht="26" customHeight="1" outlineLevel="1">
      <c r="B178" s="471"/>
      <c r="C178" s="7"/>
      <c r="D178" s="19"/>
      <c r="E178" s="19"/>
      <c r="F178" s="19"/>
      <c r="G178" s="19"/>
      <c r="I178" s="8"/>
      <c r="J178" s="7"/>
      <c r="K178" s="19"/>
      <c r="L178" s="19"/>
      <c r="M178" s="19"/>
      <c r="N178" s="19"/>
      <c r="P178" s="8"/>
      <c r="Q178" s="7"/>
      <c r="R178" s="19"/>
      <c r="S178" s="19"/>
      <c r="T178" s="19"/>
      <c r="U178" s="19"/>
      <c r="W178" s="8"/>
      <c r="X178" s="7"/>
      <c r="Y178" s="19"/>
      <c r="Z178" s="19"/>
      <c r="AA178" s="19"/>
      <c r="AB178" s="19"/>
      <c r="AD178" s="8"/>
      <c r="AE178" s="7"/>
      <c r="AF178" s="19"/>
      <c r="AG178" s="19"/>
      <c r="AH178" s="19"/>
      <c r="AI178" s="19"/>
      <c r="AK178" s="8"/>
      <c r="AL178" s="7"/>
      <c r="AM178" s="19"/>
      <c r="AN178" s="19"/>
      <c r="AO178" s="19"/>
      <c r="AP178" s="19"/>
      <c r="AR178" s="8"/>
      <c r="AS178" s="7"/>
      <c r="AT178" s="19"/>
      <c r="AU178" s="19"/>
      <c r="AV178" s="19"/>
      <c r="AW178" s="19"/>
      <c r="AY178" s="8"/>
      <c r="AZ178" s="7"/>
      <c r="BA178" s="19"/>
      <c r="BB178" s="19"/>
      <c r="BC178" s="19"/>
      <c r="BD178" s="19"/>
      <c r="BF178" s="8"/>
      <c r="BG178" s="7"/>
      <c r="BH178" s="19"/>
      <c r="BI178" s="19"/>
      <c r="BJ178" s="19"/>
      <c r="BK178" s="19"/>
      <c r="BM178" s="8"/>
      <c r="BN178" s="7"/>
      <c r="BO178" s="19"/>
      <c r="BP178" s="19"/>
      <c r="BQ178" s="19"/>
      <c r="BR178" s="19"/>
      <c r="BT178" s="8"/>
      <c r="BU178" s="7"/>
      <c r="BV178" s="19"/>
      <c r="BW178" s="19"/>
      <c r="BX178" s="19"/>
      <c r="BY178" s="19"/>
      <c r="CA178" s="8"/>
      <c r="CB178" s="7"/>
      <c r="CC178" s="19"/>
      <c r="CD178" s="19"/>
      <c r="CE178" s="19"/>
      <c r="CF178" s="19"/>
      <c r="CH178" s="8"/>
      <c r="CI178" s="7"/>
      <c r="CJ178" s="19"/>
      <c r="CK178" s="19"/>
      <c r="CL178" s="19"/>
      <c r="CM178" s="19"/>
      <c r="CO178" s="8"/>
      <c r="CP178" s="7"/>
      <c r="CQ178" s="19"/>
      <c r="CR178" s="19"/>
      <c r="CS178" s="19"/>
      <c r="CT178" s="19"/>
      <c r="CV178" s="8"/>
      <c r="CW178" s="7"/>
      <c r="CX178" s="19"/>
      <c r="CY178" s="19"/>
      <c r="CZ178" s="19"/>
      <c r="DA178" s="19"/>
      <c r="DC178" s="8"/>
      <c r="DD178" s="7"/>
      <c r="DE178" s="19"/>
      <c r="DF178" s="19"/>
      <c r="DG178" s="19"/>
      <c r="DH178" s="19"/>
      <c r="DJ178" s="8"/>
      <c r="DK178" s="7"/>
      <c r="DL178" s="19"/>
      <c r="DM178" s="19"/>
      <c r="DN178" s="19"/>
      <c r="DO178" s="19"/>
      <c r="DQ178" s="8"/>
      <c r="DR178" s="7"/>
      <c r="DS178" s="19"/>
      <c r="DT178" s="19"/>
      <c r="DU178" s="19"/>
      <c r="DV178" s="19"/>
      <c r="DX178" s="8"/>
      <c r="DY178" s="7"/>
      <c r="DZ178" s="19"/>
      <c r="EA178" s="19"/>
      <c r="EB178" s="19"/>
      <c r="EC178" s="19"/>
      <c r="EE178" s="8"/>
      <c r="EF178" s="7"/>
      <c r="EG178" s="19"/>
      <c r="EH178" s="19"/>
      <c r="EI178" s="19"/>
      <c r="EJ178" s="19"/>
      <c r="EL178" s="8"/>
      <c r="EM178" s="7"/>
      <c r="EN178" s="19"/>
      <c r="EO178" s="19"/>
      <c r="EP178" s="19"/>
      <c r="EQ178" s="19"/>
      <c r="ES178" s="8"/>
      <c r="ET178" s="7"/>
      <c r="EU178" s="19"/>
      <c r="EV178" s="19"/>
      <c r="EW178" s="19"/>
      <c r="EX178" s="19"/>
      <c r="EZ178" s="8"/>
      <c r="FA178" s="7"/>
      <c r="FB178" s="19"/>
      <c r="FC178" s="19"/>
      <c r="FD178" s="19"/>
      <c r="FE178" s="19"/>
      <c r="FG178" s="8"/>
      <c r="FH178" s="7"/>
      <c r="FI178" s="19"/>
      <c r="FJ178" s="19"/>
      <c r="FK178" s="19"/>
      <c r="FL178" s="19"/>
      <c r="FN178" s="8"/>
      <c r="FO178" s="7"/>
      <c r="FP178" s="19"/>
      <c r="FQ178" s="19"/>
      <c r="FR178" s="19"/>
      <c r="FS178" s="19"/>
      <c r="FU178" s="8"/>
      <c r="FV178" s="7"/>
      <c r="FW178" s="19"/>
      <c r="FX178" s="19"/>
      <c r="FY178" s="19"/>
      <c r="FZ178" s="19"/>
      <c r="GB178" s="8"/>
      <c r="GC178" s="7"/>
      <c r="GD178" s="19"/>
      <c r="GE178" s="19"/>
      <c r="GF178" s="19"/>
      <c r="GG178" s="19"/>
      <c r="GI178" s="8"/>
      <c r="GJ178" s="7"/>
      <c r="GK178" s="19"/>
      <c r="GL178" s="19"/>
      <c r="GM178" s="19"/>
      <c r="GN178" s="19"/>
      <c r="GP178" s="8"/>
      <c r="GQ178" s="7"/>
      <c r="GR178" s="19"/>
      <c r="GS178" s="19"/>
      <c r="GT178" s="19"/>
      <c r="GU178" s="19"/>
      <c r="GW178" s="8"/>
      <c r="GX178" s="7"/>
      <c r="GY178" s="19"/>
      <c r="GZ178" s="19"/>
      <c r="HA178" s="19"/>
      <c r="HB178" s="19"/>
      <c r="HD178" s="8"/>
      <c r="HE178" s="7"/>
      <c r="HF178" s="19"/>
      <c r="HG178" s="19"/>
      <c r="HH178" s="19"/>
      <c r="HI178" s="19"/>
      <c r="HK178" s="8"/>
      <c r="HL178" s="7"/>
      <c r="HM178" s="19"/>
      <c r="HN178" s="19"/>
      <c r="HO178" s="19"/>
      <c r="HP178" s="19"/>
      <c r="HR178" s="8"/>
      <c r="HS178" s="7"/>
      <c r="HT178" s="19"/>
      <c r="HU178" s="19"/>
      <c r="HV178" s="19"/>
      <c r="HW178" s="19"/>
      <c r="HY178" s="8"/>
      <c r="HZ178" s="7"/>
      <c r="IA178" s="19"/>
      <c r="IB178" s="19"/>
      <c r="IC178" s="19"/>
      <c r="ID178" s="19"/>
      <c r="IF178" s="8"/>
      <c r="IG178" s="7"/>
      <c r="IH178" s="19"/>
      <c r="II178" s="19"/>
      <c r="IJ178" s="19"/>
      <c r="IK178" s="19"/>
      <c r="IM178" s="8"/>
      <c r="IN178" s="7"/>
      <c r="IO178" s="19"/>
      <c r="IP178" s="19"/>
      <c r="IQ178" s="19"/>
      <c r="IR178" s="19"/>
      <c r="IT178" s="8"/>
      <c r="IU178" s="7"/>
      <c r="IV178" s="19"/>
      <c r="IW178" s="19"/>
      <c r="IX178" s="19"/>
      <c r="IY178" s="19"/>
      <c r="JA178" s="8"/>
      <c r="JB178" s="7"/>
      <c r="JC178" s="19"/>
      <c r="JD178" s="19"/>
      <c r="JE178" s="19"/>
      <c r="JF178" s="19"/>
      <c r="JH178" s="8"/>
      <c r="JI178" s="7"/>
      <c r="JJ178" s="19"/>
      <c r="JK178" s="19"/>
      <c r="JL178" s="19"/>
      <c r="JM178" s="19"/>
      <c r="JO178" s="8"/>
      <c r="JP178" s="7"/>
      <c r="JQ178" s="19"/>
      <c r="JR178" s="19"/>
      <c r="JS178" s="19"/>
      <c r="JT178" s="19"/>
      <c r="JV178" s="8"/>
      <c r="JW178" s="7"/>
      <c r="JX178" s="19"/>
      <c r="JY178" s="19"/>
      <c r="JZ178" s="19"/>
      <c r="KA178" s="19"/>
      <c r="KC178" s="8"/>
      <c r="KD178" s="7"/>
      <c r="KE178" s="19"/>
      <c r="KF178" s="19"/>
      <c r="KG178" s="19"/>
      <c r="KH178" s="19"/>
      <c r="KJ178" s="8"/>
      <c r="KK178" s="7"/>
      <c r="KL178" s="19"/>
      <c r="KM178" s="19"/>
      <c r="KN178" s="19"/>
      <c r="KO178" s="19"/>
      <c r="KQ178" s="8"/>
      <c r="KR178" s="7"/>
      <c r="KS178" s="19"/>
      <c r="KT178" s="19"/>
      <c r="KU178" s="19"/>
      <c r="KV178" s="19"/>
      <c r="KX178" s="8"/>
      <c r="KY178" s="7"/>
      <c r="KZ178" s="19"/>
      <c r="LA178" s="19"/>
      <c r="LB178" s="19"/>
      <c r="LC178" s="19"/>
      <c r="LE178" s="8"/>
      <c r="LF178" s="7"/>
      <c r="LG178" s="19"/>
      <c r="LH178" s="19"/>
      <c r="LI178" s="19"/>
      <c r="LJ178" s="19"/>
      <c r="LL178" s="8"/>
      <c r="LM178" s="7"/>
      <c r="LN178" s="19"/>
      <c r="LO178" s="19"/>
      <c r="LP178" s="19"/>
      <c r="LQ178" s="19"/>
      <c r="LS178" s="8"/>
      <c r="LT178" s="7"/>
      <c r="LU178" s="19"/>
      <c r="LV178" s="19"/>
      <c r="LW178" s="19"/>
      <c r="LX178" s="19"/>
      <c r="LZ178" s="8"/>
      <c r="MA178" s="7"/>
      <c r="MB178" s="19"/>
      <c r="MC178" s="19"/>
      <c r="MD178" s="19"/>
      <c r="ME178" s="19"/>
      <c r="MG178" s="8"/>
      <c r="MH178" s="7"/>
      <c r="MI178" s="19"/>
      <c r="MJ178" s="19"/>
      <c r="MK178" s="19"/>
      <c r="ML178" s="19"/>
      <c r="MN178" s="8"/>
      <c r="MO178" s="7"/>
      <c r="MP178" s="19"/>
      <c r="MQ178" s="19"/>
      <c r="MR178" s="19"/>
      <c r="MS178" s="19"/>
      <c r="MU178" s="8"/>
      <c r="MV178" s="7"/>
      <c r="MW178" s="19"/>
      <c r="MX178" s="19"/>
      <c r="MY178" s="19"/>
      <c r="MZ178" s="19"/>
      <c r="NB178" s="8"/>
      <c r="NC178" s="7"/>
      <c r="ND178" s="19"/>
      <c r="NE178" s="19"/>
      <c r="NF178" s="19"/>
      <c r="NG178" s="19"/>
      <c r="NI178" s="8"/>
      <c r="NJ178" s="7"/>
      <c r="NK178" s="19"/>
      <c r="NL178" s="19"/>
      <c r="NM178" s="19"/>
      <c r="NN178" s="19"/>
      <c r="NP178" s="8"/>
      <c r="NQ178" s="7"/>
      <c r="NR178" s="19"/>
      <c r="NS178" s="19"/>
      <c r="NT178" s="19"/>
      <c r="NU178" s="19"/>
      <c r="NW178" s="8"/>
      <c r="NX178" s="7"/>
      <c r="NY178" s="19"/>
      <c r="NZ178" s="19"/>
      <c r="OA178" s="19"/>
      <c r="OB178" s="19"/>
      <c r="OD178" s="8"/>
      <c r="OE178" s="7"/>
      <c r="OF178" s="19"/>
      <c r="OG178" s="19"/>
      <c r="OH178" s="19"/>
      <c r="OI178" s="19"/>
      <c r="OK178" s="8"/>
      <c r="OL178" s="7"/>
      <c r="OM178" s="19"/>
      <c r="ON178" s="19"/>
      <c r="OO178" s="19"/>
      <c r="OP178" s="19"/>
      <c r="OR178" s="8"/>
      <c r="OS178" s="7"/>
      <c r="OT178" s="19"/>
      <c r="OU178" s="19"/>
      <c r="OV178" s="19"/>
      <c r="OW178" s="19"/>
      <c r="OY178" s="8"/>
      <c r="OZ178" s="7"/>
      <c r="PA178" s="19"/>
      <c r="PB178" s="19"/>
      <c r="PC178" s="19"/>
      <c r="PD178" s="19"/>
      <c r="PF178" s="8"/>
      <c r="PG178" s="7"/>
      <c r="PH178" s="19"/>
      <c r="PI178" s="19"/>
      <c r="PJ178" s="19"/>
      <c r="PK178" s="19"/>
      <c r="PM178" s="8"/>
    </row>
    <row r="179" spans="1:429" s="1" customFormat="1" ht="26" customHeight="1" outlineLevel="1">
      <c r="B179" s="471"/>
      <c r="C179" s="7"/>
      <c r="D179" s="19"/>
      <c r="E179" s="19"/>
      <c r="F179" s="19"/>
      <c r="G179" s="19"/>
      <c r="I179" s="8"/>
      <c r="J179" s="7"/>
      <c r="K179" s="19"/>
      <c r="L179" s="19"/>
      <c r="M179" s="19"/>
      <c r="N179" s="19"/>
      <c r="P179" s="8"/>
      <c r="Q179" s="7"/>
      <c r="R179" s="19"/>
      <c r="S179" s="19"/>
      <c r="T179" s="19"/>
      <c r="U179" s="19"/>
      <c r="W179" s="8"/>
      <c r="X179" s="7"/>
      <c r="Y179" s="19"/>
      <c r="Z179" s="19"/>
      <c r="AA179" s="19"/>
      <c r="AB179" s="19"/>
      <c r="AD179" s="8"/>
      <c r="AE179" s="7"/>
      <c r="AF179" s="19"/>
      <c r="AG179" s="19"/>
      <c r="AH179" s="19"/>
      <c r="AI179" s="19"/>
      <c r="AK179" s="8"/>
      <c r="AL179" s="7"/>
      <c r="AM179" s="19"/>
      <c r="AN179" s="19"/>
      <c r="AO179" s="19"/>
      <c r="AP179" s="19"/>
      <c r="AR179" s="8"/>
      <c r="AS179" s="7"/>
      <c r="AT179" s="19"/>
      <c r="AU179" s="19"/>
      <c r="AV179" s="19"/>
      <c r="AW179" s="19"/>
      <c r="AY179" s="8"/>
      <c r="AZ179" s="7"/>
      <c r="BA179" s="19"/>
      <c r="BB179" s="19"/>
      <c r="BC179" s="19"/>
      <c r="BD179" s="19"/>
      <c r="BF179" s="8"/>
      <c r="BG179" s="7"/>
      <c r="BH179" s="19"/>
      <c r="BI179" s="19"/>
      <c r="BJ179" s="19"/>
      <c r="BK179" s="19"/>
      <c r="BM179" s="8"/>
      <c r="BN179" s="7"/>
      <c r="BO179" s="19"/>
      <c r="BP179" s="19"/>
      <c r="BQ179" s="19"/>
      <c r="BR179" s="19"/>
      <c r="BT179" s="8"/>
      <c r="BU179" s="7"/>
      <c r="BV179" s="19"/>
      <c r="BW179" s="19"/>
      <c r="BX179" s="19"/>
      <c r="BY179" s="19"/>
      <c r="CA179" s="8"/>
      <c r="CB179" s="7"/>
      <c r="CC179" s="19"/>
      <c r="CD179" s="19"/>
      <c r="CE179" s="19"/>
      <c r="CF179" s="19"/>
      <c r="CH179" s="8"/>
      <c r="CI179" s="7"/>
      <c r="CJ179" s="19"/>
      <c r="CK179" s="19"/>
      <c r="CL179" s="19"/>
      <c r="CM179" s="19"/>
      <c r="CO179" s="8"/>
      <c r="CP179" s="7"/>
      <c r="CQ179" s="19"/>
      <c r="CR179" s="19"/>
      <c r="CS179" s="19"/>
      <c r="CT179" s="19"/>
      <c r="CV179" s="8"/>
      <c r="CW179" s="7"/>
      <c r="CX179" s="19"/>
      <c r="CY179" s="19"/>
      <c r="CZ179" s="19"/>
      <c r="DA179" s="19"/>
      <c r="DC179" s="8"/>
      <c r="DD179" s="7"/>
      <c r="DE179" s="19"/>
      <c r="DF179" s="19"/>
      <c r="DG179" s="19"/>
      <c r="DH179" s="19"/>
      <c r="DJ179" s="8"/>
      <c r="DK179" s="7"/>
      <c r="DL179" s="19"/>
      <c r="DM179" s="19"/>
      <c r="DN179" s="19"/>
      <c r="DO179" s="19"/>
      <c r="DQ179" s="8"/>
      <c r="DR179" s="7"/>
      <c r="DS179" s="19"/>
      <c r="DT179" s="19"/>
      <c r="DU179" s="19"/>
      <c r="DV179" s="19"/>
      <c r="DX179" s="8"/>
      <c r="DY179" s="7"/>
      <c r="DZ179" s="19"/>
      <c r="EA179" s="19"/>
      <c r="EB179" s="19"/>
      <c r="EC179" s="19"/>
      <c r="EE179" s="8"/>
      <c r="EF179" s="7"/>
      <c r="EG179" s="19"/>
      <c r="EH179" s="19"/>
      <c r="EI179" s="19"/>
      <c r="EJ179" s="19"/>
      <c r="EL179" s="8"/>
      <c r="EM179" s="7"/>
      <c r="EN179" s="19"/>
      <c r="EO179" s="19"/>
      <c r="EP179" s="19"/>
      <c r="EQ179" s="19"/>
      <c r="ES179" s="8"/>
      <c r="ET179" s="7"/>
      <c r="EU179" s="19"/>
      <c r="EV179" s="19"/>
      <c r="EW179" s="19"/>
      <c r="EX179" s="19"/>
      <c r="EZ179" s="8"/>
      <c r="FA179" s="7"/>
      <c r="FB179" s="19"/>
      <c r="FC179" s="19"/>
      <c r="FD179" s="19"/>
      <c r="FE179" s="19"/>
      <c r="FG179" s="8"/>
      <c r="FH179" s="7"/>
      <c r="FI179" s="19"/>
      <c r="FJ179" s="19"/>
      <c r="FK179" s="19"/>
      <c r="FL179" s="19"/>
      <c r="FN179" s="8"/>
      <c r="FO179" s="7"/>
      <c r="FP179" s="19"/>
      <c r="FQ179" s="19"/>
      <c r="FR179" s="19"/>
      <c r="FS179" s="19"/>
      <c r="FU179" s="8"/>
      <c r="FV179" s="7"/>
      <c r="FW179" s="19"/>
      <c r="FX179" s="19"/>
      <c r="FY179" s="19"/>
      <c r="FZ179" s="19"/>
      <c r="GB179" s="8"/>
      <c r="GC179" s="7"/>
      <c r="GD179" s="19"/>
      <c r="GE179" s="19"/>
      <c r="GF179" s="19"/>
      <c r="GG179" s="19"/>
      <c r="GI179" s="8"/>
      <c r="GJ179" s="7"/>
      <c r="GK179" s="19"/>
      <c r="GL179" s="19"/>
      <c r="GM179" s="19"/>
      <c r="GN179" s="19"/>
      <c r="GP179" s="8"/>
      <c r="GQ179" s="7"/>
      <c r="GR179" s="19"/>
      <c r="GS179" s="19"/>
      <c r="GT179" s="19"/>
      <c r="GU179" s="19"/>
      <c r="GW179" s="8"/>
      <c r="GX179" s="7"/>
      <c r="GY179" s="19"/>
      <c r="GZ179" s="19"/>
      <c r="HA179" s="19"/>
      <c r="HB179" s="19"/>
      <c r="HD179" s="8"/>
      <c r="HE179" s="7"/>
      <c r="HF179" s="19"/>
      <c r="HG179" s="19"/>
      <c r="HH179" s="19"/>
      <c r="HI179" s="19"/>
      <c r="HK179" s="8"/>
      <c r="HL179" s="7"/>
      <c r="HM179" s="19"/>
      <c r="HN179" s="19"/>
      <c r="HO179" s="19"/>
      <c r="HP179" s="19"/>
      <c r="HR179" s="8"/>
      <c r="HS179" s="7"/>
      <c r="HT179" s="19"/>
      <c r="HU179" s="19"/>
      <c r="HV179" s="19"/>
      <c r="HW179" s="19"/>
      <c r="HY179" s="8"/>
      <c r="HZ179" s="7"/>
      <c r="IA179" s="19"/>
      <c r="IB179" s="19"/>
      <c r="IC179" s="19"/>
      <c r="ID179" s="19"/>
      <c r="IF179" s="8"/>
      <c r="IG179" s="7"/>
      <c r="IH179" s="19"/>
      <c r="II179" s="19"/>
      <c r="IJ179" s="19"/>
      <c r="IK179" s="19"/>
      <c r="IM179" s="8"/>
      <c r="IN179" s="7"/>
      <c r="IO179" s="19"/>
      <c r="IP179" s="19"/>
      <c r="IQ179" s="19"/>
      <c r="IR179" s="19"/>
      <c r="IT179" s="8"/>
      <c r="IU179" s="7"/>
      <c r="IV179" s="19"/>
      <c r="IW179" s="19"/>
      <c r="IX179" s="19"/>
      <c r="IY179" s="19"/>
      <c r="JA179" s="8"/>
      <c r="JB179" s="7"/>
      <c r="JC179" s="19"/>
      <c r="JD179" s="19"/>
      <c r="JE179" s="19"/>
      <c r="JF179" s="19"/>
      <c r="JH179" s="8"/>
      <c r="JI179" s="7"/>
      <c r="JJ179" s="19"/>
      <c r="JK179" s="19"/>
      <c r="JL179" s="19"/>
      <c r="JM179" s="19"/>
      <c r="JO179" s="8"/>
      <c r="JP179" s="7"/>
      <c r="JQ179" s="19"/>
      <c r="JR179" s="19"/>
      <c r="JS179" s="19"/>
      <c r="JT179" s="19"/>
      <c r="JV179" s="8"/>
      <c r="JW179" s="7"/>
      <c r="JX179" s="19"/>
      <c r="JY179" s="19"/>
      <c r="JZ179" s="19"/>
      <c r="KA179" s="19"/>
      <c r="KC179" s="8"/>
      <c r="KD179" s="7"/>
      <c r="KE179" s="19"/>
      <c r="KF179" s="19"/>
      <c r="KG179" s="19"/>
      <c r="KH179" s="19"/>
      <c r="KJ179" s="8"/>
      <c r="KK179" s="7"/>
      <c r="KL179" s="19"/>
      <c r="KM179" s="19"/>
      <c r="KN179" s="19"/>
      <c r="KO179" s="19"/>
      <c r="KQ179" s="8"/>
      <c r="KR179" s="7"/>
      <c r="KS179" s="19"/>
      <c r="KT179" s="19"/>
      <c r="KU179" s="19"/>
      <c r="KV179" s="19"/>
      <c r="KX179" s="8"/>
      <c r="KY179" s="7"/>
      <c r="KZ179" s="19"/>
      <c r="LA179" s="19"/>
      <c r="LB179" s="19"/>
      <c r="LC179" s="19"/>
      <c r="LE179" s="8"/>
      <c r="LF179" s="7"/>
      <c r="LG179" s="19"/>
      <c r="LH179" s="19"/>
      <c r="LI179" s="19"/>
      <c r="LJ179" s="19"/>
      <c r="LL179" s="8"/>
      <c r="LM179" s="7"/>
      <c r="LN179" s="19"/>
      <c r="LO179" s="19"/>
      <c r="LP179" s="19"/>
      <c r="LQ179" s="19"/>
      <c r="LS179" s="8"/>
      <c r="LT179" s="7"/>
      <c r="LU179" s="19"/>
      <c r="LV179" s="19"/>
      <c r="LW179" s="19"/>
      <c r="LX179" s="19"/>
      <c r="LZ179" s="8"/>
      <c r="MA179" s="7"/>
      <c r="MB179" s="19"/>
      <c r="MC179" s="19"/>
      <c r="MD179" s="19"/>
      <c r="ME179" s="19"/>
      <c r="MG179" s="8"/>
      <c r="MH179" s="7"/>
      <c r="MI179" s="19"/>
      <c r="MJ179" s="19"/>
      <c r="MK179" s="19"/>
      <c r="ML179" s="19"/>
      <c r="MN179" s="8"/>
      <c r="MO179" s="7"/>
      <c r="MP179" s="19"/>
      <c r="MQ179" s="19"/>
      <c r="MR179" s="19"/>
      <c r="MS179" s="19"/>
      <c r="MU179" s="8"/>
      <c r="MV179" s="7"/>
      <c r="MW179" s="19"/>
      <c r="MX179" s="19"/>
      <c r="MY179" s="19"/>
      <c r="MZ179" s="19"/>
      <c r="NB179" s="8"/>
      <c r="NC179" s="7"/>
      <c r="ND179" s="19"/>
      <c r="NE179" s="19"/>
      <c r="NF179" s="19"/>
      <c r="NG179" s="19"/>
      <c r="NI179" s="8"/>
      <c r="NJ179" s="7"/>
      <c r="NK179" s="19"/>
      <c r="NL179" s="19"/>
      <c r="NM179" s="19"/>
      <c r="NN179" s="19"/>
      <c r="NP179" s="8"/>
      <c r="NQ179" s="7"/>
      <c r="NR179" s="19"/>
      <c r="NS179" s="19"/>
      <c r="NT179" s="19"/>
      <c r="NU179" s="19"/>
      <c r="NW179" s="8"/>
      <c r="NX179" s="7"/>
      <c r="NY179" s="19"/>
      <c r="NZ179" s="19"/>
      <c r="OA179" s="19"/>
      <c r="OB179" s="19"/>
      <c r="OD179" s="8"/>
      <c r="OE179" s="7"/>
      <c r="OF179" s="19"/>
      <c r="OG179" s="19"/>
      <c r="OH179" s="19"/>
      <c r="OI179" s="19"/>
      <c r="OK179" s="8"/>
      <c r="OL179" s="7"/>
      <c r="OM179" s="19"/>
      <c r="ON179" s="19"/>
      <c r="OO179" s="19"/>
      <c r="OP179" s="19"/>
      <c r="OR179" s="8"/>
      <c r="OS179" s="7"/>
      <c r="OT179" s="19"/>
      <c r="OU179" s="19"/>
      <c r="OV179" s="19"/>
      <c r="OW179" s="19"/>
      <c r="OY179" s="8"/>
      <c r="OZ179" s="7"/>
      <c r="PA179" s="19"/>
      <c r="PB179" s="19"/>
      <c r="PC179" s="19"/>
      <c r="PD179" s="19"/>
      <c r="PF179" s="8"/>
      <c r="PG179" s="7"/>
      <c r="PH179" s="19"/>
      <c r="PI179" s="19"/>
      <c r="PJ179" s="19"/>
      <c r="PK179" s="19"/>
      <c r="PM179" s="8"/>
    </row>
    <row r="180" spans="1:429" s="1" customFormat="1" ht="24" outlineLevel="1">
      <c r="B180" s="471"/>
      <c r="C180" s="7"/>
      <c r="D180" s="19"/>
      <c r="E180" s="19"/>
      <c r="F180" s="19"/>
      <c r="G180" s="19"/>
      <c r="I180" s="8"/>
      <c r="J180" s="7"/>
      <c r="K180" s="19"/>
      <c r="L180" s="19"/>
      <c r="M180" s="19"/>
      <c r="N180" s="19"/>
      <c r="P180" s="8"/>
      <c r="Q180" s="7"/>
      <c r="R180" s="19"/>
      <c r="S180" s="19"/>
      <c r="T180" s="19"/>
      <c r="U180" s="19"/>
      <c r="W180" s="8"/>
      <c r="X180" s="7"/>
      <c r="Y180" s="19"/>
      <c r="Z180" s="19"/>
      <c r="AA180" s="19"/>
      <c r="AB180" s="19"/>
      <c r="AD180" s="8"/>
      <c r="AE180" s="7"/>
      <c r="AF180" s="19"/>
      <c r="AG180" s="19"/>
      <c r="AH180" s="19"/>
      <c r="AI180" s="19"/>
      <c r="AK180" s="8"/>
      <c r="AL180" s="7"/>
      <c r="AM180" s="19"/>
      <c r="AN180" s="19"/>
      <c r="AO180" s="19"/>
      <c r="AP180" s="19"/>
      <c r="AR180" s="8"/>
      <c r="AS180" s="7"/>
      <c r="AT180" s="19"/>
      <c r="AU180" s="19"/>
      <c r="AV180" s="19"/>
      <c r="AW180" s="19"/>
      <c r="AY180" s="8"/>
      <c r="AZ180" s="7"/>
      <c r="BA180" s="19"/>
      <c r="BB180" s="19"/>
      <c r="BC180" s="19"/>
      <c r="BD180" s="19"/>
      <c r="BF180" s="8"/>
      <c r="BG180" s="7"/>
      <c r="BH180" s="19"/>
      <c r="BI180" s="19"/>
      <c r="BJ180" s="19"/>
      <c r="BK180" s="19"/>
      <c r="BM180" s="8"/>
      <c r="BN180" s="7"/>
      <c r="BO180" s="19"/>
      <c r="BP180" s="19"/>
      <c r="BQ180" s="19"/>
      <c r="BR180" s="19"/>
      <c r="BT180" s="8"/>
      <c r="BU180" s="7"/>
      <c r="BV180" s="19"/>
      <c r="BW180" s="19"/>
      <c r="BX180" s="19"/>
      <c r="BY180" s="19"/>
      <c r="CA180" s="8"/>
      <c r="CB180" s="7"/>
      <c r="CC180" s="19"/>
      <c r="CD180" s="19"/>
      <c r="CE180" s="19"/>
      <c r="CF180" s="19"/>
      <c r="CH180" s="8"/>
      <c r="CI180" s="7"/>
      <c r="CJ180" s="19"/>
      <c r="CK180" s="19"/>
      <c r="CL180" s="19"/>
      <c r="CM180" s="19"/>
      <c r="CO180" s="8"/>
      <c r="CP180" s="7"/>
      <c r="CQ180" s="19"/>
      <c r="CR180" s="19"/>
      <c r="CS180" s="19"/>
      <c r="CT180" s="19"/>
      <c r="CV180" s="8"/>
      <c r="CW180" s="7"/>
      <c r="CX180" s="19"/>
      <c r="CY180" s="19"/>
      <c r="CZ180" s="19"/>
      <c r="DA180" s="19"/>
      <c r="DC180" s="8"/>
      <c r="DD180" s="7"/>
      <c r="DE180" s="19"/>
      <c r="DF180" s="19"/>
      <c r="DG180" s="19"/>
      <c r="DH180" s="19"/>
      <c r="DJ180" s="8"/>
      <c r="DK180" s="7"/>
      <c r="DL180" s="19"/>
      <c r="DM180" s="19"/>
      <c r="DN180" s="19"/>
      <c r="DO180" s="19"/>
      <c r="DQ180" s="8"/>
      <c r="DR180" s="7"/>
      <c r="DS180" s="19"/>
      <c r="DT180" s="19"/>
      <c r="DU180" s="19"/>
      <c r="DV180" s="19"/>
      <c r="DX180" s="8"/>
      <c r="DY180" s="7"/>
      <c r="DZ180" s="19"/>
      <c r="EA180" s="19"/>
      <c r="EB180" s="19"/>
      <c r="EC180" s="19"/>
      <c r="EE180" s="8"/>
      <c r="EF180" s="7"/>
      <c r="EG180" s="19"/>
      <c r="EH180" s="19"/>
      <c r="EI180" s="19"/>
      <c r="EJ180" s="19"/>
      <c r="EL180" s="8"/>
      <c r="EM180" s="7"/>
      <c r="EN180" s="19"/>
      <c r="EO180" s="19"/>
      <c r="EP180" s="19"/>
      <c r="EQ180" s="19"/>
      <c r="ES180" s="8"/>
      <c r="ET180" s="7"/>
      <c r="EU180" s="19"/>
      <c r="EV180" s="19"/>
      <c r="EW180" s="19"/>
      <c r="EX180" s="19"/>
      <c r="EZ180" s="8"/>
      <c r="FA180" s="7"/>
      <c r="FB180" s="19"/>
      <c r="FC180" s="19"/>
      <c r="FD180" s="19"/>
      <c r="FE180" s="19"/>
      <c r="FG180" s="8"/>
      <c r="FH180" s="7"/>
      <c r="FI180" s="19"/>
      <c r="FJ180" s="19"/>
      <c r="FK180" s="19"/>
      <c r="FL180" s="19"/>
      <c r="FN180" s="8"/>
      <c r="FO180" s="7"/>
      <c r="FP180" s="19"/>
      <c r="FQ180" s="19"/>
      <c r="FR180" s="19"/>
      <c r="FS180" s="19"/>
      <c r="FU180" s="8"/>
      <c r="FV180" s="7"/>
      <c r="FW180" s="19"/>
      <c r="FX180" s="19"/>
      <c r="FY180" s="19"/>
      <c r="FZ180" s="19"/>
      <c r="GB180" s="8"/>
      <c r="GC180" s="7"/>
      <c r="GD180" s="19"/>
      <c r="GE180" s="19"/>
      <c r="GF180" s="19"/>
      <c r="GG180" s="19"/>
      <c r="GI180" s="8"/>
      <c r="GJ180" s="7"/>
      <c r="GK180" s="19"/>
      <c r="GL180" s="19"/>
      <c r="GM180" s="19"/>
      <c r="GN180" s="19"/>
      <c r="GP180" s="8"/>
      <c r="GQ180" s="7"/>
      <c r="GR180" s="19"/>
      <c r="GS180" s="19"/>
      <c r="GT180" s="19"/>
      <c r="GU180" s="19"/>
      <c r="GW180" s="8"/>
      <c r="GX180" s="7"/>
      <c r="GY180" s="19"/>
      <c r="GZ180" s="19"/>
      <c r="HA180" s="19"/>
      <c r="HB180" s="19"/>
      <c r="HD180" s="8"/>
      <c r="HE180" s="7"/>
      <c r="HF180" s="19"/>
      <c r="HG180" s="19"/>
      <c r="HH180" s="19"/>
      <c r="HI180" s="19"/>
      <c r="HK180" s="8"/>
      <c r="HL180" s="7"/>
      <c r="HM180" s="19"/>
      <c r="HN180" s="19"/>
      <c r="HO180" s="19"/>
      <c r="HP180" s="19"/>
      <c r="HR180" s="8"/>
      <c r="HS180" s="7"/>
      <c r="HT180" s="19"/>
      <c r="HU180" s="19"/>
      <c r="HV180" s="19"/>
      <c r="HW180" s="19"/>
      <c r="HY180" s="8"/>
      <c r="HZ180" s="7"/>
      <c r="IA180" s="19"/>
      <c r="IB180" s="19"/>
      <c r="IC180" s="19"/>
      <c r="ID180" s="19"/>
      <c r="IF180" s="8"/>
      <c r="IG180" s="7"/>
      <c r="IH180" s="19"/>
      <c r="II180" s="19"/>
      <c r="IJ180" s="19"/>
      <c r="IK180" s="19"/>
      <c r="IM180" s="8"/>
      <c r="IN180" s="7"/>
      <c r="IO180" s="19"/>
      <c r="IP180" s="19"/>
      <c r="IQ180" s="19"/>
      <c r="IR180" s="19"/>
      <c r="IT180" s="8"/>
      <c r="IU180" s="7"/>
      <c r="IV180" s="19"/>
      <c r="IW180" s="19"/>
      <c r="IX180" s="19"/>
      <c r="IY180" s="19"/>
      <c r="JA180" s="8"/>
      <c r="JB180" s="7"/>
      <c r="JC180" s="19"/>
      <c r="JD180" s="19"/>
      <c r="JE180" s="19"/>
      <c r="JF180" s="19"/>
      <c r="JH180" s="8"/>
      <c r="JI180" s="7"/>
      <c r="JJ180" s="19"/>
      <c r="JK180" s="19"/>
      <c r="JL180" s="19"/>
      <c r="JM180" s="19"/>
      <c r="JO180" s="8"/>
      <c r="JP180" s="7"/>
      <c r="JQ180" s="19"/>
      <c r="JR180" s="19"/>
      <c r="JS180" s="19"/>
      <c r="JT180" s="19"/>
      <c r="JV180" s="8"/>
      <c r="JW180" s="7"/>
      <c r="JX180" s="19"/>
      <c r="JY180" s="19"/>
      <c r="JZ180" s="19"/>
      <c r="KA180" s="19"/>
      <c r="KC180" s="8"/>
      <c r="KD180" s="7"/>
      <c r="KE180" s="19"/>
      <c r="KF180" s="19"/>
      <c r="KG180" s="19"/>
      <c r="KH180" s="19"/>
      <c r="KJ180" s="8"/>
      <c r="KK180" s="7"/>
      <c r="KL180" s="19"/>
      <c r="KM180" s="19"/>
      <c r="KN180" s="19"/>
      <c r="KO180" s="19"/>
      <c r="KQ180" s="8"/>
      <c r="KR180" s="7"/>
      <c r="KS180" s="19"/>
      <c r="KT180" s="19"/>
      <c r="KU180" s="19"/>
      <c r="KV180" s="19"/>
      <c r="KX180" s="8"/>
      <c r="KY180" s="7"/>
      <c r="KZ180" s="19"/>
      <c r="LA180" s="19"/>
      <c r="LB180" s="19"/>
      <c r="LC180" s="19"/>
      <c r="LE180" s="8"/>
      <c r="LF180" s="7"/>
      <c r="LG180" s="19"/>
      <c r="LH180" s="19"/>
      <c r="LI180" s="19"/>
      <c r="LJ180" s="19"/>
      <c r="LL180" s="8"/>
      <c r="LM180" s="7"/>
      <c r="LN180" s="19"/>
      <c r="LO180" s="19"/>
      <c r="LP180" s="19"/>
      <c r="LQ180" s="19"/>
      <c r="LS180" s="8"/>
      <c r="LT180" s="7"/>
      <c r="LU180" s="19"/>
      <c r="LV180" s="19"/>
      <c r="LW180" s="19"/>
      <c r="LX180" s="19"/>
      <c r="LZ180" s="8"/>
      <c r="MA180" s="7"/>
      <c r="MB180" s="19"/>
      <c r="MC180" s="19"/>
      <c r="MD180" s="19"/>
      <c r="ME180" s="19"/>
      <c r="MG180" s="8"/>
      <c r="MH180" s="7"/>
      <c r="MI180" s="19"/>
      <c r="MJ180" s="19"/>
      <c r="MK180" s="19"/>
      <c r="ML180" s="19"/>
      <c r="MN180" s="8"/>
      <c r="MO180" s="7"/>
      <c r="MP180" s="19"/>
      <c r="MQ180" s="19"/>
      <c r="MR180" s="19"/>
      <c r="MS180" s="19"/>
      <c r="MU180" s="8"/>
      <c r="MV180" s="7"/>
      <c r="MW180" s="19"/>
      <c r="MX180" s="19"/>
      <c r="MY180" s="19"/>
      <c r="MZ180" s="19"/>
      <c r="NB180" s="8"/>
      <c r="NC180" s="7"/>
      <c r="ND180" s="19"/>
      <c r="NE180" s="19"/>
      <c r="NF180" s="19"/>
      <c r="NG180" s="19"/>
      <c r="NI180" s="8"/>
      <c r="NJ180" s="7"/>
      <c r="NK180" s="19"/>
      <c r="NL180" s="19"/>
      <c r="NM180" s="19"/>
      <c r="NN180" s="19"/>
      <c r="NP180" s="8"/>
      <c r="NQ180" s="7"/>
      <c r="NR180" s="19"/>
      <c r="NS180" s="19"/>
      <c r="NT180" s="19"/>
      <c r="NU180" s="19"/>
      <c r="NW180" s="8"/>
      <c r="NX180" s="7"/>
      <c r="NY180" s="19"/>
      <c r="NZ180" s="19"/>
      <c r="OA180" s="19"/>
      <c r="OB180" s="19"/>
      <c r="OD180" s="8"/>
      <c r="OE180" s="7"/>
      <c r="OF180" s="19"/>
      <c r="OG180" s="19"/>
      <c r="OH180" s="19"/>
      <c r="OI180" s="19"/>
      <c r="OK180" s="8"/>
      <c r="OL180" s="7"/>
      <c r="OM180" s="19"/>
      <c r="ON180" s="19"/>
      <c r="OO180" s="19"/>
      <c r="OP180" s="19"/>
      <c r="OR180" s="8"/>
      <c r="OS180" s="7"/>
      <c r="OT180" s="19"/>
      <c r="OU180" s="19"/>
      <c r="OV180" s="19"/>
      <c r="OW180" s="19"/>
      <c r="OY180" s="8"/>
      <c r="OZ180" s="7"/>
      <c r="PA180" s="19"/>
      <c r="PB180" s="19"/>
      <c r="PC180" s="19"/>
      <c r="PD180" s="19"/>
      <c r="PF180" s="8"/>
      <c r="PG180" s="7"/>
      <c r="PH180" s="19"/>
      <c r="PI180" s="19"/>
      <c r="PJ180" s="19"/>
      <c r="PK180" s="19"/>
      <c r="PM180" s="8"/>
    </row>
    <row r="181" spans="1:429" s="475" customFormat="1" ht="19" customHeight="1">
      <c r="A181" s="6" t="s">
        <v>81</v>
      </c>
      <c r="B181" s="472"/>
      <c r="C181" s="10"/>
      <c r="D181" s="20"/>
      <c r="E181" s="20"/>
      <c r="F181" s="20"/>
      <c r="G181" s="20"/>
      <c r="H181" s="10"/>
      <c r="I181" s="10"/>
      <c r="J181" s="10"/>
      <c r="K181" s="20"/>
      <c r="L181" s="20"/>
      <c r="M181" s="20"/>
      <c r="N181" s="20"/>
      <c r="O181" s="10"/>
      <c r="P181" s="10"/>
      <c r="Q181" s="10"/>
      <c r="R181" s="20"/>
      <c r="S181" s="20"/>
      <c r="T181" s="20"/>
      <c r="U181" s="20"/>
      <c r="V181" s="10"/>
      <c r="W181" s="10"/>
      <c r="X181" s="10"/>
      <c r="Y181" s="20"/>
      <c r="Z181" s="20"/>
      <c r="AA181" s="20"/>
      <c r="AB181" s="20"/>
      <c r="AC181" s="10"/>
      <c r="AD181" s="10"/>
      <c r="AE181" s="10"/>
      <c r="AF181" s="20"/>
      <c r="AG181" s="20"/>
      <c r="AH181" s="20"/>
      <c r="AI181" s="20"/>
      <c r="AJ181" s="10"/>
      <c r="AK181" s="10"/>
      <c r="AL181" s="10"/>
      <c r="AM181" s="20"/>
      <c r="AN181" s="20"/>
      <c r="AO181" s="20"/>
      <c r="AP181" s="20"/>
      <c r="AQ181" s="10"/>
      <c r="AR181" s="10"/>
      <c r="AS181" s="10"/>
      <c r="AT181" s="20"/>
      <c r="AU181" s="20"/>
      <c r="AV181" s="20"/>
      <c r="AW181" s="20"/>
      <c r="AX181" s="10"/>
      <c r="AY181" s="10"/>
      <c r="AZ181" s="10"/>
      <c r="BA181" s="20"/>
      <c r="BB181" s="20"/>
      <c r="BC181" s="20"/>
      <c r="BD181" s="20"/>
      <c r="BE181" s="10"/>
      <c r="BF181" s="10"/>
      <c r="BG181" s="10"/>
      <c r="BH181" s="20"/>
      <c r="BI181" s="20"/>
      <c r="BJ181" s="20"/>
      <c r="BK181" s="20"/>
      <c r="BL181" s="10"/>
      <c r="BM181" s="10"/>
      <c r="BN181" s="10"/>
      <c r="BO181" s="20"/>
      <c r="BP181" s="20"/>
      <c r="BQ181" s="20"/>
      <c r="BR181" s="20"/>
      <c r="BS181" s="10"/>
      <c r="BT181" s="10"/>
      <c r="BU181" s="10"/>
      <c r="BV181" s="20"/>
      <c r="BW181" s="20"/>
      <c r="BX181" s="20"/>
      <c r="BY181" s="20"/>
      <c r="BZ181" s="10"/>
      <c r="CA181" s="10"/>
      <c r="CB181" s="10"/>
      <c r="CC181" s="20"/>
      <c r="CD181" s="20"/>
      <c r="CE181" s="20"/>
      <c r="CF181" s="20"/>
      <c r="CG181" s="10"/>
      <c r="CH181" s="10"/>
      <c r="CI181" s="10"/>
      <c r="CJ181" s="20"/>
      <c r="CK181" s="20"/>
      <c r="CL181" s="20"/>
      <c r="CM181" s="20"/>
      <c r="CN181" s="10"/>
      <c r="CO181" s="10"/>
      <c r="CP181" s="10"/>
      <c r="CQ181" s="20"/>
      <c r="CR181" s="20"/>
      <c r="CS181" s="20"/>
      <c r="CT181" s="20"/>
      <c r="CU181" s="10"/>
      <c r="CV181" s="10"/>
      <c r="CW181" s="10"/>
      <c r="CX181" s="20"/>
      <c r="CY181" s="20"/>
      <c r="CZ181" s="20"/>
      <c r="DA181" s="20"/>
      <c r="DB181" s="10"/>
      <c r="DC181" s="10"/>
      <c r="DD181" s="10"/>
      <c r="DE181" s="20"/>
      <c r="DF181" s="20"/>
      <c r="DG181" s="20"/>
      <c r="DH181" s="20"/>
      <c r="DI181" s="10"/>
      <c r="DJ181" s="10"/>
      <c r="DK181" s="10"/>
      <c r="DL181" s="20"/>
      <c r="DM181" s="20"/>
      <c r="DN181" s="20"/>
      <c r="DO181" s="20"/>
      <c r="DP181" s="10"/>
      <c r="DQ181" s="10"/>
      <c r="DR181" s="10"/>
      <c r="DS181" s="20"/>
      <c r="DT181" s="20"/>
      <c r="DU181" s="20"/>
      <c r="DV181" s="20"/>
      <c r="DW181" s="10"/>
      <c r="DX181" s="10"/>
      <c r="DY181" s="10"/>
      <c r="DZ181" s="20"/>
      <c r="EA181" s="20"/>
      <c r="EB181" s="20"/>
      <c r="EC181" s="20"/>
      <c r="ED181" s="10"/>
      <c r="EE181" s="10"/>
      <c r="EF181" s="10"/>
      <c r="EG181" s="20"/>
      <c r="EH181" s="20"/>
      <c r="EI181" s="20"/>
      <c r="EJ181" s="20"/>
      <c r="EK181" s="10"/>
      <c r="EL181" s="10"/>
      <c r="EM181" s="10"/>
      <c r="EN181" s="20"/>
      <c r="EO181" s="20"/>
      <c r="EP181" s="20"/>
      <c r="EQ181" s="20"/>
      <c r="ER181" s="10"/>
      <c r="ES181" s="10"/>
      <c r="ET181" s="10"/>
      <c r="EU181" s="20"/>
      <c r="EV181" s="20"/>
      <c r="EW181" s="20"/>
      <c r="EX181" s="20"/>
      <c r="EY181" s="10"/>
      <c r="EZ181" s="10"/>
      <c r="FA181" s="10"/>
      <c r="FB181" s="20"/>
      <c r="FC181" s="20"/>
      <c r="FD181" s="20"/>
      <c r="FE181" s="20"/>
      <c r="FF181" s="10"/>
      <c r="FG181" s="10"/>
      <c r="FH181" s="10"/>
      <c r="FI181" s="20"/>
      <c r="FJ181" s="20"/>
      <c r="FK181" s="20"/>
      <c r="FL181" s="20"/>
      <c r="FM181" s="10"/>
      <c r="FN181" s="10"/>
      <c r="FO181" s="10"/>
      <c r="FP181" s="20"/>
      <c r="FQ181" s="20"/>
      <c r="FR181" s="20"/>
      <c r="FS181" s="20"/>
      <c r="FT181" s="10"/>
      <c r="FU181" s="10"/>
      <c r="FV181" s="10"/>
      <c r="FW181" s="20"/>
      <c r="FX181" s="20"/>
      <c r="FY181" s="20"/>
      <c r="FZ181" s="20"/>
      <c r="GA181" s="10"/>
      <c r="GB181" s="10"/>
      <c r="GC181" s="10"/>
      <c r="GD181" s="20"/>
      <c r="GE181" s="20"/>
      <c r="GF181" s="20"/>
      <c r="GG181" s="20"/>
      <c r="GH181" s="10"/>
      <c r="GI181" s="10"/>
      <c r="GJ181" s="10"/>
      <c r="GK181" s="20"/>
      <c r="GL181" s="20"/>
      <c r="GM181" s="20"/>
      <c r="GN181" s="20"/>
      <c r="GO181" s="10"/>
      <c r="GP181" s="10"/>
      <c r="GQ181" s="10"/>
      <c r="GR181" s="20"/>
      <c r="GS181" s="20"/>
      <c r="GT181" s="20"/>
      <c r="GU181" s="20"/>
      <c r="GV181" s="10"/>
      <c r="GW181" s="10"/>
      <c r="GX181" s="10"/>
      <c r="GY181" s="20"/>
      <c r="GZ181" s="20"/>
      <c r="HA181" s="20"/>
      <c r="HB181" s="20"/>
      <c r="HC181" s="10"/>
      <c r="HD181" s="10"/>
      <c r="HE181" s="10"/>
      <c r="HF181" s="20"/>
      <c r="HG181" s="20"/>
      <c r="HH181" s="20"/>
      <c r="HI181" s="20"/>
      <c r="HJ181" s="10"/>
      <c r="HK181" s="10"/>
      <c r="HL181" s="10"/>
      <c r="HM181" s="20"/>
      <c r="HN181" s="20"/>
      <c r="HO181" s="20"/>
      <c r="HP181" s="20"/>
      <c r="HQ181" s="10"/>
      <c r="HR181" s="10"/>
      <c r="HS181" s="10"/>
      <c r="HT181" s="20"/>
      <c r="HU181" s="20"/>
      <c r="HV181" s="20"/>
      <c r="HW181" s="20"/>
      <c r="HX181" s="10"/>
      <c r="HY181" s="10"/>
      <c r="HZ181" s="10"/>
      <c r="IA181" s="20"/>
      <c r="IB181" s="20"/>
      <c r="IC181" s="20"/>
      <c r="ID181" s="20"/>
      <c r="IE181" s="10"/>
      <c r="IF181" s="10"/>
      <c r="IG181" s="10"/>
      <c r="IH181" s="20"/>
      <c r="II181" s="20"/>
      <c r="IJ181" s="20"/>
      <c r="IK181" s="20"/>
      <c r="IL181" s="10"/>
      <c r="IM181" s="10"/>
      <c r="IN181" s="10"/>
      <c r="IO181" s="20"/>
      <c r="IP181" s="20"/>
      <c r="IQ181" s="20"/>
      <c r="IR181" s="20"/>
      <c r="IS181" s="10"/>
      <c r="IT181" s="10"/>
      <c r="IU181" s="10"/>
      <c r="IV181" s="20"/>
      <c r="IW181" s="20"/>
      <c r="IX181" s="20"/>
      <c r="IY181" s="20"/>
      <c r="IZ181" s="10"/>
      <c r="JA181" s="10"/>
      <c r="JB181" s="10"/>
      <c r="JC181" s="20"/>
      <c r="JD181" s="20"/>
      <c r="JE181" s="20"/>
      <c r="JF181" s="20"/>
      <c r="JG181" s="10"/>
      <c r="JH181" s="10"/>
      <c r="JI181" s="10"/>
      <c r="JJ181" s="20"/>
      <c r="JK181" s="20"/>
      <c r="JL181" s="20"/>
      <c r="JM181" s="20"/>
      <c r="JN181" s="10"/>
      <c r="JO181" s="10"/>
      <c r="JP181" s="10"/>
      <c r="JQ181" s="20"/>
      <c r="JR181" s="20"/>
      <c r="JS181" s="20"/>
      <c r="JT181" s="20"/>
      <c r="JU181" s="10"/>
      <c r="JV181" s="10"/>
      <c r="JW181" s="10"/>
      <c r="JX181" s="20"/>
      <c r="JY181" s="20"/>
      <c r="JZ181" s="20"/>
      <c r="KA181" s="20"/>
      <c r="KB181" s="10"/>
      <c r="KC181" s="10"/>
      <c r="KD181" s="10"/>
      <c r="KE181" s="20"/>
      <c r="KF181" s="20"/>
      <c r="KG181" s="20"/>
      <c r="KH181" s="20"/>
      <c r="KI181" s="10"/>
      <c r="KJ181" s="10"/>
      <c r="KK181" s="10"/>
      <c r="KL181" s="20"/>
      <c r="KM181" s="20"/>
      <c r="KN181" s="20"/>
      <c r="KO181" s="20"/>
      <c r="KP181" s="10"/>
      <c r="KQ181" s="10"/>
      <c r="KR181" s="10"/>
      <c r="KS181" s="20"/>
      <c r="KT181" s="20"/>
      <c r="KU181" s="20"/>
      <c r="KV181" s="20"/>
      <c r="KW181" s="10"/>
      <c r="KX181" s="10"/>
      <c r="KY181" s="10"/>
      <c r="KZ181" s="20"/>
      <c r="LA181" s="20"/>
      <c r="LB181" s="20"/>
      <c r="LC181" s="20"/>
      <c r="LD181" s="10"/>
      <c r="LE181" s="10"/>
      <c r="LF181" s="10"/>
      <c r="LG181" s="20"/>
      <c r="LH181" s="20"/>
      <c r="LI181" s="20"/>
      <c r="LJ181" s="20"/>
      <c r="LK181" s="10"/>
      <c r="LL181" s="10"/>
      <c r="LM181" s="10"/>
      <c r="LN181" s="20"/>
      <c r="LO181" s="20"/>
      <c r="LP181" s="20"/>
      <c r="LQ181" s="20"/>
      <c r="LR181" s="10"/>
      <c r="LS181" s="10"/>
      <c r="LT181" s="10"/>
      <c r="LU181" s="20"/>
      <c r="LV181" s="20"/>
      <c r="LW181" s="20"/>
      <c r="LX181" s="20"/>
      <c r="LY181" s="10"/>
      <c r="LZ181" s="10"/>
      <c r="MA181" s="10"/>
      <c r="MB181" s="20"/>
      <c r="MC181" s="20"/>
      <c r="MD181" s="20"/>
      <c r="ME181" s="20"/>
      <c r="MF181" s="10"/>
      <c r="MG181" s="10"/>
      <c r="MH181" s="10"/>
      <c r="MI181" s="20"/>
      <c r="MJ181" s="20"/>
      <c r="MK181" s="20"/>
      <c r="ML181" s="20"/>
      <c r="MM181" s="10"/>
      <c r="MN181" s="10"/>
      <c r="MO181" s="10"/>
      <c r="MP181" s="20"/>
      <c r="MQ181" s="20"/>
      <c r="MR181" s="20"/>
      <c r="MS181" s="20"/>
      <c r="MT181" s="10"/>
      <c r="MU181" s="10"/>
      <c r="MV181" s="10"/>
      <c r="MW181" s="20"/>
      <c r="MX181" s="20"/>
      <c r="MY181" s="20"/>
      <c r="MZ181" s="20"/>
      <c r="NA181" s="10"/>
      <c r="NB181" s="10"/>
      <c r="NC181" s="10"/>
      <c r="ND181" s="20"/>
      <c r="NE181" s="20"/>
      <c r="NF181" s="20"/>
      <c r="NG181" s="20"/>
      <c r="NH181" s="10"/>
      <c r="NI181" s="10"/>
      <c r="NJ181" s="10"/>
      <c r="NK181" s="20"/>
      <c r="NL181" s="20"/>
      <c r="NM181" s="20"/>
      <c r="NN181" s="20"/>
      <c r="NO181" s="10"/>
      <c r="NP181" s="10"/>
      <c r="NQ181" s="10"/>
      <c r="NR181" s="20"/>
      <c r="NS181" s="20"/>
      <c r="NT181" s="20"/>
      <c r="NU181" s="20"/>
      <c r="NV181" s="10"/>
      <c r="NW181" s="10"/>
      <c r="NX181" s="10"/>
      <c r="NY181" s="20"/>
      <c r="NZ181" s="20"/>
      <c r="OA181" s="20"/>
      <c r="OB181" s="20"/>
      <c r="OC181" s="10"/>
      <c r="OD181" s="10"/>
      <c r="OE181" s="10"/>
      <c r="OF181" s="20"/>
      <c r="OG181" s="20"/>
      <c r="OH181" s="20"/>
      <c r="OI181" s="20"/>
      <c r="OJ181" s="10"/>
      <c r="OK181" s="10"/>
      <c r="OL181" s="10"/>
      <c r="OM181" s="20"/>
      <c r="ON181" s="20"/>
      <c r="OO181" s="20"/>
      <c r="OP181" s="20"/>
      <c r="OQ181" s="10"/>
      <c r="OR181" s="10"/>
      <c r="OS181" s="10"/>
      <c r="OT181" s="20"/>
      <c r="OU181" s="20"/>
      <c r="OV181" s="20"/>
      <c r="OW181" s="20"/>
      <c r="OX181" s="10"/>
      <c r="OY181" s="10"/>
      <c r="OZ181" s="10"/>
      <c r="PA181" s="20"/>
      <c r="PB181" s="20"/>
      <c r="PC181" s="20"/>
      <c r="PD181" s="20"/>
      <c r="PE181" s="10"/>
      <c r="PF181" s="10"/>
      <c r="PG181" s="10"/>
      <c r="PH181" s="20"/>
      <c r="PI181" s="20"/>
      <c r="PJ181" s="20"/>
      <c r="PK181" s="20"/>
      <c r="PL181" s="10"/>
      <c r="PM181" s="10"/>
    </row>
    <row r="182" spans="1:429" s="1" customFormat="1" ht="24" outlineLevel="1">
      <c r="B182" s="471"/>
      <c r="C182" s="7"/>
      <c r="D182" s="19"/>
      <c r="E182" s="19"/>
      <c r="F182" s="19"/>
      <c r="G182" s="19"/>
      <c r="I182" s="8"/>
      <c r="J182" s="7"/>
      <c r="K182" s="19"/>
      <c r="L182" s="19"/>
      <c r="M182" s="19"/>
      <c r="N182" s="19"/>
      <c r="P182" s="8"/>
      <c r="Q182" s="7"/>
      <c r="R182" s="19"/>
      <c r="S182" s="19"/>
      <c r="T182" s="19"/>
      <c r="U182" s="19"/>
      <c r="W182" s="8"/>
      <c r="X182" s="7"/>
      <c r="Y182" s="19"/>
      <c r="Z182" s="19"/>
      <c r="AA182" s="19"/>
      <c r="AB182" s="19"/>
      <c r="AD182" s="8"/>
      <c r="AE182" s="7"/>
      <c r="AF182" s="19"/>
      <c r="AG182" s="19"/>
      <c r="AH182" s="19"/>
      <c r="AI182" s="19"/>
      <c r="AK182" s="8"/>
      <c r="AL182" s="7"/>
      <c r="AM182" s="19"/>
      <c r="AN182" s="19"/>
      <c r="AO182" s="19"/>
      <c r="AP182" s="19"/>
      <c r="AR182" s="8"/>
      <c r="AS182" s="7"/>
      <c r="AT182" s="19"/>
      <c r="AU182" s="19"/>
      <c r="AV182" s="19"/>
      <c r="AW182" s="19"/>
      <c r="AY182" s="8"/>
      <c r="AZ182" s="7"/>
      <c r="BA182" s="19"/>
      <c r="BB182" s="19"/>
      <c r="BC182" s="19"/>
      <c r="BD182" s="19"/>
      <c r="BF182" s="8"/>
      <c r="BG182" s="7"/>
      <c r="BH182" s="19"/>
      <c r="BI182" s="19"/>
      <c r="BJ182" s="19"/>
      <c r="BK182" s="19"/>
      <c r="BM182" s="8"/>
      <c r="BN182" s="7"/>
      <c r="BO182" s="19"/>
      <c r="BP182" s="19"/>
      <c r="BQ182" s="19"/>
      <c r="BR182" s="19"/>
      <c r="BT182" s="8"/>
      <c r="BU182" s="7"/>
      <c r="BV182" s="19"/>
      <c r="BW182" s="19"/>
      <c r="BX182" s="19"/>
      <c r="BY182" s="19"/>
      <c r="CA182" s="8"/>
      <c r="CB182" s="7"/>
      <c r="CC182" s="19"/>
      <c r="CD182" s="19"/>
      <c r="CE182" s="19"/>
      <c r="CF182" s="19"/>
      <c r="CH182" s="8"/>
      <c r="CI182" s="7"/>
      <c r="CJ182" s="19"/>
      <c r="CK182" s="19"/>
      <c r="CL182" s="19"/>
      <c r="CM182" s="19"/>
      <c r="CO182" s="8"/>
      <c r="CP182" s="7"/>
      <c r="CQ182" s="19"/>
      <c r="CR182" s="19"/>
      <c r="CS182" s="19"/>
      <c r="CT182" s="19"/>
      <c r="CV182" s="8"/>
      <c r="CW182" s="7"/>
      <c r="CX182" s="19"/>
      <c r="CY182" s="19"/>
      <c r="CZ182" s="19"/>
      <c r="DA182" s="19"/>
      <c r="DC182" s="8"/>
      <c r="DD182" s="7"/>
      <c r="DE182" s="19"/>
      <c r="DF182" s="19"/>
      <c r="DG182" s="19"/>
      <c r="DH182" s="19"/>
      <c r="DJ182" s="8"/>
      <c r="DK182" s="7"/>
      <c r="DL182" s="19"/>
      <c r="DM182" s="19"/>
      <c r="DN182" s="19"/>
      <c r="DO182" s="19"/>
      <c r="DQ182" s="8"/>
      <c r="DR182" s="7"/>
      <c r="DS182" s="19"/>
      <c r="DT182" s="19"/>
      <c r="DU182" s="19"/>
      <c r="DV182" s="19"/>
      <c r="DX182" s="8"/>
      <c r="DY182" s="7"/>
      <c r="DZ182" s="19"/>
      <c r="EA182" s="19"/>
      <c r="EB182" s="19"/>
      <c r="EC182" s="19"/>
      <c r="EE182" s="8"/>
      <c r="EF182" s="7"/>
      <c r="EG182" s="19"/>
      <c r="EH182" s="19"/>
      <c r="EI182" s="19"/>
      <c r="EJ182" s="19"/>
      <c r="EL182" s="8"/>
      <c r="EM182" s="7"/>
      <c r="EN182" s="19"/>
      <c r="EO182" s="19"/>
      <c r="EP182" s="19"/>
      <c r="EQ182" s="19"/>
      <c r="ES182" s="8"/>
      <c r="ET182" s="7"/>
      <c r="EU182" s="19"/>
      <c r="EV182" s="19"/>
      <c r="EW182" s="19"/>
      <c r="EX182" s="19"/>
      <c r="EZ182" s="8"/>
      <c r="FA182" s="7"/>
      <c r="FB182" s="19"/>
      <c r="FC182" s="19"/>
      <c r="FD182" s="19"/>
      <c r="FE182" s="19"/>
      <c r="FG182" s="8"/>
      <c r="FH182" s="7"/>
      <c r="FI182" s="19"/>
      <c r="FJ182" s="19"/>
      <c r="FK182" s="19"/>
      <c r="FL182" s="19"/>
      <c r="FN182" s="8"/>
      <c r="FO182" s="7"/>
      <c r="FP182" s="19"/>
      <c r="FQ182" s="19"/>
      <c r="FR182" s="19"/>
      <c r="FS182" s="19"/>
      <c r="FU182" s="8"/>
      <c r="FV182" s="7"/>
      <c r="FW182" s="19"/>
      <c r="FX182" s="19"/>
      <c r="FY182" s="19"/>
      <c r="FZ182" s="19"/>
      <c r="GB182" s="8"/>
      <c r="GC182" s="7"/>
      <c r="GD182" s="19"/>
      <c r="GE182" s="19"/>
      <c r="GF182" s="19"/>
      <c r="GG182" s="19"/>
      <c r="GI182" s="8"/>
      <c r="GJ182" s="7"/>
      <c r="GK182" s="19"/>
      <c r="GL182" s="19"/>
      <c r="GM182" s="19"/>
      <c r="GN182" s="19"/>
      <c r="GP182" s="8"/>
      <c r="GQ182" s="7"/>
      <c r="GR182" s="19"/>
      <c r="GS182" s="19"/>
      <c r="GT182" s="19"/>
      <c r="GU182" s="19"/>
      <c r="GW182" s="8"/>
      <c r="GX182" s="7"/>
      <c r="GY182" s="19"/>
      <c r="GZ182" s="19"/>
      <c r="HA182" s="19"/>
      <c r="HB182" s="19"/>
      <c r="HD182" s="8"/>
      <c r="HE182" s="7"/>
      <c r="HF182" s="19"/>
      <c r="HG182" s="19"/>
      <c r="HH182" s="19"/>
      <c r="HI182" s="19"/>
      <c r="HK182" s="8"/>
      <c r="HL182" s="7"/>
      <c r="HM182" s="19"/>
      <c r="HN182" s="19"/>
      <c r="HO182" s="19"/>
      <c r="HP182" s="19"/>
      <c r="HR182" s="8"/>
      <c r="HS182" s="7"/>
      <c r="HT182" s="19"/>
      <c r="HU182" s="19"/>
      <c r="HV182" s="19"/>
      <c r="HW182" s="19"/>
      <c r="HY182" s="8"/>
      <c r="HZ182" s="7"/>
      <c r="IA182" s="19"/>
      <c r="IB182" s="19"/>
      <c r="IC182" s="19"/>
      <c r="ID182" s="19"/>
      <c r="IF182" s="8"/>
      <c r="IG182" s="7"/>
      <c r="IH182" s="19"/>
      <c r="II182" s="19"/>
      <c r="IJ182" s="19"/>
      <c r="IK182" s="19"/>
      <c r="IM182" s="8"/>
      <c r="IN182" s="7"/>
      <c r="IO182" s="19"/>
      <c r="IP182" s="19"/>
      <c r="IQ182" s="19"/>
      <c r="IR182" s="19"/>
      <c r="IT182" s="8"/>
      <c r="IU182" s="7"/>
      <c r="IV182" s="19"/>
      <c r="IW182" s="19"/>
      <c r="IX182" s="19"/>
      <c r="IY182" s="19"/>
      <c r="JA182" s="8"/>
      <c r="JB182" s="7"/>
      <c r="JC182" s="19"/>
      <c r="JD182" s="19"/>
      <c r="JE182" s="19"/>
      <c r="JF182" s="19"/>
      <c r="JH182" s="8"/>
      <c r="JI182" s="7"/>
      <c r="JJ182" s="19"/>
      <c r="JK182" s="19"/>
      <c r="JL182" s="19"/>
      <c r="JM182" s="19"/>
      <c r="JO182" s="8"/>
      <c r="JP182" s="7"/>
      <c r="JQ182" s="19"/>
      <c r="JR182" s="19"/>
      <c r="JS182" s="19"/>
      <c r="JT182" s="19"/>
      <c r="JV182" s="8"/>
      <c r="JW182" s="7"/>
      <c r="JX182" s="19"/>
      <c r="JY182" s="19"/>
      <c r="JZ182" s="19"/>
      <c r="KA182" s="19"/>
      <c r="KC182" s="8"/>
      <c r="KD182" s="7"/>
      <c r="KE182" s="19"/>
      <c r="KF182" s="19"/>
      <c r="KG182" s="19"/>
      <c r="KH182" s="19"/>
      <c r="KJ182" s="8"/>
      <c r="KK182" s="7"/>
      <c r="KL182" s="19"/>
      <c r="KM182" s="19"/>
      <c r="KN182" s="19"/>
      <c r="KO182" s="19"/>
      <c r="KQ182" s="8"/>
      <c r="KR182" s="7"/>
      <c r="KS182" s="19"/>
      <c r="KT182" s="19"/>
      <c r="KU182" s="19"/>
      <c r="KV182" s="19"/>
      <c r="KX182" s="8"/>
      <c r="KY182" s="7"/>
      <c r="KZ182" s="19"/>
      <c r="LA182" s="19"/>
      <c r="LB182" s="19"/>
      <c r="LC182" s="19"/>
      <c r="LE182" s="8"/>
      <c r="LF182" s="7"/>
      <c r="LG182" s="19"/>
      <c r="LH182" s="19"/>
      <c r="LI182" s="19"/>
      <c r="LJ182" s="19"/>
      <c r="LL182" s="8"/>
      <c r="LM182" s="7"/>
      <c r="LN182" s="19"/>
      <c r="LO182" s="19"/>
      <c r="LP182" s="19"/>
      <c r="LQ182" s="19"/>
      <c r="LS182" s="8"/>
      <c r="LT182" s="7"/>
      <c r="LU182" s="19"/>
      <c r="LV182" s="19"/>
      <c r="LW182" s="19"/>
      <c r="LX182" s="19"/>
      <c r="LZ182" s="8"/>
      <c r="MA182" s="7"/>
      <c r="MB182" s="19"/>
      <c r="MC182" s="19"/>
      <c r="MD182" s="19"/>
      <c r="ME182" s="19"/>
      <c r="MG182" s="8"/>
      <c r="MH182" s="7"/>
      <c r="MI182" s="19"/>
      <c r="MJ182" s="19"/>
      <c r="MK182" s="19"/>
      <c r="ML182" s="19"/>
      <c r="MN182" s="8"/>
      <c r="MO182" s="7"/>
      <c r="MP182" s="19"/>
      <c r="MQ182" s="19"/>
      <c r="MR182" s="19"/>
      <c r="MS182" s="19"/>
      <c r="MU182" s="8"/>
      <c r="MV182" s="7"/>
      <c r="MW182" s="19"/>
      <c r="MX182" s="19"/>
      <c r="MY182" s="19"/>
      <c r="MZ182" s="19"/>
      <c r="NB182" s="8"/>
      <c r="NC182" s="7"/>
      <c r="ND182" s="19"/>
      <c r="NE182" s="19"/>
      <c r="NF182" s="19"/>
      <c r="NG182" s="19"/>
      <c r="NI182" s="8"/>
      <c r="NJ182" s="7"/>
      <c r="NK182" s="19"/>
      <c r="NL182" s="19"/>
      <c r="NM182" s="19"/>
      <c r="NN182" s="19"/>
      <c r="NP182" s="8"/>
      <c r="NQ182" s="7"/>
      <c r="NR182" s="19"/>
      <c r="NS182" s="19"/>
      <c r="NT182" s="19"/>
      <c r="NU182" s="19"/>
      <c r="NW182" s="8"/>
      <c r="NX182" s="7"/>
      <c r="NY182" s="19"/>
      <c r="NZ182" s="19"/>
      <c r="OA182" s="19"/>
      <c r="OB182" s="19"/>
      <c r="OD182" s="8"/>
      <c r="OE182" s="7"/>
      <c r="OF182" s="19"/>
      <c r="OG182" s="19"/>
      <c r="OH182" s="19"/>
      <c r="OI182" s="19"/>
      <c r="OK182" s="8"/>
      <c r="OL182" s="7"/>
      <c r="OM182" s="19"/>
      <c r="ON182" s="19"/>
      <c r="OO182" s="19"/>
      <c r="OP182" s="19"/>
      <c r="OR182" s="8"/>
      <c r="OS182" s="7"/>
      <c r="OT182" s="19"/>
      <c r="OU182" s="19"/>
      <c r="OV182" s="19"/>
      <c r="OW182" s="19"/>
      <c r="OY182" s="8"/>
      <c r="OZ182" s="7"/>
      <c r="PA182" s="19"/>
      <c r="PB182" s="19"/>
      <c r="PC182" s="19"/>
      <c r="PD182" s="19"/>
      <c r="PF182" s="8"/>
      <c r="PG182" s="7"/>
      <c r="PH182" s="19"/>
      <c r="PI182" s="19"/>
      <c r="PJ182" s="19"/>
      <c r="PK182" s="19"/>
      <c r="PM182" s="8"/>
    </row>
    <row r="183" spans="1:429" s="1" customFormat="1" ht="24" outlineLevel="1">
      <c r="B183" s="471"/>
      <c r="C183" s="7"/>
      <c r="D183" s="19"/>
      <c r="E183" s="19"/>
      <c r="F183" s="19"/>
      <c r="G183" s="19"/>
      <c r="I183" s="8"/>
      <c r="J183" s="7"/>
      <c r="K183" s="19"/>
      <c r="L183" s="19"/>
      <c r="M183" s="19"/>
      <c r="N183" s="19"/>
      <c r="P183" s="8"/>
      <c r="Q183" s="7"/>
      <c r="R183" s="19"/>
      <c r="S183" s="19"/>
      <c r="T183" s="19"/>
      <c r="U183" s="19"/>
      <c r="W183" s="8"/>
      <c r="X183" s="7"/>
      <c r="Y183" s="19"/>
      <c r="Z183" s="19"/>
      <c r="AA183" s="19"/>
      <c r="AB183" s="19"/>
      <c r="AD183" s="8"/>
      <c r="AE183" s="7"/>
      <c r="AF183" s="19"/>
      <c r="AG183" s="19"/>
      <c r="AH183" s="19"/>
      <c r="AI183" s="19"/>
      <c r="AK183" s="8"/>
      <c r="AL183" s="7"/>
      <c r="AM183" s="19"/>
      <c r="AN183" s="19"/>
      <c r="AO183" s="19"/>
      <c r="AP183" s="19"/>
      <c r="AR183" s="8"/>
      <c r="AS183" s="7"/>
      <c r="AT183" s="19"/>
      <c r="AU183" s="19"/>
      <c r="AV183" s="19"/>
      <c r="AW183" s="19"/>
      <c r="AY183" s="8"/>
      <c r="AZ183" s="7"/>
      <c r="BA183" s="19"/>
      <c r="BB183" s="19"/>
      <c r="BC183" s="19"/>
      <c r="BD183" s="19"/>
      <c r="BF183" s="8"/>
      <c r="BG183" s="7"/>
      <c r="BH183" s="19"/>
      <c r="BI183" s="19"/>
      <c r="BJ183" s="19"/>
      <c r="BK183" s="19"/>
      <c r="BM183" s="8"/>
      <c r="BN183" s="7"/>
      <c r="BO183" s="19"/>
      <c r="BP183" s="19"/>
      <c r="BQ183" s="19"/>
      <c r="BR183" s="19"/>
      <c r="BT183" s="8"/>
      <c r="BU183" s="7"/>
      <c r="BV183" s="19"/>
      <c r="BW183" s="19"/>
      <c r="BX183" s="19"/>
      <c r="BY183" s="19"/>
      <c r="CA183" s="8"/>
      <c r="CB183" s="7"/>
      <c r="CC183" s="19"/>
      <c r="CD183" s="19"/>
      <c r="CE183" s="19"/>
      <c r="CF183" s="19"/>
      <c r="CH183" s="8"/>
      <c r="CI183" s="7"/>
      <c r="CJ183" s="19"/>
      <c r="CK183" s="19"/>
      <c r="CL183" s="19"/>
      <c r="CM183" s="19"/>
      <c r="CO183" s="8"/>
      <c r="CP183" s="7"/>
      <c r="CQ183" s="19"/>
      <c r="CR183" s="19"/>
      <c r="CS183" s="19"/>
      <c r="CT183" s="19"/>
      <c r="CV183" s="8"/>
      <c r="CW183" s="7"/>
      <c r="CX183" s="19"/>
      <c r="CY183" s="19"/>
      <c r="CZ183" s="19"/>
      <c r="DA183" s="19"/>
      <c r="DC183" s="8"/>
      <c r="DD183" s="7"/>
      <c r="DE183" s="19"/>
      <c r="DF183" s="19"/>
      <c r="DG183" s="19"/>
      <c r="DH183" s="19"/>
      <c r="DJ183" s="8"/>
      <c r="DK183" s="7"/>
      <c r="DL183" s="19"/>
      <c r="DM183" s="19"/>
      <c r="DN183" s="19"/>
      <c r="DO183" s="19"/>
      <c r="DQ183" s="8"/>
      <c r="DR183" s="7"/>
      <c r="DS183" s="19"/>
      <c r="DT183" s="19"/>
      <c r="DU183" s="19"/>
      <c r="DV183" s="19"/>
      <c r="DX183" s="8"/>
      <c r="DY183" s="7"/>
      <c r="DZ183" s="19"/>
      <c r="EA183" s="19"/>
      <c r="EB183" s="19"/>
      <c r="EC183" s="19"/>
      <c r="EE183" s="8"/>
      <c r="EF183" s="7"/>
      <c r="EG183" s="19"/>
      <c r="EH183" s="19"/>
      <c r="EI183" s="19"/>
      <c r="EJ183" s="19"/>
      <c r="EL183" s="8"/>
      <c r="EM183" s="7"/>
      <c r="EN183" s="19"/>
      <c r="EO183" s="19"/>
      <c r="EP183" s="19"/>
      <c r="EQ183" s="19"/>
      <c r="ES183" s="8"/>
      <c r="ET183" s="7"/>
      <c r="EU183" s="19"/>
      <c r="EV183" s="19"/>
      <c r="EW183" s="19"/>
      <c r="EX183" s="19"/>
      <c r="EZ183" s="8"/>
      <c r="FA183" s="7"/>
      <c r="FB183" s="19"/>
      <c r="FC183" s="19"/>
      <c r="FD183" s="19"/>
      <c r="FE183" s="19"/>
      <c r="FG183" s="8"/>
      <c r="FH183" s="7"/>
      <c r="FI183" s="19"/>
      <c r="FJ183" s="19"/>
      <c r="FK183" s="19"/>
      <c r="FL183" s="19"/>
      <c r="FN183" s="8"/>
      <c r="FO183" s="7"/>
      <c r="FP183" s="19"/>
      <c r="FQ183" s="19"/>
      <c r="FR183" s="19"/>
      <c r="FS183" s="19"/>
      <c r="FU183" s="8"/>
      <c r="FV183" s="7"/>
      <c r="FW183" s="19"/>
      <c r="FX183" s="19"/>
      <c r="FY183" s="19"/>
      <c r="FZ183" s="19"/>
      <c r="GB183" s="8"/>
      <c r="GC183" s="7"/>
      <c r="GD183" s="19"/>
      <c r="GE183" s="19"/>
      <c r="GF183" s="19"/>
      <c r="GG183" s="19"/>
      <c r="GI183" s="8"/>
      <c r="GJ183" s="7"/>
      <c r="GK183" s="19"/>
      <c r="GL183" s="19"/>
      <c r="GM183" s="19"/>
      <c r="GN183" s="19"/>
      <c r="GP183" s="8"/>
      <c r="GQ183" s="7"/>
      <c r="GR183" s="19"/>
      <c r="GS183" s="19"/>
      <c r="GT183" s="19"/>
      <c r="GU183" s="19"/>
      <c r="GW183" s="8"/>
      <c r="GX183" s="7"/>
      <c r="GY183" s="19"/>
      <c r="GZ183" s="19"/>
      <c r="HA183" s="19"/>
      <c r="HB183" s="19"/>
      <c r="HD183" s="8"/>
      <c r="HE183" s="7"/>
      <c r="HF183" s="19"/>
      <c r="HG183" s="19"/>
      <c r="HH183" s="19"/>
      <c r="HI183" s="19"/>
      <c r="HK183" s="8"/>
      <c r="HL183" s="7"/>
      <c r="HM183" s="19"/>
      <c r="HN183" s="19"/>
      <c r="HO183" s="19"/>
      <c r="HP183" s="19"/>
      <c r="HR183" s="8"/>
      <c r="HS183" s="7"/>
      <c r="HT183" s="19"/>
      <c r="HU183" s="19"/>
      <c r="HV183" s="19"/>
      <c r="HW183" s="19"/>
      <c r="HY183" s="8"/>
      <c r="HZ183" s="7"/>
      <c r="IA183" s="19"/>
      <c r="IB183" s="19"/>
      <c r="IC183" s="19"/>
      <c r="ID183" s="19"/>
      <c r="IF183" s="8"/>
      <c r="IG183" s="7"/>
      <c r="IH183" s="19"/>
      <c r="II183" s="19"/>
      <c r="IJ183" s="19"/>
      <c r="IK183" s="19"/>
      <c r="IM183" s="8"/>
      <c r="IN183" s="7"/>
      <c r="IO183" s="19"/>
      <c r="IP183" s="19"/>
      <c r="IQ183" s="19"/>
      <c r="IR183" s="19"/>
      <c r="IT183" s="8"/>
      <c r="IU183" s="7"/>
      <c r="IV183" s="19"/>
      <c r="IW183" s="19"/>
      <c r="IX183" s="19"/>
      <c r="IY183" s="19"/>
      <c r="JA183" s="8"/>
      <c r="JB183" s="7"/>
      <c r="JC183" s="19"/>
      <c r="JD183" s="19"/>
      <c r="JE183" s="19"/>
      <c r="JF183" s="19"/>
      <c r="JH183" s="8"/>
      <c r="JI183" s="7"/>
      <c r="JJ183" s="19"/>
      <c r="JK183" s="19"/>
      <c r="JL183" s="19"/>
      <c r="JM183" s="19"/>
      <c r="JO183" s="8"/>
      <c r="JP183" s="7"/>
      <c r="JQ183" s="19"/>
      <c r="JR183" s="19"/>
      <c r="JS183" s="19"/>
      <c r="JT183" s="19"/>
      <c r="JV183" s="8"/>
      <c r="JW183" s="7"/>
      <c r="JX183" s="19"/>
      <c r="JY183" s="19"/>
      <c r="JZ183" s="19"/>
      <c r="KA183" s="19"/>
      <c r="KC183" s="8"/>
      <c r="KD183" s="7"/>
      <c r="KE183" s="19"/>
      <c r="KF183" s="19"/>
      <c r="KG183" s="19"/>
      <c r="KH183" s="19"/>
      <c r="KJ183" s="8"/>
      <c r="KK183" s="7"/>
      <c r="KL183" s="19"/>
      <c r="KM183" s="19"/>
      <c r="KN183" s="19"/>
      <c r="KO183" s="19"/>
      <c r="KQ183" s="8"/>
      <c r="KR183" s="7"/>
      <c r="KS183" s="19"/>
      <c r="KT183" s="19"/>
      <c r="KU183" s="19"/>
      <c r="KV183" s="19"/>
      <c r="KX183" s="8"/>
      <c r="KY183" s="7"/>
      <c r="KZ183" s="19"/>
      <c r="LA183" s="19"/>
      <c r="LB183" s="19"/>
      <c r="LC183" s="19"/>
      <c r="LE183" s="8"/>
      <c r="LF183" s="7"/>
      <c r="LG183" s="19"/>
      <c r="LH183" s="19"/>
      <c r="LI183" s="19"/>
      <c r="LJ183" s="19"/>
      <c r="LL183" s="8"/>
      <c r="LM183" s="7"/>
      <c r="LN183" s="19"/>
      <c r="LO183" s="19"/>
      <c r="LP183" s="19"/>
      <c r="LQ183" s="19"/>
      <c r="LS183" s="8"/>
      <c r="LT183" s="7"/>
      <c r="LU183" s="19"/>
      <c r="LV183" s="19"/>
      <c r="LW183" s="19"/>
      <c r="LX183" s="19"/>
      <c r="LZ183" s="8"/>
      <c r="MA183" s="7"/>
      <c r="MB183" s="19"/>
      <c r="MC183" s="19"/>
      <c r="MD183" s="19"/>
      <c r="ME183" s="19"/>
      <c r="MG183" s="8"/>
      <c r="MH183" s="7"/>
      <c r="MI183" s="19"/>
      <c r="MJ183" s="19"/>
      <c r="MK183" s="19"/>
      <c r="ML183" s="19"/>
      <c r="MN183" s="8"/>
      <c r="MO183" s="7"/>
      <c r="MP183" s="19"/>
      <c r="MQ183" s="19"/>
      <c r="MR183" s="19"/>
      <c r="MS183" s="19"/>
      <c r="MU183" s="8"/>
      <c r="MV183" s="7"/>
      <c r="MW183" s="19"/>
      <c r="MX183" s="19"/>
      <c r="MY183" s="19"/>
      <c r="MZ183" s="19"/>
      <c r="NB183" s="8"/>
      <c r="NC183" s="7"/>
      <c r="ND183" s="19"/>
      <c r="NE183" s="19"/>
      <c r="NF183" s="19"/>
      <c r="NG183" s="19"/>
      <c r="NI183" s="8"/>
      <c r="NJ183" s="7"/>
      <c r="NK183" s="19"/>
      <c r="NL183" s="19"/>
      <c r="NM183" s="19"/>
      <c r="NN183" s="19"/>
      <c r="NP183" s="8"/>
      <c r="NQ183" s="7"/>
      <c r="NR183" s="19"/>
      <c r="NS183" s="19"/>
      <c r="NT183" s="19"/>
      <c r="NU183" s="19"/>
      <c r="NW183" s="8"/>
      <c r="NX183" s="7"/>
      <c r="NY183" s="19"/>
      <c r="NZ183" s="19"/>
      <c r="OA183" s="19"/>
      <c r="OB183" s="19"/>
      <c r="OD183" s="8"/>
      <c r="OE183" s="7"/>
      <c r="OF183" s="19"/>
      <c r="OG183" s="19"/>
      <c r="OH183" s="19"/>
      <c r="OI183" s="19"/>
      <c r="OK183" s="8"/>
      <c r="OL183" s="7"/>
      <c r="OM183" s="19"/>
      <c r="ON183" s="19"/>
      <c r="OO183" s="19"/>
      <c r="OP183" s="19"/>
      <c r="OR183" s="8"/>
      <c r="OS183" s="7"/>
      <c r="OT183" s="19"/>
      <c r="OU183" s="19"/>
      <c r="OV183" s="19"/>
      <c r="OW183" s="19"/>
      <c r="OY183" s="8"/>
      <c r="OZ183" s="7"/>
      <c r="PA183" s="19"/>
      <c r="PB183" s="19"/>
      <c r="PC183" s="19"/>
      <c r="PD183" s="19"/>
      <c r="PF183" s="8"/>
      <c r="PG183" s="7"/>
      <c r="PH183" s="19"/>
      <c r="PI183" s="19"/>
      <c r="PJ183" s="19"/>
      <c r="PK183" s="19"/>
      <c r="PM183" s="8"/>
    </row>
    <row r="184" spans="1:429" s="1" customFormat="1" ht="24" outlineLevel="1">
      <c r="B184" s="471"/>
      <c r="C184" s="7"/>
      <c r="D184" s="19"/>
      <c r="E184" s="19"/>
      <c r="F184" s="19"/>
      <c r="G184" s="19"/>
      <c r="I184" s="8"/>
      <c r="J184" s="7"/>
      <c r="K184" s="19"/>
      <c r="L184" s="19"/>
      <c r="M184" s="19"/>
      <c r="N184" s="19"/>
      <c r="P184" s="8"/>
      <c r="Q184" s="7"/>
      <c r="R184" s="19"/>
      <c r="S184" s="19"/>
      <c r="T184" s="19"/>
      <c r="U184" s="19"/>
      <c r="W184" s="8"/>
      <c r="X184" s="7"/>
      <c r="Y184" s="19"/>
      <c r="Z184" s="19"/>
      <c r="AA184" s="19"/>
      <c r="AB184" s="19"/>
      <c r="AD184" s="8"/>
      <c r="AE184" s="7"/>
      <c r="AF184" s="19"/>
      <c r="AG184" s="19"/>
      <c r="AH184" s="19"/>
      <c r="AI184" s="19"/>
      <c r="AK184" s="8"/>
      <c r="AL184" s="7"/>
      <c r="AM184" s="19"/>
      <c r="AN184" s="19"/>
      <c r="AO184" s="19"/>
      <c r="AP184" s="19"/>
      <c r="AR184" s="8"/>
      <c r="AS184" s="7"/>
      <c r="AT184" s="19"/>
      <c r="AU184" s="19"/>
      <c r="AV184" s="19"/>
      <c r="AW184" s="19"/>
      <c r="AY184" s="8"/>
      <c r="AZ184" s="7"/>
      <c r="BA184" s="19"/>
      <c r="BB184" s="19"/>
      <c r="BC184" s="19"/>
      <c r="BD184" s="19"/>
      <c r="BF184" s="8"/>
      <c r="BG184" s="7"/>
      <c r="BH184" s="19"/>
      <c r="BI184" s="19"/>
      <c r="BJ184" s="19"/>
      <c r="BK184" s="19"/>
      <c r="BM184" s="8"/>
      <c r="BN184" s="7"/>
      <c r="BO184" s="19"/>
      <c r="BP184" s="19"/>
      <c r="BQ184" s="19"/>
      <c r="BR184" s="19"/>
      <c r="BT184" s="8"/>
      <c r="BU184" s="7"/>
      <c r="BV184" s="19"/>
      <c r="BW184" s="19"/>
      <c r="BX184" s="19"/>
      <c r="BY184" s="19"/>
      <c r="CA184" s="8"/>
      <c r="CB184" s="7"/>
      <c r="CC184" s="19"/>
      <c r="CD184" s="19"/>
      <c r="CE184" s="19"/>
      <c r="CF184" s="19"/>
      <c r="CH184" s="8"/>
      <c r="CI184" s="7"/>
      <c r="CJ184" s="19"/>
      <c r="CK184" s="19"/>
      <c r="CL184" s="19"/>
      <c r="CM184" s="19"/>
      <c r="CO184" s="8"/>
      <c r="CP184" s="7"/>
      <c r="CQ184" s="19"/>
      <c r="CR184" s="19"/>
      <c r="CS184" s="19"/>
      <c r="CT184" s="19"/>
      <c r="CV184" s="8"/>
      <c r="CW184" s="7"/>
      <c r="CX184" s="19"/>
      <c r="CY184" s="19"/>
      <c r="CZ184" s="19"/>
      <c r="DA184" s="19"/>
      <c r="DC184" s="8"/>
      <c r="DD184" s="7"/>
      <c r="DE184" s="19"/>
      <c r="DF184" s="19"/>
      <c r="DG184" s="19"/>
      <c r="DH184" s="19"/>
      <c r="DJ184" s="8"/>
      <c r="DK184" s="7"/>
      <c r="DL184" s="19"/>
      <c r="DM184" s="19"/>
      <c r="DN184" s="19"/>
      <c r="DO184" s="19"/>
      <c r="DQ184" s="8"/>
      <c r="DR184" s="7"/>
      <c r="DS184" s="19"/>
      <c r="DT184" s="19"/>
      <c r="DU184" s="19"/>
      <c r="DV184" s="19"/>
      <c r="DX184" s="8"/>
      <c r="DY184" s="7"/>
      <c r="DZ184" s="19"/>
      <c r="EA184" s="19"/>
      <c r="EB184" s="19"/>
      <c r="EC184" s="19"/>
      <c r="EE184" s="8"/>
      <c r="EF184" s="7"/>
      <c r="EG184" s="19"/>
      <c r="EH184" s="19"/>
      <c r="EI184" s="19"/>
      <c r="EJ184" s="19"/>
      <c r="EL184" s="8"/>
      <c r="EM184" s="7"/>
      <c r="EN184" s="19"/>
      <c r="EO184" s="19"/>
      <c r="EP184" s="19"/>
      <c r="EQ184" s="19"/>
      <c r="ES184" s="8"/>
      <c r="ET184" s="7"/>
      <c r="EU184" s="19"/>
      <c r="EV184" s="19"/>
      <c r="EW184" s="19"/>
      <c r="EX184" s="19"/>
      <c r="EZ184" s="8"/>
      <c r="FA184" s="7"/>
      <c r="FB184" s="19"/>
      <c r="FC184" s="19"/>
      <c r="FD184" s="19"/>
      <c r="FE184" s="19"/>
      <c r="FG184" s="8"/>
      <c r="FH184" s="7"/>
      <c r="FI184" s="19"/>
      <c r="FJ184" s="19"/>
      <c r="FK184" s="19"/>
      <c r="FL184" s="19"/>
      <c r="FN184" s="8"/>
      <c r="FO184" s="7"/>
      <c r="FP184" s="19"/>
      <c r="FQ184" s="19"/>
      <c r="FR184" s="19"/>
      <c r="FS184" s="19"/>
      <c r="FU184" s="8"/>
      <c r="FV184" s="7"/>
      <c r="FW184" s="19"/>
      <c r="FX184" s="19"/>
      <c r="FY184" s="19"/>
      <c r="FZ184" s="19"/>
      <c r="GB184" s="8"/>
      <c r="GC184" s="7"/>
      <c r="GD184" s="19"/>
      <c r="GE184" s="19"/>
      <c r="GF184" s="19"/>
      <c r="GG184" s="19"/>
      <c r="GI184" s="8"/>
      <c r="GJ184" s="7"/>
      <c r="GK184" s="19"/>
      <c r="GL184" s="19"/>
      <c r="GM184" s="19"/>
      <c r="GN184" s="19"/>
      <c r="GP184" s="8"/>
      <c r="GQ184" s="7"/>
      <c r="GR184" s="19"/>
      <c r="GS184" s="19"/>
      <c r="GT184" s="19"/>
      <c r="GU184" s="19"/>
      <c r="GW184" s="8"/>
      <c r="GX184" s="7"/>
      <c r="GY184" s="19"/>
      <c r="GZ184" s="19"/>
      <c r="HA184" s="19"/>
      <c r="HB184" s="19"/>
      <c r="HD184" s="8"/>
      <c r="HE184" s="7"/>
      <c r="HF184" s="19"/>
      <c r="HG184" s="19"/>
      <c r="HH184" s="19"/>
      <c r="HI184" s="19"/>
      <c r="HK184" s="8"/>
      <c r="HL184" s="7"/>
      <c r="HM184" s="19"/>
      <c r="HN184" s="19"/>
      <c r="HO184" s="19"/>
      <c r="HP184" s="19"/>
      <c r="HR184" s="8"/>
      <c r="HS184" s="7"/>
      <c r="HT184" s="19"/>
      <c r="HU184" s="19"/>
      <c r="HV184" s="19"/>
      <c r="HW184" s="19"/>
      <c r="HY184" s="8"/>
      <c r="HZ184" s="7"/>
      <c r="IA184" s="19"/>
      <c r="IB184" s="19"/>
      <c r="IC184" s="19"/>
      <c r="ID184" s="19"/>
      <c r="IF184" s="8"/>
      <c r="IG184" s="7"/>
      <c r="IH184" s="19"/>
      <c r="II184" s="19"/>
      <c r="IJ184" s="19"/>
      <c r="IK184" s="19"/>
      <c r="IM184" s="8"/>
      <c r="IN184" s="7"/>
      <c r="IO184" s="19"/>
      <c r="IP184" s="19"/>
      <c r="IQ184" s="19"/>
      <c r="IR184" s="19"/>
      <c r="IT184" s="8"/>
      <c r="IU184" s="7"/>
      <c r="IV184" s="19"/>
      <c r="IW184" s="19"/>
      <c r="IX184" s="19"/>
      <c r="IY184" s="19"/>
      <c r="JA184" s="8"/>
      <c r="JB184" s="7"/>
      <c r="JC184" s="19"/>
      <c r="JD184" s="19"/>
      <c r="JE184" s="19"/>
      <c r="JF184" s="19"/>
      <c r="JH184" s="8"/>
      <c r="JI184" s="7"/>
      <c r="JJ184" s="19"/>
      <c r="JK184" s="19"/>
      <c r="JL184" s="19"/>
      <c r="JM184" s="19"/>
      <c r="JO184" s="8"/>
      <c r="JP184" s="7"/>
      <c r="JQ184" s="19"/>
      <c r="JR184" s="19"/>
      <c r="JS184" s="19"/>
      <c r="JT184" s="19"/>
      <c r="JV184" s="8"/>
      <c r="JW184" s="7"/>
      <c r="JX184" s="19"/>
      <c r="JY184" s="19"/>
      <c r="JZ184" s="19"/>
      <c r="KA184" s="19"/>
      <c r="KC184" s="8"/>
      <c r="KD184" s="7"/>
      <c r="KE184" s="19"/>
      <c r="KF184" s="19"/>
      <c r="KG184" s="19"/>
      <c r="KH184" s="19"/>
      <c r="KJ184" s="8"/>
      <c r="KK184" s="7"/>
      <c r="KL184" s="19"/>
      <c r="KM184" s="19"/>
      <c r="KN184" s="19"/>
      <c r="KO184" s="19"/>
      <c r="KQ184" s="8"/>
      <c r="KR184" s="7"/>
      <c r="KS184" s="19"/>
      <c r="KT184" s="19"/>
      <c r="KU184" s="19"/>
      <c r="KV184" s="19"/>
      <c r="KX184" s="8"/>
      <c r="KY184" s="7"/>
      <c r="KZ184" s="19"/>
      <c r="LA184" s="19"/>
      <c r="LB184" s="19"/>
      <c r="LC184" s="19"/>
      <c r="LE184" s="8"/>
      <c r="LF184" s="7"/>
      <c r="LG184" s="19"/>
      <c r="LH184" s="19"/>
      <c r="LI184" s="19"/>
      <c r="LJ184" s="19"/>
      <c r="LL184" s="8"/>
      <c r="LM184" s="7"/>
      <c r="LN184" s="19"/>
      <c r="LO184" s="19"/>
      <c r="LP184" s="19"/>
      <c r="LQ184" s="19"/>
      <c r="LS184" s="8"/>
      <c r="LT184" s="7"/>
      <c r="LU184" s="19"/>
      <c r="LV184" s="19"/>
      <c r="LW184" s="19"/>
      <c r="LX184" s="19"/>
      <c r="LZ184" s="8"/>
      <c r="MA184" s="7"/>
      <c r="MB184" s="19"/>
      <c r="MC184" s="19"/>
      <c r="MD184" s="19"/>
      <c r="ME184" s="19"/>
      <c r="MG184" s="8"/>
      <c r="MH184" s="7"/>
      <c r="MI184" s="19"/>
      <c r="MJ184" s="19"/>
      <c r="MK184" s="19"/>
      <c r="ML184" s="19"/>
      <c r="MN184" s="8"/>
      <c r="MO184" s="7"/>
      <c r="MP184" s="19"/>
      <c r="MQ184" s="19"/>
      <c r="MR184" s="19"/>
      <c r="MS184" s="19"/>
      <c r="MU184" s="8"/>
      <c r="MV184" s="7"/>
      <c r="MW184" s="19"/>
      <c r="MX184" s="19"/>
      <c r="MY184" s="19"/>
      <c r="MZ184" s="19"/>
      <c r="NB184" s="8"/>
      <c r="NC184" s="7"/>
      <c r="ND184" s="19"/>
      <c r="NE184" s="19"/>
      <c r="NF184" s="19"/>
      <c r="NG184" s="19"/>
      <c r="NI184" s="8"/>
      <c r="NJ184" s="7"/>
      <c r="NK184" s="19"/>
      <c r="NL184" s="19"/>
      <c r="NM184" s="19"/>
      <c r="NN184" s="19"/>
      <c r="NP184" s="8"/>
      <c r="NQ184" s="7"/>
      <c r="NR184" s="19"/>
      <c r="NS184" s="19"/>
      <c r="NT184" s="19"/>
      <c r="NU184" s="19"/>
      <c r="NW184" s="8"/>
      <c r="NX184" s="7"/>
      <c r="NY184" s="19"/>
      <c r="NZ184" s="19"/>
      <c r="OA184" s="19"/>
      <c r="OB184" s="19"/>
      <c r="OD184" s="8"/>
      <c r="OE184" s="7"/>
      <c r="OF184" s="19"/>
      <c r="OG184" s="19"/>
      <c r="OH184" s="19"/>
      <c r="OI184" s="19"/>
      <c r="OK184" s="8"/>
      <c r="OL184" s="7"/>
      <c r="OM184" s="19"/>
      <c r="ON184" s="19"/>
      <c r="OO184" s="19"/>
      <c r="OP184" s="19"/>
      <c r="OR184" s="8"/>
      <c r="OS184" s="7"/>
      <c r="OT184" s="19"/>
      <c r="OU184" s="19"/>
      <c r="OV184" s="19"/>
      <c r="OW184" s="19"/>
      <c r="OY184" s="8"/>
      <c r="OZ184" s="7"/>
      <c r="PA184" s="19"/>
      <c r="PB184" s="19"/>
      <c r="PC184" s="19"/>
      <c r="PD184" s="19"/>
      <c r="PF184" s="8"/>
      <c r="PG184" s="7"/>
      <c r="PH184" s="19"/>
      <c r="PI184" s="19"/>
      <c r="PJ184" s="19"/>
      <c r="PK184" s="19"/>
      <c r="PM184" s="8"/>
    </row>
    <row r="185" spans="1:429" s="475" customFormat="1" ht="19" customHeight="1">
      <c r="A185" s="6" t="s">
        <v>82</v>
      </c>
      <c r="B185" s="472"/>
      <c r="C185" s="10"/>
      <c r="D185" s="20"/>
      <c r="E185" s="20"/>
      <c r="F185" s="20"/>
      <c r="G185" s="20"/>
      <c r="H185" s="10"/>
      <c r="I185" s="10"/>
      <c r="J185" s="10"/>
      <c r="K185" s="20"/>
      <c r="L185" s="20"/>
      <c r="M185" s="20"/>
      <c r="N185" s="20"/>
      <c r="O185" s="10"/>
      <c r="P185" s="10"/>
      <c r="Q185" s="10"/>
      <c r="R185" s="20"/>
      <c r="S185" s="20"/>
      <c r="T185" s="20"/>
      <c r="U185" s="20"/>
      <c r="V185" s="10"/>
      <c r="W185" s="10"/>
      <c r="X185" s="10"/>
      <c r="Y185" s="20"/>
      <c r="Z185" s="20"/>
      <c r="AA185" s="20"/>
      <c r="AB185" s="20"/>
      <c r="AC185" s="10"/>
      <c r="AD185" s="10"/>
      <c r="AE185" s="10"/>
      <c r="AF185" s="20"/>
      <c r="AG185" s="20"/>
      <c r="AH185" s="20"/>
      <c r="AI185" s="20"/>
      <c r="AJ185" s="10"/>
      <c r="AK185" s="10"/>
      <c r="AL185" s="10"/>
      <c r="AM185" s="20"/>
      <c r="AN185" s="20"/>
      <c r="AO185" s="20"/>
      <c r="AP185" s="20"/>
      <c r="AQ185" s="10"/>
      <c r="AR185" s="10"/>
      <c r="AS185" s="10"/>
      <c r="AT185" s="20"/>
      <c r="AU185" s="20"/>
      <c r="AV185" s="20"/>
      <c r="AW185" s="20"/>
      <c r="AX185" s="10"/>
      <c r="AY185" s="10"/>
      <c r="AZ185" s="10"/>
      <c r="BA185" s="20"/>
      <c r="BB185" s="20"/>
      <c r="BC185" s="20"/>
      <c r="BD185" s="20"/>
      <c r="BE185" s="10"/>
      <c r="BF185" s="10"/>
      <c r="BG185" s="10"/>
      <c r="BH185" s="20"/>
      <c r="BI185" s="20"/>
      <c r="BJ185" s="20"/>
      <c r="BK185" s="20"/>
      <c r="BL185" s="10"/>
      <c r="BM185" s="10"/>
      <c r="BN185" s="10"/>
      <c r="BO185" s="20"/>
      <c r="BP185" s="20"/>
      <c r="BQ185" s="20"/>
      <c r="BR185" s="20"/>
      <c r="BS185" s="10"/>
      <c r="BT185" s="10"/>
      <c r="BU185" s="10"/>
      <c r="BV185" s="20"/>
      <c r="BW185" s="20"/>
      <c r="BX185" s="20"/>
      <c r="BY185" s="20"/>
      <c r="BZ185" s="10"/>
      <c r="CA185" s="10"/>
      <c r="CB185" s="10"/>
      <c r="CC185" s="20"/>
      <c r="CD185" s="20"/>
      <c r="CE185" s="20"/>
      <c r="CF185" s="20"/>
      <c r="CG185" s="10"/>
      <c r="CH185" s="10"/>
      <c r="CI185" s="10"/>
      <c r="CJ185" s="20"/>
      <c r="CK185" s="20"/>
      <c r="CL185" s="20"/>
      <c r="CM185" s="20"/>
      <c r="CN185" s="10"/>
      <c r="CO185" s="10"/>
      <c r="CP185" s="10"/>
      <c r="CQ185" s="20"/>
      <c r="CR185" s="20"/>
      <c r="CS185" s="20"/>
      <c r="CT185" s="20"/>
      <c r="CU185" s="10"/>
      <c r="CV185" s="10"/>
      <c r="CW185" s="10"/>
      <c r="CX185" s="20"/>
      <c r="CY185" s="20"/>
      <c r="CZ185" s="20"/>
      <c r="DA185" s="20"/>
      <c r="DB185" s="10"/>
      <c r="DC185" s="10"/>
      <c r="DD185" s="10"/>
      <c r="DE185" s="20"/>
      <c r="DF185" s="20"/>
      <c r="DG185" s="20"/>
      <c r="DH185" s="20"/>
      <c r="DI185" s="10"/>
      <c r="DJ185" s="10"/>
      <c r="DK185" s="10"/>
      <c r="DL185" s="20"/>
      <c r="DM185" s="20"/>
      <c r="DN185" s="20"/>
      <c r="DO185" s="20"/>
      <c r="DP185" s="10"/>
      <c r="DQ185" s="10"/>
      <c r="DR185" s="10"/>
      <c r="DS185" s="20"/>
      <c r="DT185" s="20"/>
      <c r="DU185" s="20"/>
      <c r="DV185" s="20"/>
      <c r="DW185" s="10"/>
      <c r="DX185" s="10"/>
      <c r="DY185" s="10"/>
      <c r="DZ185" s="20"/>
      <c r="EA185" s="20"/>
      <c r="EB185" s="20"/>
      <c r="EC185" s="20"/>
      <c r="ED185" s="10"/>
      <c r="EE185" s="10"/>
      <c r="EF185" s="10"/>
      <c r="EG185" s="20"/>
      <c r="EH185" s="20"/>
      <c r="EI185" s="20"/>
      <c r="EJ185" s="20"/>
      <c r="EK185" s="10"/>
      <c r="EL185" s="10"/>
      <c r="EM185" s="10"/>
      <c r="EN185" s="20"/>
      <c r="EO185" s="20"/>
      <c r="EP185" s="20"/>
      <c r="EQ185" s="20"/>
      <c r="ER185" s="10"/>
      <c r="ES185" s="10"/>
      <c r="ET185" s="10"/>
      <c r="EU185" s="20"/>
      <c r="EV185" s="20"/>
      <c r="EW185" s="20"/>
      <c r="EX185" s="20"/>
      <c r="EY185" s="10"/>
      <c r="EZ185" s="10"/>
      <c r="FA185" s="10"/>
      <c r="FB185" s="20"/>
      <c r="FC185" s="20"/>
      <c r="FD185" s="20"/>
      <c r="FE185" s="20"/>
      <c r="FF185" s="10"/>
      <c r="FG185" s="10"/>
      <c r="FH185" s="10"/>
      <c r="FI185" s="20"/>
      <c r="FJ185" s="20"/>
      <c r="FK185" s="20"/>
      <c r="FL185" s="20"/>
      <c r="FM185" s="10"/>
      <c r="FN185" s="10"/>
      <c r="FO185" s="10"/>
      <c r="FP185" s="20"/>
      <c r="FQ185" s="20"/>
      <c r="FR185" s="20"/>
      <c r="FS185" s="20"/>
      <c r="FT185" s="10"/>
      <c r="FU185" s="10"/>
      <c r="FV185" s="10"/>
      <c r="FW185" s="20"/>
      <c r="FX185" s="20"/>
      <c r="FY185" s="20"/>
      <c r="FZ185" s="20"/>
      <c r="GA185" s="10"/>
      <c r="GB185" s="10"/>
      <c r="GC185" s="10"/>
      <c r="GD185" s="20"/>
      <c r="GE185" s="20"/>
      <c r="GF185" s="20"/>
      <c r="GG185" s="20"/>
      <c r="GH185" s="10"/>
      <c r="GI185" s="10"/>
      <c r="GJ185" s="10"/>
      <c r="GK185" s="20"/>
      <c r="GL185" s="20"/>
      <c r="GM185" s="20"/>
      <c r="GN185" s="20"/>
      <c r="GO185" s="10"/>
      <c r="GP185" s="10"/>
      <c r="GQ185" s="10"/>
      <c r="GR185" s="20"/>
      <c r="GS185" s="20"/>
      <c r="GT185" s="20"/>
      <c r="GU185" s="20"/>
      <c r="GV185" s="10"/>
      <c r="GW185" s="10"/>
      <c r="GX185" s="10"/>
      <c r="GY185" s="20"/>
      <c r="GZ185" s="20"/>
      <c r="HA185" s="20"/>
      <c r="HB185" s="20"/>
      <c r="HC185" s="10"/>
      <c r="HD185" s="10"/>
      <c r="HE185" s="10"/>
      <c r="HF185" s="20"/>
      <c r="HG185" s="20"/>
      <c r="HH185" s="20"/>
      <c r="HI185" s="20"/>
      <c r="HJ185" s="10"/>
      <c r="HK185" s="10"/>
      <c r="HL185" s="10"/>
      <c r="HM185" s="20"/>
      <c r="HN185" s="20"/>
      <c r="HO185" s="20"/>
      <c r="HP185" s="20"/>
      <c r="HQ185" s="10"/>
      <c r="HR185" s="10"/>
      <c r="HS185" s="10"/>
      <c r="HT185" s="20"/>
      <c r="HU185" s="20"/>
      <c r="HV185" s="20"/>
      <c r="HW185" s="20"/>
      <c r="HX185" s="10"/>
      <c r="HY185" s="10"/>
      <c r="HZ185" s="10"/>
      <c r="IA185" s="20"/>
      <c r="IB185" s="20"/>
      <c r="IC185" s="20"/>
      <c r="ID185" s="20"/>
      <c r="IE185" s="10"/>
      <c r="IF185" s="10"/>
      <c r="IG185" s="10"/>
      <c r="IH185" s="20"/>
      <c r="II185" s="20"/>
      <c r="IJ185" s="20"/>
      <c r="IK185" s="20"/>
      <c r="IL185" s="10"/>
      <c r="IM185" s="10"/>
      <c r="IN185" s="10"/>
      <c r="IO185" s="20"/>
      <c r="IP185" s="20"/>
      <c r="IQ185" s="20"/>
      <c r="IR185" s="20"/>
      <c r="IS185" s="10"/>
      <c r="IT185" s="10"/>
      <c r="IU185" s="10"/>
      <c r="IV185" s="20"/>
      <c r="IW185" s="20"/>
      <c r="IX185" s="20"/>
      <c r="IY185" s="20"/>
      <c r="IZ185" s="10"/>
      <c r="JA185" s="10"/>
      <c r="JB185" s="10"/>
      <c r="JC185" s="20"/>
      <c r="JD185" s="20"/>
      <c r="JE185" s="20"/>
      <c r="JF185" s="20"/>
      <c r="JG185" s="10"/>
      <c r="JH185" s="10"/>
      <c r="JI185" s="10"/>
      <c r="JJ185" s="20"/>
      <c r="JK185" s="20"/>
      <c r="JL185" s="20"/>
      <c r="JM185" s="20"/>
      <c r="JN185" s="10"/>
      <c r="JO185" s="10"/>
      <c r="JP185" s="10"/>
      <c r="JQ185" s="20"/>
      <c r="JR185" s="20"/>
      <c r="JS185" s="20"/>
      <c r="JT185" s="20"/>
      <c r="JU185" s="10"/>
      <c r="JV185" s="10"/>
      <c r="JW185" s="10"/>
      <c r="JX185" s="20"/>
      <c r="JY185" s="20"/>
      <c r="JZ185" s="20"/>
      <c r="KA185" s="20"/>
      <c r="KB185" s="10"/>
      <c r="KC185" s="10"/>
      <c r="KD185" s="10"/>
      <c r="KE185" s="20"/>
      <c r="KF185" s="20"/>
      <c r="KG185" s="20"/>
      <c r="KH185" s="20"/>
      <c r="KI185" s="10"/>
      <c r="KJ185" s="10"/>
      <c r="KK185" s="10"/>
      <c r="KL185" s="20"/>
      <c r="KM185" s="20"/>
      <c r="KN185" s="20"/>
      <c r="KO185" s="20"/>
      <c r="KP185" s="10"/>
      <c r="KQ185" s="10"/>
      <c r="KR185" s="10"/>
      <c r="KS185" s="20"/>
      <c r="KT185" s="20"/>
      <c r="KU185" s="20"/>
      <c r="KV185" s="20"/>
      <c r="KW185" s="10"/>
      <c r="KX185" s="10"/>
      <c r="KY185" s="10"/>
      <c r="KZ185" s="20"/>
      <c r="LA185" s="20"/>
      <c r="LB185" s="20"/>
      <c r="LC185" s="20"/>
      <c r="LD185" s="10"/>
      <c r="LE185" s="10"/>
      <c r="LF185" s="10"/>
      <c r="LG185" s="20"/>
      <c r="LH185" s="20"/>
      <c r="LI185" s="20"/>
      <c r="LJ185" s="20"/>
      <c r="LK185" s="10"/>
      <c r="LL185" s="10"/>
      <c r="LM185" s="10"/>
      <c r="LN185" s="20"/>
      <c r="LO185" s="20"/>
      <c r="LP185" s="20"/>
      <c r="LQ185" s="20"/>
      <c r="LR185" s="10"/>
      <c r="LS185" s="10"/>
      <c r="LT185" s="10"/>
      <c r="LU185" s="20"/>
      <c r="LV185" s="20"/>
      <c r="LW185" s="20"/>
      <c r="LX185" s="20"/>
      <c r="LY185" s="10"/>
      <c r="LZ185" s="10"/>
      <c r="MA185" s="10"/>
      <c r="MB185" s="20"/>
      <c r="MC185" s="20"/>
      <c r="MD185" s="20"/>
      <c r="ME185" s="20"/>
      <c r="MF185" s="10"/>
      <c r="MG185" s="10"/>
      <c r="MH185" s="10"/>
      <c r="MI185" s="20"/>
      <c r="MJ185" s="20"/>
      <c r="MK185" s="20"/>
      <c r="ML185" s="20"/>
      <c r="MM185" s="10"/>
      <c r="MN185" s="10"/>
      <c r="MO185" s="10"/>
      <c r="MP185" s="20"/>
      <c r="MQ185" s="20"/>
      <c r="MR185" s="20"/>
      <c r="MS185" s="20"/>
      <c r="MT185" s="10"/>
      <c r="MU185" s="10"/>
      <c r="MV185" s="10"/>
      <c r="MW185" s="20"/>
      <c r="MX185" s="20"/>
      <c r="MY185" s="20"/>
      <c r="MZ185" s="20"/>
      <c r="NA185" s="10"/>
      <c r="NB185" s="10"/>
      <c r="NC185" s="10"/>
      <c r="ND185" s="20"/>
      <c r="NE185" s="20"/>
      <c r="NF185" s="20"/>
      <c r="NG185" s="20"/>
      <c r="NH185" s="10"/>
      <c r="NI185" s="10"/>
      <c r="NJ185" s="10"/>
      <c r="NK185" s="20"/>
      <c r="NL185" s="20"/>
      <c r="NM185" s="20"/>
      <c r="NN185" s="20"/>
      <c r="NO185" s="10"/>
      <c r="NP185" s="10"/>
      <c r="NQ185" s="10"/>
      <c r="NR185" s="20"/>
      <c r="NS185" s="20"/>
      <c r="NT185" s="20"/>
      <c r="NU185" s="20"/>
      <c r="NV185" s="10"/>
      <c r="NW185" s="10"/>
      <c r="NX185" s="10"/>
      <c r="NY185" s="20"/>
      <c r="NZ185" s="20"/>
      <c r="OA185" s="20"/>
      <c r="OB185" s="20"/>
      <c r="OC185" s="10"/>
      <c r="OD185" s="10"/>
      <c r="OE185" s="10"/>
      <c r="OF185" s="20"/>
      <c r="OG185" s="20"/>
      <c r="OH185" s="20"/>
      <c r="OI185" s="20"/>
      <c r="OJ185" s="10"/>
      <c r="OK185" s="10"/>
      <c r="OL185" s="10"/>
      <c r="OM185" s="20"/>
      <c r="ON185" s="20"/>
      <c r="OO185" s="20"/>
      <c r="OP185" s="20"/>
      <c r="OQ185" s="10"/>
      <c r="OR185" s="10"/>
      <c r="OS185" s="10"/>
      <c r="OT185" s="20"/>
      <c r="OU185" s="20"/>
      <c r="OV185" s="20"/>
      <c r="OW185" s="20"/>
      <c r="OX185" s="10"/>
      <c r="OY185" s="10"/>
      <c r="OZ185" s="10"/>
      <c r="PA185" s="20"/>
      <c r="PB185" s="20"/>
      <c r="PC185" s="20"/>
      <c r="PD185" s="20"/>
      <c r="PE185" s="10"/>
      <c r="PF185" s="10"/>
      <c r="PG185" s="10"/>
      <c r="PH185" s="20"/>
      <c r="PI185" s="20"/>
      <c r="PJ185" s="20"/>
      <c r="PK185" s="20"/>
      <c r="PL185" s="10"/>
      <c r="PM185" s="10"/>
    </row>
    <row r="186" spans="1:429" s="1" customFormat="1" ht="24" outlineLevel="1">
      <c r="B186" s="471"/>
      <c r="C186" s="7"/>
      <c r="D186" s="19"/>
      <c r="E186" s="19"/>
      <c r="F186" s="19"/>
      <c r="G186" s="19"/>
      <c r="I186" s="8"/>
      <c r="J186" s="7"/>
      <c r="K186" s="19"/>
      <c r="L186" s="19"/>
      <c r="M186" s="19"/>
      <c r="N186" s="19"/>
      <c r="P186" s="8"/>
      <c r="Q186" s="7"/>
      <c r="R186" s="19"/>
      <c r="S186" s="19"/>
      <c r="T186" s="19"/>
      <c r="U186" s="19"/>
      <c r="W186" s="8"/>
      <c r="X186" s="7"/>
      <c r="Y186" s="19"/>
      <c r="Z186" s="19"/>
      <c r="AA186" s="19"/>
      <c r="AB186" s="19"/>
      <c r="AD186" s="8"/>
      <c r="AE186" s="7"/>
      <c r="AF186" s="19"/>
      <c r="AG186" s="19"/>
      <c r="AH186" s="19"/>
      <c r="AI186" s="19"/>
      <c r="AK186" s="8"/>
      <c r="AL186" s="7"/>
      <c r="AM186" s="19"/>
      <c r="AN186" s="19"/>
      <c r="AO186" s="19"/>
      <c r="AP186" s="19"/>
      <c r="AR186" s="8"/>
      <c r="AS186" s="7"/>
      <c r="AT186" s="19"/>
      <c r="AU186" s="19"/>
      <c r="AV186" s="19"/>
      <c r="AW186" s="19"/>
      <c r="AY186" s="8"/>
      <c r="AZ186" s="7"/>
      <c r="BA186" s="19"/>
      <c r="BB186" s="19"/>
      <c r="BC186" s="19"/>
      <c r="BD186" s="19"/>
      <c r="BF186" s="8"/>
      <c r="BG186" s="7"/>
      <c r="BH186" s="19"/>
      <c r="BI186" s="19"/>
      <c r="BJ186" s="19"/>
      <c r="BK186" s="19"/>
      <c r="BM186" s="8"/>
      <c r="BN186" s="7"/>
      <c r="BO186" s="19"/>
      <c r="BP186" s="19"/>
      <c r="BQ186" s="19"/>
      <c r="BR186" s="19"/>
      <c r="BT186" s="8"/>
      <c r="BU186" s="7"/>
      <c r="BV186" s="19"/>
      <c r="BW186" s="19"/>
      <c r="BX186" s="19"/>
      <c r="BY186" s="19"/>
      <c r="CA186" s="8"/>
      <c r="CB186" s="7"/>
      <c r="CC186" s="19"/>
      <c r="CD186" s="19"/>
      <c r="CE186" s="19"/>
      <c r="CF186" s="19"/>
      <c r="CH186" s="8"/>
      <c r="CI186" s="7"/>
      <c r="CJ186" s="19"/>
      <c r="CK186" s="19"/>
      <c r="CL186" s="19"/>
      <c r="CM186" s="19"/>
      <c r="CO186" s="8"/>
      <c r="CP186" s="7"/>
      <c r="CQ186" s="19"/>
      <c r="CR186" s="19"/>
      <c r="CS186" s="19"/>
      <c r="CT186" s="19"/>
      <c r="CV186" s="8"/>
      <c r="CW186" s="7"/>
      <c r="CX186" s="19"/>
      <c r="CY186" s="19"/>
      <c r="CZ186" s="19"/>
      <c r="DA186" s="19"/>
      <c r="DC186" s="8"/>
      <c r="DD186" s="7"/>
      <c r="DE186" s="19"/>
      <c r="DF186" s="19"/>
      <c r="DG186" s="19"/>
      <c r="DH186" s="19"/>
      <c r="DJ186" s="8"/>
      <c r="DK186" s="7"/>
      <c r="DL186" s="19"/>
      <c r="DM186" s="19"/>
      <c r="DN186" s="19"/>
      <c r="DO186" s="19"/>
      <c r="DQ186" s="8"/>
      <c r="DR186" s="7"/>
      <c r="DS186" s="19"/>
      <c r="DT186" s="19"/>
      <c r="DU186" s="19"/>
      <c r="DV186" s="19"/>
      <c r="DX186" s="8"/>
      <c r="DY186" s="7"/>
      <c r="DZ186" s="19"/>
      <c r="EA186" s="19"/>
      <c r="EB186" s="19"/>
      <c r="EC186" s="19"/>
      <c r="EE186" s="8"/>
      <c r="EF186" s="7"/>
      <c r="EG186" s="19"/>
      <c r="EH186" s="19"/>
      <c r="EI186" s="19"/>
      <c r="EJ186" s="19"/>
      <c r="EL186" s="8"/>
      <c r="EM186" s="7"/>
      <c r="EN186" s="19"/>
      <c r="EO186" s="19"/>
      <c r="EP186" s="19"/>
      <c r="EQ186" s="19"/>
      <c r="ES186" s="8"/>
      <c r="ET186" s="7"/>
      <c r="EU186" s="19"/>
      <c r="EV186" s="19"/>
      <c r="EW186" s="19"/>
      <c r="EX186" s="19"/>
      <c r="EZ186" s="8"/>
      <c r="FA186" s="7"/>
      <c r="FB186" s="19"/>
      <c r="FC186" s="19"/>
      <c r="FD186" s="19"/>
      <c r="FE186" s="19"/>
      <c r="FG186" s="8"/>
      <c r="FH186" s="7"/>
      <c r="FI186" s="19"/>
      <c r="FJ186" s="19"/>
      <c r="FK186" s="19"/>
      <c r="FL186" s="19"/>
      <c r="FN186" s="8"/>
      <c r="FO186" s="7"/>
      <c r="FP186" s="19"/>
      <c r="FQ186" s="19"/>
      <c r="FR186" s="19"/>
      <c r="FS186" s="19"/>
      <c r="FU186" s="8"/>
      <c r="FV186" s="7"/>
      <c r="FW186" s="19"/>
      <c r="FX186" s="19"/>
      <c r="FY186" s="19"/>
      <c r="FZ186" s="19"/>
      <c r="GB186" s="8"/>
      <c r="GC186" s="7"/>
      <c r="GD186" s="19"/>
      <c r="GE186" s="19"/>
      <c r="GF186" s="19"/>
      <c r="GG186" s="19"/>
      <c r="GI186" s="8"/>
      <c r="GJ186" s="7"/>
      <c r="GK186" s="19"/>
      <c r="GL186" s="19"/>
      <c r="GM186" s="19"/>
      <c r="GN186" s="19"/>
      <c r="GP186" s="8"/>
      <c r="GQ186" s="7"/>
      <c r="GR186" s="19"/>
      <c r="GS186" s="19"/>
      <c r="GT186" s="19"/>
      <c r="GU186" s="19"/>
      <c r="GW186" s="8"/>
      <c r="GX186" s="7"/>
      <c r="GY186" s="19"/>
      <c r="GZ186" s="19"/>
      <c r="HA186" s="19"/>
      <c r="HB186" s="19"/>
      <c r="HD186" s="8"/>
      <c r="HE186" s="7"/>
      <c r="HF186" s="19"/>
      <c r="HG186" s="19"/>
      <c r="HH186" s="19"/>
      <c r="HI186" s="19"/>
      <c r="HK186" s="8"/>
      <c r="HL186" s="7"/>
      <c r="HM186" s="19"/>
      <c r="HN186" s="19"/>
      <c r="HO186" s="19"/>
      <c r="HP186" s="19"/>
      <c r="HR186" s="8"/>
      <c r="HS186" s="7"/>
      <c r="HT186" s="19"/>
      <c r="HU186" s="19"/>
      <c r="HV186" s="19"/>
      <c r="HW186" s="19"/>
      <c r="HY186" s="8"/>
      <c r="HZ186" s="7"/>
      <c r="IA186" s="19"/>
      <c r="IB186" s="19"/>
      <c r="IC186" s="19"/>
      <c r="ID186" s="19"/>
      <c r="IF186" s="8"/>
      <c r="IG186" s="7"/>
      <c r="IH186" s="19"/>
      <c r="II186" s="19"/>
      <c r="IJ186" s="19"/>
      <c r="IK186" s="19"/>
      <c r="IM186" s="8"/>
      <c r="IN186" s="7"/>
      <c r="IO186" s="19"/>
      <c r="IP186" s="19"/>
      <c r="IQ186" s="19"/>
      <c r="IR186" s="19"/>
      <c r="IT186" s="8"/>
      <c r="IU186" s="7"/>
      <c r="IV186" s="19"/>
      <c r="IW186" s="19"/>
      <c r="IX186" s="19"/>
      <c r="IY186" s="19"/>
      <c r="JA186" s="8"/>
      <c r="JB186" s="7"/>
      <c r="JC186" s="19"/>
      <c r="JD186" s="19"/>
      <c r="JE186" s="19"/>
      <c r="JF186" s="19"/>
      <c r="JH186" s="8"/>
      <c r="JI186" s="7"/>
      <c r="JJ186" s="19"/>
      <c r="JK186" s="19"/>
      <c r="JL186" s="19"/>
      <c r="JM186" s="19"/>
      <c r="JO186" s="8"/>
      <c r="JP186" s="7"/>
      <c r="JQ186" s="19"/>
      <c r="JR186" s="19"/>
      <c r="JS186" s="19"/>
      <c r="JT186" s="19"/>
      <c r="JV186" s="8"/>
      <c r="JW186" s="7"/>
      <c r="JX186" s="19"/>
      <c r="JY186" s="19"/>
      <c r="JZ186" s="19"/>
      <c r="KA186" s="19"/>
      <c r="KC186" s="8"/>
      <c r="KD186" s="7"/>
      <c r="KE186" s="19"/>
      <c r="KF186" s="19"/>
      <c r="KG186" s="19"/>
      <c r="KH186" s="19"/>
      <c r="KJ186" s="8"/>
      <c r="KK186" s="7"/>
      <c r="KL186" s="19"/>
      <c r="KM186" s="19"/>
      <c r="KN186" s="19"/>
      <c r="KO186" s="19"/>
      <c r="KQ186" s="8"/>
      <c r="KR186" s="7"/>
      <c r="KS186" s="19"/>
      <c r="KT186" s="19"/>
      <c r="KU186" s="19"/>
      <c r="KV186" s="19"/>
      <c r="KX186" s="8"/>
      <c r="KY186" s="7"/>
      <c r="KZ186" s="19"/>
      <c r="LA186" s="19"/>
      <c r="LB186" s="19"/>
      <c r="LC186" s="19"/>
      <c r="LE186" s="8"/>
      <c r="LF186" s="7"/>
      <c r="LG186" s="19"/>
      <c r="LH186" s="19"/>
      <c r="LI186" s="19"/>
      <c r="LJ186" s="19"/>
      <c r="LL186" s="8"/>
      <c r="LM186" s="7"/>
      <c r="LN186" s="19"/>
      <c r="LO186" s="19"/>
      <c r="LP186" s="19"/>
      <c r="LQ186" s="19"/>
      <c r="LS186" s="8"/>
      <c r="LT186" s="7"/>
      <c r="LU186" s="19"/>
      <c r="LV186" s="19"/>
      <c r="LW186" s="19"/>
      <c r="LX186" s="19"/>
      <c r="LZ186" s="8"/>
      <c r="MA186" s="7"/>
      <c r="MB186" s="19"/>
      <c r="MC186" s="19"/>
      <c r="MD186" s="19"/>
      <c r="ME186" s="19"/>
      <c r="MG186" s="8"/>
      <c r="MH186" s="7"/>
      <c r="MI186" s="19"/>
      <c r="MJ186" s="19"/>
      <c r="MK186" s="19"/>
      <c r="ML186" s="19"/>
      <c r="MN186" s="8"/>
      <c r="MO186" s="7"/>
      <c r="MP186" s="19"/>
      <c r="MQ186" s="19"/>
      <c r="MR186" s="19"/>
      <c r="MS186" s="19"/>
      <c r="MU186" s="8"/>
      <c r="MV186" s="7"/>
      <c r="MW186" s="19"/>
      <c r="MX186" s="19"/>
      <c r="MY186" s="19"/>
      <c r="MZ186" s="19"/>
      <c r="NB186" s="8"/>
      <c r="NC186" s="7"/>
      <c r="ND186" s="19"/>
      <c r="NE186" s="19"/>
      <c r="NF186" s="19"/>
      <c r="NG186" s="19"/>
      <c r="NI186" s="8"/>
      <c r="NJ186" s="7"/>
      <c r="NK186" s="19"/>
      <c r="NL186" s="19"/>
      <c r="NM186" s="19"/>
      <c r="NN186" s="19"/>
      <c r="NP186" s="8"/>
      <c r="NQ186" s="7"/>
      <c r="NR186" s="19"/>
      <c r="NS186" s="19"/>
      <c r="NT186" s="19"/>
      <c r="NU186" s="19"/>
      <c r="NW186" s="8"/>
      <c r="NX186" s="7"/>
      <c r="NY186" s="19"/>
      <c r="NZ186" s="19"/>
      <c r="OA186" s="19"/>
      <c r="OB186" s="19"/>
      <c r="OD186" s="8"/>
      <c r="OE186" s="7"/>
      <c r="OF186" s="19"/>
      <c r="OG186" s="19"/>
      <c r="OH186" s="19"/>
      <c r="OI186" s="19"/>
      <c r="OK186" s="8"/>
      <c r="OL186" s="7"/>
      <c r="OM186" s="19"/>
      <c r="ON186" s="19"/>
      <c r="OO186" s="19"/>
      <c r="OP186" s="19"/>
      <c r="OR186" s="8"/>
      <c r="OS186" s="7"/>
      <c r="OT186" s="19"/>
      <c r="OU186" s="19"/>
      <c r="OV186" s="19"/>
      <c r="OW186" s="19"/>
      <c r="OY186" s="8"/>
      <c r="OZ186" s="7"/>
      <c r="PA186" s="19"/>
      <c r="PB186" s="19"/>
      <c r="PC186" s="19"/>
      <c r="PD186" s="19"/>
      <c r="PF186" s="8"/>
      <c r="PG186" s="7"/>
      <c r="PH186" s="19"/>
      <c r="PI186" s="19"/>
      <c r="PJ186" s="19"/>
      <c r="PK186" s="19"/>
      <c r="PM186" s="8"/>
    </row>
    <row r="187" spans="1:429" s="1" customFormat="1" ht="24" outlineLevel="1">
      <c r="B187" s="471"/>
      <c r="C187" s="7"/>
      <c r="D187" s="19"/>
      <c r="E187" s="19"/>
      <c r="F187" s="19"/>
      <c r="G187" s="19"/>
      <c r="I187" s="8"/>
      <c r="J187" s="7"/>
      <c r="K187" s="19"/>
      <c r="L187" s="19"/>
      <c r="M187" s="19"/>
      <c r="N187" s="19"/>
      <c r="P187" s="8"/>
      <c r="Q187" s="7"/>
      <c r="R187" s="19"/>
      <c r="S187" s="19"/>
      <c r="T187" s="19"/>
      <c r="U187" s="19"/>
      <c r="W187" s="8"/>
      <c r="X187" s="7"/>
      <c r="Y187" s="19"/>
      <c r="Z187" s="19"/>
      <c r="AA187" s="19"/>
      <c r="AB187" s="19"/>
      <c r="AD187" s="8"/>
      <c r="AE187" s="7"/>
      <c r="AF187" s="19"/>
      <c r="AG187" s="19"/>
      <c r="AH187" s="19"/>
      <c r="AI187" s="19"/>
      <c r="AK187" s="8"/>
      <c r="AL187" s="7"/>
      <c r="AM187" s="19"/>
      <c r="AN187" s="19"/>
      <c r="AO187" s="19"/>
      <c r="AP187" s="19"/>
      <c r="AR187" s="8"/>
      <c r="AS187" s="7"/>
      <c r="AT187" s="19"/>
      <c r="AU187" s="19"/>
      <c r="AV187" s="19"/>
      <c r="AW187" s="19"/>
      <c r="AY187" s="8"/>
      <c r="AZ187" s="7"/>
      <c r="BA187" s="19"/>
      <c r="BB187" s="19"/>
      <c r="BC187" s="19"/>
      <c r="BD187" s="19"/>
      <c r="BF187" s="8"/>
      <c r="BG187" s="7"/>
      <c r="BH187" s="19"/>
      <c r="BI187" s="19"/>
      <c r="BJ187" s="19"/>
      <c r="BK187" s="19"/>
      <c r="BM187" s="8"/>
      <c r="BN187" s="7"/>
      <c r="BO187" s="19"/>
      <c r="BP187" s="19"/>
      <c r="BQ187" s="19"/>
      <c r="BR187" s="19"/>
      <c r="BT187" s="8"/>
      <c r="BU187" s="7"/>
      <c r="BV187" s="19"/>
      <c r="BW187" s="19"/>
      <c r="BX187" s="19"/>
      <c r="BY187" s="19"/>
      <c r="CA187" s="8"/>
      <c r="CB187" s="7"/>
      <c r="CC187" s="19"/>
      <c r="CD187" s="19"/>
      <c r="CE187" s="19"/>
      <c r="CF187" s="19"/>
      <c r="CH187" s="8"/>
      <c r="CI187" s="7"/>
      <c r="CJ187" s="19"/>
      <c r="CK187" s="19"/>
      <c r="CL187" s="19"/>
      <c r="CM187" s="19"/>
      <c r="CO187" s="8"/>
      <c r="CP187" s="7"/>
      <c r="CQ187" s="19"/>
      <c r="CR187" s="19"/>
      <c r="CS187" s="19"/>
      <c r="CT187" s="19"/>
      <c r="CV187" s="8"/>
      <c r="CW187" s="7"/>
      <c r="CX187" s="19"/>
      <c r="CY187" s="19"/>
      <c r="CZ187" s="19"/>
      <c r="DA187" s="19"/>
      <c r="DC187" s="8"/>
      <c r="DD187" s="7"/>
      <c r="DE187" s="19"/>
      <c r="DF187" s="19"/>
      <c r="DG187" s="19"/>
      <c r="DH187" s="19"/>
      <c r="DJ187" s="8"/>
      <c r="DK187" s="7"/>
      <c r="DL187" s="19"/>
      <c r="DM187" s="19"/>
      <c r="DN187" s="19"/>
      <c r="DO187" s="19"/>
      <c r="DQ187" s="8"/>
      <c r="DR187" s="7"/>
      <c r="DS187" s="19"/>
      <c r="DT187" s="19"/>
      <c r="DU187" s="19"/>
      <c r="DV187" s="19"/>
      <c r="DX187" s="8"/>
      <c r="DY187" s="7"/>
      <c r="DZ187" s="19"/>
      <c r="EA187" s="19"/>
      <c r="EB187" s="19"/>
      <c r="EC187" s="19"/>
      <c r="EE187" s="8"/>
      <c r="EF187" s="7"/>
      <c r="EG187" s="19"/>
      <c r="EH187" s="19"/>
      <c r="EI187" s="19"/>
      <c r="EJ187" s="19"/>
      <c r="EL187" s="8"/>
      <c r="EM187" s="7"/>
      <c r="EN187" s="19"/>
      <c r="EO187" s="19"/>
      <c r="EP187" s="19"/>
      <c r="EQ187" s="19"/>
      <c r="ES187" s="8"/>
      <c r="ET187" s="7"/>
      <c r="EU187" s="19"/>
      <c r="EV187" s="19"/>
      <c r="EW187" s="19"/>
      <c r="EX187" s="19"/>
      <c r="EZ187" s="8"/>
      <c r="FA187" s="7"/>
      <c r="FB187" s="19"/>
      <c r="FC187" s="19"/>
      <c r="FD187" s="19"/>
      <c r="FE187" s="19"/>
      <c r="FG187" s="8"/>
      <c r="FH187" s="7"/>
      <c r="FI187" s="19"/>
      <c r="FJ187" s="19"/>
      <c r="FK187" s="19"/>
      <c r="FL187" s="19"/>
      <c r="FN187" s="8"/>
      <c r="FO187" s="7"/>
      <c r="FP187" s="19"/>
      <c r="FQ187" s="19"/>
      <c r="FR187" s="19"/>
      <c r="FS187" s="19"/>
      <c r="FU187" s="8"/>
      <c r="FV187" s="7"/>
      <c r="FW187" s="19"/>
      <c r="FX187" s="19"/>
      <c r="FY187" s="19"/>
      <c r="FZ187" s="19"/>
      <c r="GB187" s="8"/>
      <c r="GC187" s="7"/>
      <c r="GD187" s="19"/>
      <c r="GE187" s="19"/>
      <c r="GF187" s="19"/>
      <c r="GG187" s="19"/>
      <c r="GI187" s="8"/>
      <c r="GJ187" s="7"/>
      <c r="GK187" s="19"/>
      <c r="GL187" s="19"/>
      <c r="GM187" s="19"/>
      <c r="GN187" s="19"/>
      <c r="GP187" s="8"/>
      <c r="GQ187" s="7"/>
      <c r="GR187" s="19"/>
      <c r="GS187" s="19"/>
      <c r="GT187" s="19"/>
      <c r="GU187" s="19"/>
      <c r="GW187" s="8"/>
      <c r="GX187" s="7"/>
      <c r="GY187" s="19"/>
      <c r="GZ187" s="19"/>
      <c r="HA187" s="19"/>
      <c r="HB187" s="19"/>
      <c r="HD187" s="8"/>
      <c r="HE187" s="7"/>
      <c r="HF187" s="19"/>
      <c r="HG187" s="19"/>
      <c r="HH187" s="19"/>
      <c r="HI187" s="19"/>
      <c r="HK187" s="8"/>
      <c r="HL187" s="7"/>
      <c r="HM187" s="19"/>
      <c r="HN187" s="19"/>
      <c r="HO187" s="19"/>
      <c r="HP187" s="19"/>
      <c r="HR187" s="8"/>
      <c r="HS187" s="7"/>
      <c r="HT187" s="19"/>
      <c r="HU187" s="19"/>
      <c r="HV187" s="19"/>
      <c r="HW187" s="19"/>
      <c r="HY187" s="8"/>
      <c r="HZ187" s="7"/>
      <c r="IA187" s="19"/>
      <c r="IB187" s="19"/>
      <c r="IC187" s="19"/>
      <c r="ID187" s="19"/>
      <c r="IF187" s="8"/>
      <c r="IG187" s="7"/>
      <c r="IH187" s="19"/>
      <c r="II187" s="19"/>
      <c r="IJ187" s="19"/>
      <c r="IK187" s="19"/>
      <c r="IM187" s="8"/>
      <c r="IN187" s="7"/>
      <c r="IO187" s="19"/>
      <c r="IP187" s="19"/>
      <c r="IQ187" s="19"/>
      <c r="IR187" s="19"/>
      <c r="IT187" s="8"/>
      <c r="IU187" s="7"/>
      <c r="IV187" s="19"/>
      <c r="IW187" s="19"/>
      <c r="IX187" s="19"/>
      <c r="IY187" s="19"/>
      <c r="JA187" s="8"/>
      <c r="JB187" s="7"/>
      <c r="JC187" s="19"/>
      <c r="JD187" s="19"/>
      <c r="JE187" s="19"/>
      <c r="JF187" s="19"/>
      <c r="JH187" s="8"/>
      <c r="JI187" s="7"/>
      <c r="JJ187" s="19"/>
      <c r="JK187" s="19"/>
      <c r="JL187" s="19"/>
      <c r="JM187" s="19"/>
      <c r="JO187" s="8"/>
      <c r="JP187" s="7"/>
      <c r="JQ187" s="19"/>
      <c r="JR187" s="19"/>
      <c r="JS187" s="19"/>
      <c r="JT187" s="19"/>
      <c r="JV187" s="8"/>
      <c r="JW187" s="7"/>
      <c r="JX187" s="19"/>
      <c r="JY187" s="19"/>
      <c r="JZ187" s="19"/>
      <c r="KA187" s="19"/>
      <c r="KC187" s="8"/>
      <c r="KD187" s="7"/>
      <c r="KE187" s="19"/>
      <c r="KF187" s="19"/>
      <c r="KG187" s="19"/>
      <c r="KH187" s="19"/>
      <c r="KJ187" s="8"/>
      <c r="KK187" s="7"/>
      <c r="KL187" s="19"/>
      <c r="KM187" s="19"/>
      <c r="KN187" s="19"/>
      <c r="KO187" s="19"/>
      <c r="KQ187" s="8"/>
      <c r="KR187" s="7"/>
      <c r="KS187" s="19"/>
      <c r="KT187" s="19"/>
      <c r="KU187" s="19"/>
      <c r="KV187" s="19"/>
      <c r="KX187" s="8"/>
      <c r="KY187" s="7"/>
      <c r="KZ187" s="19"/>
      <c r="LA187" s="19"/>
      <c r="LB187" s="19"/>
      <c r="LC187" s="19"/>
      <c r="LE187" s="8"/>
      <c r="LF187" s="7"/>
      <c r="LG187" s="19"/>
      <c r="LH187" s="19"/>
      <c r="LI187" s="19"/>
      <c r="LJ187" s="19"/>
      <c r="LL187" s="8"/>
      <c r="LM187" s="7"/>
      <c r="LN187" s="19"/>
      <c r="LO187" s="19"/>
      <c r="LP187" s="19"/>
      <c r="LQ187" s="19"/>
      <c r="LS187" s="8"/>
      <c r="LT187" s="7"/>
      <c r="LU187" s="19"/>
      <c r="LV187" s="19"/>
      <c r="LW187" s="19"/>
      <c r="LX187" s="19"/>
      <c r="LZ187" s="8"/>
      <c r="MA187" s="7"/>
      <c r="MB187" s="19"/>
      <c r="MC187" s="19"/>
      <c r="MD187" s="19"/>
      <c r="ME187" s="19"/>
      <c r="MG187" s="8"/>
      <c r="MH187" s="7"/>
      <c r="MI187" s="19"/>
      <c r="MJ187" s="19"/>
      <c r="MK187" s="19"/>
      <c r="ML187" s="19"/>
      <c r="MN187" s="8"/>
      <c r="MO187" s="7"/>
      <c r="MP187" s="19"/>
      <c r="MQ187" s="19"/>
      <c r="MR187" s="19"/>
      <c r="MS187" s="19"/>
      <c r="MU187" s="8"/>
      <c r="MV187" s="7"/>
      <c r="MW187" s="19"/>
      <c r="MX187" s="19"/>
      <c r="MY187" s="19"/>
      <c r="MZ187" s="19"/>
      <c r="NB187" s="8"/>
      <c r="NC187" s="7"/>
      <c r="ND187" s="19"/>
      <c r="NE187" s="19"/>
      <c r="NF187" s="19"/>
      <c r="NG187" s="19"/>
      <c r="NI187" s="8"/>
      <c r="NJ187" s="7"/>
      <c r="NK187" s="19"/>
      <c r="NL187" s="19"/>
      <c r="NM187" s="19"/>
      <c r="NN187" s="19"/>
      <c r="NP187" s="8"/>
      <c r="NQ187" s="7"/>
      <c r="NR187" s="19"/>
      <c r="NS187" s="19"/>
      <c r="NT187" s="19"/>
      <c r="NU187" s="19"/>
      <c r="NW187" s="8"/>
      <c r="NX187" s="7"/>
      <c r="NY187" s="19"/>
      <c r="NZ187" s="19"/>
      <c r="OA187" s="19"/>
      <c r="OB187" s="19"/>
      <c r="OD187" s="8"/>
      <c r="OE187" s="7"/>
      <c r="OF187" s="19"/>
      <c r="OG187" s="19"/>
      <c r="OH187" s="19"/>
      <c r="OI187" s="19"/>
      <c r="OK187" s="8"/>
      <c r="OL187" s="7"/>
      <c r="OM187" s="19"/>
      <c r="ON187" s="19"/>
      <c r="OO187" s="19"/>
      <c r="OP187" s="19"/>
      <c r="OR187" s="8"/>
      <c r="OS187" s="7"/>
      <c r="OT187" s="19"/>
      <c r="OU187" s="19"/>
      <c r="OV187" s="19"/>
      <c r="OW187" s="19"/>
      <c r="OY187" s="8"/>
      <c r="OZ187" s="7"/>
      <c r="PA187" s="19"/>
      <c r="PB187" s="19"/>
      <c r="PC187" s="19"/>
      <c r="PD187" s="19"/>
      <c r="PF187" s="8"/>
      <c r="PG187" s="7"/>
      <c r="PH187" s="19"/>
      <c r="PI187" s="19"/>
      <c r="PJ187" s="19"/>
      <c r="PK187" s="19"/>
      <c r="PM187" s="8"/>
    </row>
    <row r="188" spans="1:429" s="1" customFormat="1" ht="24" outlineLevel="1">
      <c r="B188" s="471"/>
      <c r="C188" s="7"/>
      <c r="D188" s="19"/>
      <c r="E188" s="19"/>
      <c r="F188" s="19"/>
      <c r="G188" s="19"/>
      <c r="I188" s="8"/>
      <c r="J188" s="7"/>
      <c r="K188" s="19"/>
      <c r="L188" s="19"/>
      <c r="M188" s="19"/>
      <c r="N188" s="19"/>
      <c r="P188" s="8"/>
      <c r="Q188" s="7"/>
      <c r="R188" s="19"/>
      <c r="S188" s="19"/>
      <c r="T188" s="19"/>
      <c r="U188" s="19"/>
      <c r="W188" s="8"/>
      <c r="X188" s="7"/>
      <c r="Y188" s="19"/>
      <c r="Z188" s="19"/>
      <c r="AA188" s="19"/>
      <c r="AB188" s="19"/>
      <c r="AD188" s="8"/>
      <c r="AE188" s="7"/>
      <c r="AF188" s="19"/>
      <c r="AG188" s="19"/>
      <c r="AH188" s="19"/>
      <c r="AI188" s="19"/>
      <c r="AK188" s="8"/>
      <c r="AL188" s="7"/>
      <c r="AM188" s="19"/>
      <c r="AN188" s="19"/>
      <c r="AO188" s="19"/>
      <c r="AP188" s="19"/>
      <c r="AR188" s="8"/>
      <c r="AS188" s="7"/>
      <c r="AT188" s="19"/>
      <c r="AU188" s="19"/>
      <c r="AV188" s="19"/>
      <c r="AW188" s="19"/>
      <c r="AY188" s="8"/>
      <c r="AZ188" s="7"/>
      <c r="BA188" s="19"/>
      <c r="BB188" s="19"/>
      <c r="BC188" s="19"/>
      <c r="BD188" s="19"/>
      <c r="BF188" s="8"/>
      <c r="BG188" s="7"/>
      <c r="BH188" s="19"/>
      <c r="BI188" s="19"/>
      <c r="BJ188" s="19"/>
      <c r="BK188" s="19"/>
      <c r="BM188" s="8"/>
      <c r="BN188" s="7"/>
      <c r="BO188" s="19"/>
      <c r="BP188" s="19"/>
      <c r="BQ188" s="19"/>
      <c r="BR188" s="19"/>
      <c r="BT188" s="8"/>
      <c r="BU188" s="7"/>
      <c r="BV188" s="19"/>
      <c r="BW188" s="19"/>
      <c r="BX188" s="19"/>
      <c r="BY188" s="19"/>
      <c r="CA188" s="8"/>
      <c r="CB188" s="7"/>
      <c r="CC188" s="19"/>
      <c r="CD188" s="19"/>
      <c r="CE188" s="19"/>
      <c r="CF188" s="19"/>
      <c r="CH188" s="8"/>
      <c r="CI188" s="7"/>
      <c r="CJ188" s="19"/>
      <c r="CK188" s="19"/>
      <c r="CL188" s="19"/>
      <c r="CM188" s="19"/>
      <c r="CO188" s="8"/>
      <c r="CP188" s="7"/>
      <c r="CQ188" s="19"/>
      <c r="CR188" s="19"/>
      <c r="CS188" s="19"/>
      <c r="CT188" s="19"/>
      <c r="CV188" s="8"/>
      <c r="CW188" s="7"/>
      <c r="CX188" s="19"/>
      <c r="CY188" s="19"/>
      <c r="CZ188" s="19"/>
      <c r="DA188" s="19"/>
      <c r="DC188" s="8"/>
      <c r="DD188" s="7"/>
      <c r="DE188" s="19"/>
      <c r="DF188" s="19"/>
      <c r="DG188" s="19"/>
      <c r="DH188" s="19"/>
      <c r="DJ188" s="8"/>
      <c r="DK188" s="7"/>
      <c r="DL188" s="19"/>
      <c r="DM188" s="19"/>
      <c r="DN188" s="19"/>
      <c r="DO188" s="19"/>
      <c r="DQ188" s="8"/>
      <c r="DR188" s="7"/>
      <c r="DS188" s="19"/>
      <c r="DT188" s="19"/>
      <c r="DU188" s="19"/>
      <c r="DV188" s="19"/>
      <c r="DX188" s="8"/>
      <c r="DY188" s="7"/>
      <c r="DZ188" s="19"/>
      <c r="EA188" s="19"/>
      <c r="EB188" s="19"/>
      <c r="EC188" s="19"/>
      <c r="EE188" s="8"/>
      <c r="EF188" s="7"/>
      <c r="EG188" s="19"/>
      <c r="EH188" s="19"/>
      <c r="EI188" s="19"/>
      <c r="EJ188" s="19"/>
      <c r="EL188" s="8"/>
      <c r="EM188" s="7"/>
      <c r="EN188" s="19"/>
      <c r="EO188" s="19"/>
      <c r="EP188" s="19"/>
      <c r="EQ188" s="19"/>
      <c r="ES188" s="8"/>
      <c r="ET188" s="7"/>
      <c r="EU188" s="19"/>
      <c r="EV188" s="19"/>
      <c r="EW188" s="19"/>
      <c r="EX188" s="19"/>
      <c r="EZ188" s="8"/>
      <c r="FA188" s="7"/>
      <c r="FB188" s="19"/>
      <c r="FC188" s="19"/>
      <c r="FD188" s="19"/>
      <c r="FE188" s="19"/>
      <c r="FG188" s="8"/>
      <c r="FH188" s="7"/>
      <c r="FI188" s="19"/>
      <c r="FJ188" s="19"/>
      <c r="FK188" s="19"/>
      <c r="FL188" s="19"/>
      <c r="FN188" s="8"/>
      <c r="FO188" s="7"/>
      <c r="FP188" s="19"/>
      <c r="FQ188" s="19"/>
      <c r="FR188" s="19"/>
      <c r="FS188" s="19"/>
      <c r="FU188" s="8"/>
      <c r="FV188" s="7"/>
      <c r="FW188" s="19"/>
      <c r="FX188" s="19"/>
      <c r="FY188" s="19"/>
      <c r="FZ188" s="19"/>
      <c r="GB188" s="8"/>
      <c r="GC188" s="7"/>
      <c r="GD188" s="19"/>
      <c r="GE188" s="19"/>
      <c r="GF188" s="19"/>
      <c r="GG188" s="19"/>
      <c r="GI188" s="8"/>
      <c r="GJ188" s="7"/>
      <c r="GK188" s="19"/>
      <c r="GL188" s="19"/>
      <c r="GM188" s="19"/>
      <c r="GN188" s="19"/>
      <c r="GP188" s="8"/>
      <c r="GQ188" s="7"/>
      <c r="GR188" s="19"/>
      <c r="GS188" s="19"/>
      <c r="GT188" s="19"/>
      <c r="GU188" s="19"/>
      <c r="GW188" s="8"/>
      <c r="GX188" s="7"/>
      <c r="GY188" s="19"/>
      <c r="GZ188" s="19"/>
      <c r="HA188" s="19"/>
      <c r="HB188" s="19"/>
      <c r="HD188" s="8"/>
      <c r="HE188" s="7"/>
      <c r="HF188" s="19"/>
      <c r="HG188" s="19"/>
      <c r="HH188" s="19"/>
      <c r="HI188" s="19"/>
      <c r="HK188" s="8"/>
      <c r="HL188" s="7"/>
      <c r="HM188" s="19"/>
      <c r="HN188" s="19"/>
      <c r="HO188" s="19"/>
      <c r="HP188" s="19"/>
      <c r="HR188" s="8"/>
      <c r="HS188" s="7"/>
      <c r="HT188" s="19"/>
      <c r="HU188" s="19"/>
      <c r="HV188" s="19"/>
      <c r="HW188" s="19"/>
      <c r="HY188" s="8"/>
      <c r="HZ188" s="7"/>
      <c r="IA188" s="19"/>
      <c r="IB188" s="19"/>
      <c r="IC188" s="19"/>
      <c r="ID188" s="19"/>
      <c r="IF188" s="8"/>
      <c r="IG188" s="7"/>
      <c r="IH188" s="19"/>
      <c r="II188" s="19"/>
      <c r="IJ188" s="19"/>
      <c r="IK188" s="19"/>
      <c r="IM188" s="8"/>
      <c r="IN188" s="7"/>
      <c r="IO188" s="19"/>
      <c r="IP188" s="19"/>
      <c r="IQ188" s="19"/>
      <c r="IR188" s="19"/>
      <c r="IT188" s="8"/>
      <c r="IU188" s="7"/>
      <c r="IV188" s="19"/>
      <c r="IW188" s="19"/>
      <c r="IX188" s="19"/>
      <c r="IY188" s="19"/>
      <c r="JA188" s="8"/>
      <c r="JB188" s="7"/>
      <c r="JC188" s="19"/>
      <c r="JD188" s="19"/>
      <c r="JE188" s="19"/>
      <c r="JF188" s="19"/>
      <c r="JH188" s="8"/>
      <c r="JI188" s="7"/>
      <c r="JJ188" s="19"/>
      <c r="JK188" s="19"/>
      <c r="JL188" s="19"/>
      <c r="JM188" s="19"/>
      <c r="JO188" s="8"/>
      <c r="JP188" s="7"/>
      <c r="JQ188" s="19"/>
      <c r="JR188" s="19"/>
      <c r="JS188" s="19"/>
      <c r="JT188" s="19"/>
      <c r="JV188" s="8"/>
      <c r="JW188" s="7"/>
      <c r="JX188" s="19"/>
      <c r="JY188" s="19"/>
      <c r="JZ188" s="19"/>
      <c r="KA188" s="19"/>
      <c r="KC188" s="8"/>
      <c r="KD188" s="7"/>
      <c r="KE188" s="19"/>
      <c r="KF188" s="19"/>
      <c r="KG188" s="19"/>
      <c r="KH188" s="19"/>
      <c r="KJ188" s="8"/>
      <c r="KK188" s="7"/>
      <c r="KL188" s="19"/>
      <c r="KM188" s="19"/>
      <c r="KN188" s="19"/>
      <c r="KO188" s="19"/>
      <c r="KQ188" s="8"/>
      <c r="KR188" s="7"/>
      <c r="KS188" s="19"/>
      <c r="KT188" s="19"/>
      <c r="KU188" s="19"/>
      <c r="KV188" s="19"/>
      <c r="KX188" s="8"/>
      <c r="KY188" s="7"/>
      <c r="KZ188" s="19"/>
      <c r="LA188" s="19"/>
      <c r="LB188" s="19"/>
      <c r="LC188" s="19"/>
      <c r="LE188" s="8"/>
      <c r="LF188" s="7"/>
      <c r="LG188" s="19"/>
      <c r="LH188" s="19"/>
      <c r="LI188" s="19"/>
      <c r="LJ188" s="19"/>
      <c r="LL188" s="8"/>
      <c r="LM188" s="7"/>
      <c r="LN188" s="19"/>
      <c r="LO188" s="19"/>
      <c r="LP188" s="19"/>
      <c r="LQ188" s="19"/>
      <c r="LS188" s="8"/>
      <c r="LT188" s="7"/>
      <c r="LU188" s="19"/>
      <c r="LV188" s="19"/>
      <c r="LW188" s="19"/>
      <c r="LX188" s="19"/>
      <c r="LZ188" s="8"/>
      <c r="MA188" s="7"/>
      <c r="MB188" s="19"/>
      <c r="MC188" s="19"/>
      <c r="MD188" s="19"/>
      <c r="ME188" s="19"/>
      <c r="MG188" s="8"/>
      <c r="MH188" s="7"/>
      <c r="MI188" s="19"/>
      <c r="MJ188" s="19"/>
      <c r="MK188" s="19"/>
      <c r="ML188" s="19"/>
      <c r="MN188" s="8"/>
      <c r="MO188" s="7"/>
      <c r="MP188" s="19"/>
      <c r="MQ188" s="19"/>
      <c r="MR188" s="19"/>
      <c r="MS188" s="19"/>
      <c r="MU188" s="8"/>
      <c r="MV188" s="7"/>
      <c r="MW188" s="19"/>
      <c r="MX188" s="19"/>
      <c r="MY188" s="19"/>
      <c r="MZ188" s="19"/>
      <c r="NB188" s="8"/>
      <c r="NC188" s="7"/>
      <c r="ND188" s="19"/>
      <c r="NE188" s="19"/>
      <c r="NF188" s="19"/>
      <c r="NG188" s="19"/>
      <c r="NI188" s="8"/>
      <c r="NJ188" s="7"/>
      <c r="NK188" s="19"/>
      <c r="NL188" s="19"/>
      <c r="NM188" s="19"/>
      <c r="NN188" s="19"/>
      <c r="NP188" s="8"/>
      <c r="NQ188" s="7"/>
      <c r="NR188" s="19"/>
      <c r="NS188" s="19"/>
      <c r="NT188" s="19"/>
      <c r="NU188" s="19"/>
      <c r="NW188" s="8"/>
      <c r="NX188" s="7"/>
      <c r="NY188" s="19"/>
      <c r="NZ188" s="19"/>
      <c r="OA188" s="19"/>
      <c r="OB188" s="19"/>
      <c r="OD188" s="8"/>
      <c r="OE188" s="7"/>
      <c r="OF188" s="19"/>
      <c r="OG188" s="19"/>
      <c r="OH188" s="19"/>
      <c r="OI188" s="19"/>
      <c r="OK188" s="8"/>
      <c r="OL188" s="7"/>
      <c r="OM188" s="19"/>
      <c r="ON188" s="19"/>
      <c r="OO188" s="19"/>
      <c r="OP188" s="19"/>
      <c r="OR188" s="8"/>
      <c r="OS188" s="7"/>
      <c r="OT188" s="19"/>
      <c r="OU188" s="19"/>
      <c r="OV188" s="19"/>
      <c r="OW188" s="19"/>
      <c r="OY188" s="8"/>
      <c r="OZ188" s="7"/>
      <c r="PA188" s="19"/>
      <c r="PB188" s="19"/>
      <c r="PC188" s="19"/>
      <c r="PD188" s="19"/>
      <c r="PF188" s="8"/>
      <c r="PG188" s="7"/>
      <c r="PH188" s="19"/>
      <c r="PI188" s="19"/>
      <c r="PJ188" s="19"/>
      <c r="PK188" s="19"/>
      <c r="PM188" s="8"/>
    </row>
    <row r="189" spans="1:429" s="475" customFormat="1" ht="19" customHeight="1">
      <c r="A189" s="6" t="s">
        <v>83</v>
      </c>
      <c r="B189" s="472"/>
      <c r="C189" s="10"/>
      <c r="D189" s="20"/>
      <c r="E189" s="20"/>
      <c r="F189" s="20"/>
      <c r="G189" s="20"/>
      <c r="H189" s="10"/>
      <c r="I189" s="10"/>
      <c r="J189" s="10"/>
      <c r="K189" s="20"/>
      <c r="L189" s="20"/>
      <c r="M189" s="20"/>
      <c r="N189" s="20"/>
      <c r="O189" s="10"/>
      <c r="P189" s="10"/>
      <c r="Q189" s="10"/>
      <c r="R189" s="20"/>
      <c r="S189" s="20"/>
      <c r="T189" s="20"/>
      <c r="U189" s="20"/>
      <c r="V189" s="10"/>
      <c r="W189" s="10"/>
      <c r="X189" s="10"/>
      <c r="Y189" s="20"/>
      <c r="Z189" s="20"/>
      <c r="AA189" s="20"/>
      <c r="AB189" s="20"/>
      <c r="AC189" s="10"/>
      <c r="AD189" s="10"/>
      <c r="AE189" s="10"/>
      <c r="AF189" s="20"/>
      <c r="AG189" s="20"/>
      <c r="AH189" s="20"/>
      <c r="AI189" s="20"/>
      <c r="AJ189" s="10"/>
      <c r="AK189" s="10"/>
      <c r="AL189" s="10"/>
      <c r="AM189" s="20"/>
      <c r="AN189" s="20"/>
      <c r="AO189" s="20"/>
      <c r="AP189" s="20"/>
      <c r="AQ189" s="10"/>
      <c r="AR189" s="10"/>
      <c r="AS189" s="10"/>
      <c r="AT189" s="20"/>
      <c r="AU189" s="20"/>
      <c r="AV189" s="20"/>
      <c r="AW189" s="20"/>
      <c r="AX189" s="10"/>
      <c r="AY189" s="10"/>
      <c r="AZ189" s="10"/>
      <c r="BA189" s="20"/>
      <c r="BB189" s="20"/>
      <c r="BC189" s="20"/>
      <c r="BD189" s="20"/>
      <c r="BE189" s="10"/>
      <c r="BF189" s="10"/>
      <c r="BG189" s="10"/>
      <c r="BH189" s="20"/>
      <c r="BI189" s="20"/>
      <c r="BJ189" s="20"/>
      <c r="BK189" s="20"/>
      <c r="BL189" s="10"/>
      <c r="BM189" s="10"/>
      <c r="BN189" s="10"/>
      <c r="BO189" s="20"/>
      <c r="BP189" s="20"/>
      <c r="BQ189" s="20"/>
      <c r="BR189" s="20"/>
      <c r="BS189" s="10"/>
      <c r="BT189" s="10"/>
      <c r="BU189" s="10"/>
      <c r="BV189" s="20"/>
      <c r="BW189" s="20"/>
      <c r="BX189" s="20"/>
      <c r="BY189" s="20"/>
      <c r="BZ189" s="10"/>
      <c r="CA189" s="10"/>
      <c r="CB189" s="10"/>
      <c r="CC189" s="20"/>
      <c r="CD189" s="20"/>
      <c r="CE189" s="20"/>
      <c r="CF189" s="20"/>
      <c r="CG189" s="10"/>
      <c r="CH189" s="10"/>
      <c r="CI189" s="10"/>
      <c r="CJ189" s="20"/>
      <c r="CK189" s="20"/>
      <c r="CL189" s="20"/>
      <c r="CM189" s="20"/>
      <c r="CN189" s="10"/>
      <c r="CO189" s="10"/>
      <c r="CP189" s="10"/>
      <c r="CQ189" s="20"/>
      <c r="CR189" s="20"/>
      <c r="CS189" s="20"/>
      <c r="CT189" s="20"/>
      <c r="CU189" s="10"/>
      <c r="CV189" s="10"/>
      <c r="CW189" s="10"/>
      <c r="CX189" s="20"/>
      <c r="CY189" s="20"/>
      <c r="CZ189" s="20"/>
      <c r="DA189" s="20"/>
      <c r="DB189" s="10"/>
      <c r="DC189" s="10"/>
      <c r="DD189" s="10"/>
      <c r="DE189" s="20"/>
      <c r="DF189" s="20"/>
      <c r="DG189" s="20"/>
      <c r="DH189" s="20"/>
      <c r="DI189" s="10"/>
      <c r="DJ189" s="10"/>
      <c r="DK189" s="10"/>
      <c r="DL189" s="20"/>
      <c r="DM189" s="20"/>
      <c r="DN189" s="20"/>
      <c r="DO189" s="20"/>
      <c r="DP189" s="10"/>
      <c r="DQ189" s="10"/>
      <c r="DR189" s="10"/>
      <c r="DS189" s="20"/>
      <c r="DT189" s="20"/>
      <c r="DU189" s="20"/>
      <c r="DV189" s="20"/>
      <c r="DW189" s="10"/>
      <c r="DX189" s="10"/>
      <c r="DY189" s="10"/>
      <c r="DZ189" s="20"/>
      <c r="EA189" s="20"/>
      <c r="EB189" s="20"/>
      <c r="EC189" s="20"/>
      <c r="ED189" s="10"/>
      <c r="EE189" s="10"/>
      <c r="EF189" s="10"/>
      <c r="EG189" s="20"/>
      <c r="EH189" s="20"/>
      <c r="EI189" s="20"/>
      <c r="EJ189" s="20"/>
      <c r="EK189" s="10"/>
      <c r="EL189" s="10"/>
      <c r="EM189" s="10"/>
      <c r="EN189" s="20"/>
      <c r="EO189" s="20"/>
      <c r="EP189" s="20"/>
      <c r="EQ189" s="20"/>
      <c r="ER189" s="10"/>
      <c r="ES189" s="10"/>
      <c r="ET189" s="10"/>
      <c r="EU189" s="20"/>
      <c r="EV189" s="20"/>
      <c r="EW189" s="20"/>
      <c r="EX189" s="20"/>
      <c r="EY189" s="10"/>
      <c r="EZ189" s="10"/>
      <c r="FA189" s="10"/>
      <c r="FB189" s="20"/>
      <c r="FC189" s="20"/>
      <c r="FD189" s="20"/>
      <c r="FE189" s="20"/>
      <c r="FF189" s="10"/>
      <c r="FG189" s="10"/>
      <c r="FH189" s="10"/>
      <c r="FI189" s="20"/>
      <c r="FJ189" s="20"/>
      <c r="FK189" s="20"/>
      <c r="FL189" s="20"/>
      <c r="FM189" s="10"/>
      <c r="FN189" s="10"/>
      <c r="FO189" s="10"/>
      <c r="FP189" s="20"/>
      <c r="FQ189" s="20"/>
      <c r="FR189" s="20"/>
      <c r="FS189" s="20"/>
      <c r="FT189" s="10"/>
      <c r="FU189" s="10"/>
      <c r="FV189" s="10"/>
      <c r="FW189" s="20"/>
      <c r="FX189" s="20"/>
      <c r="FY189" s="20"/>
      <c r="FZ189" s="20"/>
      <c r="GA189" s="10"/>
      <c r="GB189" s="10"/>
      <c r="GC189" s="10"/>
      <c r="GD189" s="20"/>
      <c r="GE189" s="20"/>
      <c r="GF189" s="20"/>
      <c r="GG189" s="20"/>
      <c r="GH189" s="10"/>
      <c r="GI189" s="10"/>
      <c r="GJ189" s="10"/>
      <c r="GK189" s="20"/>
      <c r="GL189" s="20"/>
      <c r="GM189" s="20"/>
      <c r="GN189" s="20"/>
      <c r="GO189" s="10"/>
      <c r="GP189" s="10"/>
      <c r="GQ189" s="10"/>
      <c r="GR189" s="20"/>
      <c r="GS189" s="20"/>
      <c r="GT189" s="20"/>
      <c r="GU189" s="20"/>
      <c r="GV189" s="10"/>
      <c r="GW189" s="10"/>
      <c r="GX189" s="10"/>
      <c r="GY189" s="20"/>
      <c r="GZ189" s="20"/>
      <c r="HA189" s="20"/>
      <c r="HB189" s="20"/>
      <c r="HC189" s="10"/>
      <c r="HD189" s="10"/>
      <c r="HE189" s="10"/>
      <c r="HF189" s="20"/>
      <c r="HG189" s="20"/>
      <c r="HH189" s="20"/>
      <c r="HI189" s="20"/>
      <c r="HJ189" s="10"/>
      <c r="HK189" s="10"/>
      <c r="HL189" s="10"/>
      <c r="HM189" s="20"/>
      <c r="HN189" s="20"/>
      <c r="HO189" s="20"/>
      <c r="HP189" s="20"/>
      <c r="HQ189" s="10"/>
      <c r="HR189" s="10"/>
      <c r="HS189" s="10"/>
      <c r="HT189" s="20"/>
      <c r="HU189" s="20"/>
      <c r="HV189" s="20"/>
      <c r="HW189" s="20"/>
      <c r="HX189" s="10"/>
      <c r="HY189" s="10"/>
      <c r="HZ189" s="10"/>
      <c r="IA189" s="20"/>
      <c r="IB189" s="20"/>
      <c r="IC189" s="20"/>
      <c r="ID189" s="20"/>
      <c r="IE189" s="10"/>
      <c r="IF189" s="10"/>
      <c r="IG189" s="10"/>
      <c r="IH189" s="20"/>
      <c r="II189" s="20"/>
      <c r="IJ189" s="20"/>
      <c r="IK189" s="20"/>
      <c r="IL189" s="10"/>
      <c r="IM189" s="10"/>
      <c r="IN189" s="10"/>
      <c r="IO189" s="20"/>
      <c r="IP189" s="20"/>
      <c r="IQ189" s="20"/>
      <c r="IR189" s="20"/>
      <c r="IS189" s="10"/>
      <c r="IT189" s="10"/>
      <c r="IU189" s="10"/>
      <c r="IV189" s="20"/>
      <c r="IW189" s="20"/>
      <c r="IX189" s="20"/>
      <c r="IY189" s="20"/>
      <c r="IZ189" s="10"/>
      <c r="JA189" s="10"/>
      <c r="JB189" s="10"/>
      <c r="JC189" s="20"/>
      <c r="JD189" s="20"/>
      <c r="JE189" s="20"/>
      <c r="JF189" s="20"/>
      <c r="JG189" s="10"/>
      <c r="JH189" s="10"/>
      <c r="JI189" s="10"/>
      <c r="JJ189" s="20"/>
      <c r="JK189" s="20"/>
      <c r="JL189" s="20"/>
      <c r="JM189" s="20"/>
      <c r="JN189" s="10"/>
      <c r="JO189" s="10"/>
      <c r="JP189" s="10"/>
      <c r="JQ189" s="20"/>
      <c r="JR189" s="20"/>
      <c r="JS189" s="20"/>
      <c r="JT189" s="20"/>
      <c r="JU189" s="10"/>
      <c r="JV189" s="10"/>
      <c r="JW189" s="10"/>
      <c r="JX189" s="20"/>
      <c r="JY189" s="20"/>
      <c r="JZ189" s="20"/>
      <c r="KA189" s="20"/>
      <c r="KB189" s="10"/>
      <c r="KC189" s="10"/>
      <c r="KD189" s="10"/>
      <c r="KE189" s="20"/>
      <c r="KF189" s="20"/>
      <c r="KG189" s="20"/>
      <c r="KH189" s="20"/>
      <c r="KI189" s="10"/>
      <c r="KJ189" s="10"/>
      <c r="KK189" s="10"/>
      <c r="KL189" s="20"/>
      <c r="KM189" s="20"/>
      <c r="KN189" s="20"/>
      <c r="KO189" s="20"/>
      <c r="KP189" s="10"/>
      <c r="KQ189" s="10"/>
      <c r="KR189" s="10"/>
      <c r="KS189" s="20"/>
      <c r="KT189" s="20"/>
      <c r="KU189" s="20"/>
      <c r="KV189" s="20"/>
      <c r="KW189" s="10"/>
      <c r="KX189" s="10"/>
      <c r="KY189" s="10"/>
      <c r="KZ189" s="20"/>
      <c r="LA189" s="20"/>
      <c r="LB189" s="20"/>
      <c r="LC189" s="20"/>
      <c r="LD189" s="10"/>
      <c r="LE189" s="10"/>
      <c r="LF189" s="10"/>
      <c r="LG189" s="20"/>
      <c r="LH189" s="20"/>
      <c r="LI189" s="20"/>
      <c r="LJ189" s="20"/>
      <c r="LK189" s="10"/>
      <c r="LL189" s="10"/>
      <c r="LM189" s="10"/>
      <c r="LN189" s="20"/>
      <c r="LO189" s="20"/>
      <c r="LP189" s="20"/>
      <c r="LQ189" s="20"/>
      <c r="LR189" s="10"/>
      <c r="LS189" s="10"/>
      <c r="LT189" s="10"/>
      <c r="LU189" s="20"/>
      <c r="LV189" s="20"/>
      <c r="LW189" s="20"/>
      <c r="LX189" s="20"/>
      <c r="LY189" s="10"/>
      <c r="LZ189" s="10"/>
      <c r="MA189" s="10"/>
      <c r="MB189" s="20"/>
      <c r="MC189" s="20"/>
      <c r="MD189" s="20"/>
      <c r="ME189" s="20"/>
      <c r="MF189" s="10"/>
      <c r="MG189" s="10"/>
      <c r="MH189" s="10"/>
      <c r="MI189" s="20"/>
      <c r="MJ189" s="20"/>
      <c r="MK189" s="20"/>
      <c r="ML189" s="20"/>
      <c r="MM189" s="10"/>
      <c r="MN189" s="10"/>
      <c r="MO189" s="10"/>
      <c r="MP189" s="20"/>
      <c r="MQ189" s="20"/>
      <c r="MR189" s="20"/>
      <c r="MS189" s="20"/>
      <c r="MT189" s="10"/>
      <c r="MU189" s="10"/>
      <c r="MV189" s="10"/>
      <c r="MW189" s="20"/>
      <c r="MX189" s="20"/>
      <c r="MY189" s="20"/>
      <c r="MZ189" s="20"/>
      <c r="NA189" s="10"/>
      <c r="NB189" s="10"/>
      <c r="NC189" s="10"/>
      <c r="ND189" s="20"/>
      <c r="NE189" s="20"/>
      <c r="NF189" s="20"/>
      <c r="NG189" s="20"/>
      <c r="NH189" s="10"/>
      <c r="NI189" s="10"/>
      <c r="NJ189" s="10"/>
      <c r="NK189" s="20"/>
      <c r="NL189" s="20"/>
      <c r="NM189" s="20"/>
      <c r="NN189" s="20"/>
      <c r="NO189" s="10"/>
      <c r="NP189" s="10"/>
      <c r="NQ189" s="10"/>
      <c r="NR189" s="20"/>
      <c r="NS189" s="20"/>
      <c r="NT189" s="20"/>
      <c r="NU189" s="20"/>
      <c r="NV189" s="10"/>
      <c r="NW189" s="10"/>
      <c r="NX189" s="10"/>
      <c r="NY189" s="20"/>
      <c r="NZ189" s="20"/>
      <c r="OA189" s="20"/>
      <c r="OB189" s="20"/>
      <c r="OC189" s="10"/>
      <c r="OD189" s="10"/>
      <c r="OE189" s="10"/>
      <c r="OF189" s="20"/>
      <c r="OG189" s="20"/>
      <c r="OH189" s="20"/>
      <c r="OI189" s="20"/>
      <c r="OJ189" s="10"/>
      <c r="OK189" s="10"/>
      <c r="OL189" s="10"/>
      <c r="OM189" s="20"/>
      <c r="ON189" s="20"/>
      <c r="OO189" s="20"/>
      <c r="OP189" s="20"/>
      <c r="OQ189" s="10"/>
      <c r="OR189" s="10"/>
      <c r="OS189" s="10"/>
      <c r="OT189" s="20"/>
      <c r="OU189" s="20"/>
      <c r="OV189" s="20"/>
      <c r="OW189" s="20"/>
      <c r="OX189" s="10"/>
      <c r="OY189" s="10"/>
      <c r="OZ189" s="10"/>
      <c r="PA189" s="20"/>
      <c r="PB189" s="20"/>
      <c r="PC189" s="20"/>
      <c r="PD189" s="20"/>
      <c r="PE189" s="10"/>
      <c r="PF189" s="10"/>
      <c r="PG189" s="10"/>
      <c r="PH189" s="20"/>
      <c r="PI189" s="20"/>
      <c r="PJ189" s="20"/>
      <c r="PK189" s="20"/>
      <c r="PL189" s="10"/>
      <c r="PM189" s="10"/>
    </row>
    <row r="190" spans="1:429" s="1" customFormat="1" ht="24" outlineLevel="1">
      <c r="B190" s="471"/>
      <c r="C190" s="7"/>
      <c r="D190" s="19"/>
      <c r="E190" s="19"/>
      <c r="F190" s="19"/>
      <c r="G190" s="19"/>
      <c r="I190" s="8"/>
      <c r="J190" s="7"/>
      <c r="K190" s="19"/>
      <c r="L190" s="19"/>
      <c r="M190" s="19"/>
      <c r="N190" s="19"/>
      <c r="P190" s="8"/>
      <c r="Q190" s="7"/>
      <c r="R190" s="19"/>
      <c r="S190" s="19"/>
      <c r="T190" s="19"/>
      <c r="U190" s="19"/>
      <c r="W190" s="8"/>
      <c r="X190" s="7"/>
      <c r="Y190" s="19"/>
      <c r="Z190" s="19"/>
      <c r="AA190" s="19"/>
      <c r="AB190" s="19"/>
      <c r="AD190" s="8"/>
      <c r="AE190" s="7"/>
      <c r="AF190" s="19"/>
      <c r="AG190" s="19"/>
      <c r="AH190" s="19"/>
      <c r="AI190" s="19"/>
      <c r="AK190" s="8"/>
      <c r="AL190" s="7"/>
      <c r="AM190" s="19"/>
      <c r="AN190" s="19"/>
      <c r="AO190" s="19"/>
      <c r="AP190" s="19"/>
      <c r="AR190" s="8"/>
      <c r="AS190" s="7"/>
      <c r="AT190" s="19"/>
      <c r="AU190" s="19"/>
      <c r="AV190" s="19"/>
      <c r="AW190" s="19"/>
      <c r="AY190" s="8"/>
      <c r="AZ190" s="7"/>
      <c r="BA190" s="19"/>
      <c r="BB190" s="19"/>
      <c r="BC190" s="19"/>
      <c r="BD190" s="19"/>
      <c r="BF190" s="8"/>
      <c r="BG190" s="7"/>
      <c r="BH190" s="19"/>
      <c r="BI190" s="19"/>
      <c r="BJ190" s="19"/>
      <c r="BK190" s="19"/>
      <c r="BM190" s="8"/>
      <c r="BN190" s="7"/>
      <c r="BO190" s="19"/>
      <c r="BP190" s="19"/>
      <c r="BQ190" s="19"/>
      <c r="BR190" s="19"/>
      <c r="BT190" s="8"/>
      <c r="BU190" s="7"/>
      <c r="BV190" s="19"/>
      <c r="BW190" s="19"/>
      <c r="BX190" s="19"/>
      <c r="BY190" s="19"/>
      <c r="CA190" s="8"/>
      <c r="CB190" s="7"/>
      <c r="CC190" s="19"/>
      <c r="CD190" s="19"/>
      <c r="CE190" s="19"/>
      <c r="CF190" s="19"/>
      <c r="CH190" s="8"/>
      <c r="CI190" s="7"/>
      <c r="CJ190" s="19"/>
      <c r="CK190" s="19"/>
      <c r="CL190" s="19"/>
      <c r="CM190" s="19"/>
      <c r="CO190" s="8"/>
      <c r="CP190" s="7"/>
      <c r="CQ190" s="19"/>
      <c r="CR190" s="19"/>
      <c r="CS190" s="19"/>
      <c r="CT190" s="19"/>
      <c r="CV190" s="8"/>
      <c r="CW190" s="7"/>
      <c r="CX190" s="19"/>
      <c r="CY190" s="19"/>
      <c r="CZ190" s="19"/>
      <c r="DA190" s="19"/>
      <c r="DC190" s="8"/>
      <c r="DD190" s="7"/>
      <c r="DE190" s="19"/>
      <c r="DF190" s="19"/>
      <c r="DG190" s="19"/>
      <c r="DH190" s="19"/>
      <c r="DJ190" s="8"/>
      <c r="DK190" s="7"/>
      <c r="DL190" s="19"/>
      <c r="DM190" s="19"/>
      <c r="DN190" s="19"/>
      <c r="DO190" s="19"/>
      <c r="DQ190" s="8"/>
      <c r="DR190" s="7"/>
      <c r="DS190" s="19"/>
      <c r="DT190" s="19"/>
      <c r="DU190" s="19"/>
      <c r="DV190" s="19"/>
      <c r="DX190" s="8"/>
      <c r="DY190" s="7"/>
      <c r="DZ190" s="19"/>
      <c r="EA190" s="19"/>
      <c r="EB190" s="19"/>
      <c r="EC190" s="19"/>
      <c r="EE190" s="8"/>
      <c r="EF190" s="7"/>
      <c r="EG190" s="19"/>
      <c r="EH190" s="19"/>
      <c r="EI190" s="19"/>
      <c r="EJ190" s="19"/>
      <c r="EL190" s="8"/>
      <c r="EM190" s="7"/>
      <c r="EN190" s="19"/>
      <c r="EO190" s="19"/>
      <c r="EP190" s="19"/>
      <c r="EQ190" s="19"/>
      <c r="ES190" s="8"/>
      <c r="ET190" s="7"/>
      <c r="EU190" s="19"/>
      <c r="EV190" s="19"/>
      <c r="EW190" s="19"/>
      <c r="EX190" s="19"/>
      <c r="EZ190" s="8"/>
      <c r="FA190" s="7"/>
      <c r="FB190" s="19"/>
      <c r="FC190" s="19"/>
      <c r="FD190" s="19"/>
      <c r="FE190" s="19"/>
      <c r="FG190" s="8"/>
      <c r="FH190" s="7"/>
      <c r="FI190" s="19"/>
      <c r="FJ190" s="19"/>
      <c r="FK190" s="19"/>
      <c r="FL190" s="19"/>
      <c r="FN190" s="8"/>
      <c r="FO190" s="7"/>
      <c r="FP190" s="19"/>
      <c r="FQ190" s="19"/>
      <c r="FR190" s="19"/>
      <c r="FS190" s="19"/>
      <c r="FU190" s="8"/>
      <c r="FV190" s="7"/>
      <c r="FW190" s="19"/>
      <c r="FX190" s="19"/>
      <c r="FY190" s="19"/>
      <c r="FZ190" s="19"/>
      <c r="GB190" s="8"/>
      <c r="GC190" s="7"/>
      <c r="GD190" s="19"/>
      <c r="GE190" s="19"/>
      <c r="GF190" s="19"/>
      <c r="GG190" s="19"/>
      <c r="GI190" s="8"/>
      <c r="GJ190" s="7"/>
      <c r="GK190" s="19"/>
      <c r="GL190" s="19"/>
      <c r="GM190" s="19"/>
      <c r="GN190" s="19"/>
      <c r="GP190" s="8"/>
      <c r="GQ190" s="7"/>
      <c r="GR190" s="19"/>
      <c r="GS190" s="19"/>
      <c r="GT190" s="19"/>
      <c r="GU190" s="19"/>
      <c r="GW190" s="8"/>
      <c r="GX190" s="7"/>
      <c r="GY190" s="19"/>
      <c r="GZ190" s="19"/>
      <c r="HA190" s="19"/>
      <c r="HB190" s="19"/>
      <c r="HD190" s="8"/>
      <c r="HE190" s="7"/>
      <c r="HF190" s="19"/>
      <c r="HG190" s="19"/>
      <c r="HH190" s="19"/>
      <c r="HI190" s="19"/>
      <c r="HK190" s="8"/>
      <c r="HL190" s="7"/>
      <c r="HM190" s="19"/>
      <c r="HN190" s="19"/>
      <c r="HO190" s="19"/>
      <c r="HP190" s="19"/>
      <c r="HR190" s="8"/>
      <c r="HS190" s="7"/>
      <c r="HT190" s="19"/>
      <c r="HU190" s="19"/>
      <c r="HV190" s="19"/>
      <c r="HW190" s="19"/>
      <c r="HY190" s="8"/>
      <c r="HZ190" s="7"/>
      <c r="IA190" s="19"/>
      <c r="IB190" s="19"/>
      <c r="IC190" s="19"/>
      <c r="ID190" s="19"/>
      <c r="IF190" s="8"/>
      <c r="IG190" s="7"/>
      <c r="IH190" s="19"/>
      <c r="II190" s="19"/>
      <c r="IJ190" s="19"/>
      <c r="IK190" s="19"/>
      <c r="IM190" s="8"/>
      <c r="IN190" s="7"/>
      <c r="IO190" s="19"/>
      <c r="IP190" s="19"/>
      <c r="IQ190" s="19"/>
      <c r="IR190" s="19"/>
      <c r="IT190" s="8"/>
      <c r="IU190" s="7"/>
      <c r="IV190" s="19"/>
      <c r="IW190" s="19"/>
      <c r="IX190" s="19"/>
      <c r="IY190" s="19"/>
      <c r="JA190" s="8"/>
      <c r="JB190" s="7"/>
      <c r="JC190" s="19"/>
      <c r="JD190" s="19"/>
      <c r="JE190" s="19"/>
      <c r="JF190" s="19"/>
      <c r="JH190" s="8"/>
      <c r="JI190" s="7"/>
      <c r="JJ190" s="19"/>
      <c r="JK190" s="19"/>
      <c r="JL190" s="19"/>
      <c r="JM190" s="19"/>
      <c r="JO190" s="8"/>
      <c r="JP190" s="7"/>
      <c r="JQ190" s="19"/>
      <c r="JR190" s="19"/>
      <c r="JS190" s="19"/>
      <c r="JT190" s="19"/>
      <c r="JV190" s="8"/>
      <c r="JW190" s="7"/>
      <c r="JX190" s="19"/>
      <c r="JY190" s="19"/>
      <c r="JZ190" s="19"/>
      <c r="KA190" s="19"/>
      <c r="KC190" s="8"/>
      <c r="KD190" s="7"/>
      <c r="KE190" s="19"/>
      <c r="KF190" s="19"/>
      <c r="KG190" s="19"/>
      <c r="KH190" s="19"/>
      <c r="KJ190" s="8"/>
      <c r="KK190" s="7"/>
      <c r="KL190" s="19"/>
      <c r="KM190" s="19"/>
      <c r="KN190" s="19"/>
      <c r="KO190" s="19"/>
      <c r="KQ190" s="8"/>
      <c r="KR190" s="7"/>
      <c r="KS190" s="19"/>
      <c r="KT190" s="19"/>
      <c r="KU190" s="19"/>
      <c r="KV190" s="19"/>
      <c r="KX190" s="8"/>
      <c r="KY190" s="7"/>
      <c r="KZ190" s="19"/>
      <c r="LA190" s="19"/>
      <c r="LB190" s="19"/>
      <c r="LC190" s="19"/>
      <c r="LE190" s="8"/>
      <c r="LF190" s="7"/>
      <c r="LG190" s="19"/>
      <c r="LH190" s="19"/>
      <c r="LI190" s="19"/>
      <c r="LJ190" s="19"/>
      <c r="LL190" s="8"/>
      <c r="LM190" s="7"/>
      <c r="LN190" s="19"/>
      <c r="LO190" s="19"/>
      <c r="LP190" s="19"/>
      <c r="LQ190" s="19"/>
      <c r="LS190" s="8"/>
      <c r="LT190" s="7"/>
      <c r="LU190" s="19"/>
      <c r="LV190" s="19"/>
      <c r="LW190" s="19"/>
      <c r="LX190" s="19"/>
      <c r="LZ190" s="8"/>
      <c r="MA190" s="7"/>
      <c r="MB190" s="19"/>
      <c r="MC190" s="19"/>
      <c r="MD190" s="19"/>
      <c r="ME190" s="19"/>
      <c r="MG190" s="8"/>
      <c r="MH190" s="7"/>
      <c r="MI190" s="19"/>
      <c r="MJ190" s="19"/>
      <c r="MK190" s="19"/>
      <c r="ML190" s="19"/>
      <c r="MN190" s="8"/>
      <c r="MO190" s="7"/>
      <c r="MP190" s="19"/>
      <c r="MQ190" s="19"/>
      <c r="MR190" s="19"/>
      <c r="MS190" s="19"/>
      <c r="MU190" s="8"/>
      <c r="MV190" s="7"/>
      <c r="MW190" s="19"/>
      <c r="MX190" s="19"/>
      <c r="MY190" s="19"/>
      <c r="MZ190" s="19"/>
      <c r="NB190" s="8"/>
      <c r="NC190" s="7"/>
      <c r="ND190" s="19"/>
      <c r="NE190" s="19"/>
      <c r="NF190" s="19"/>
      <c r="NG190" s="19"/>
      <c r="NI190" s="8"/>
      <c r="NJ190" s="7"/>
      <c r="NK190" s="19"/>
      <c r="NL190" s="19"/>
      <c r="NM190" s="19"/>
      <c r="NN190" s="19"/>
      <c r="NP190" s="8"/>
      <c r="NQ190" s="7"/>
      <c r="NR190" s="19"/>
      <c r="NS190" s="19"/>
      <c r="NT190" s="19"/>
      <c r="NU190" s="19"/>
      <c r="NW190" s="8"/>
      <c r="NX190" s="7"/>
      <c r="NY190" s="19"/>
      <c r="NZ190" s="19"/>
      <c r="OA190" s="19"/>
      <c r="OB190" s="19"/>
      <c r="OD190" s="8"/>
      <c r="OE190" s="7"/>
      <c r="OF190" s="19"/>
      <c r="OG190" s="19"/>
      <c r="OH190" s="19"/>
      <c r="OI190" s="19"/>
      <c r="OK190" s="8"/>
      <c r="OL190" s="7"/>
      <c r="OM190" s="19"/>
      <c r="ON190" s="19"/>
      <c r="OO190" s="19"/>
      <c r="OP190" s="19"/>
      <c r="OR190" s="8"/>
      <c r="OS190" s="7"/>
      <c r="OT190" s="19"/>
      <c r="OU190" s="19"/>
      <c r="OV190" s="19"/>
      <c r="OW190" s="19"/>
      <c r="OY190" s="8"/>
      <c r="OZ190" s="7"/>
      <c r="PA190" s="19"/>
      <c r="PB190" s="19"/>
      <c r="PC190" s="19"/>
      <c r="PD190" s="19"/>
      <c r="PF190" s="8"/>
      <c r="PG190" s="7"/>
      <c r="PH190" s="19"/>
      <c r="PI190" s="19"/>
      <c r="PJ190" s="19"/>
      <c r="PK190" s="19"/>
      <c r="PM190" s="8"/>
    </row>
    <row r="191" spans="1:429" s="1" customFormat="1" ht="24" outlineLevel="1">
      <c r="B191" s="471"/>
      <c r="C191" s="7"/>
      <c r="D191" s="19"/>
      <c r="E191" s="19"/>
      <c r="F191" s="19"/>
      <c r="G191" s="19"/>
      <c r="I191" s="8"/>
      <c r="J191" s="7"/>
      <c r="K191" s="19"/>
      <c r="L191" s="19"/>
      <c r="M191" s="19"/>
      <c r="N191" s="19"/>
      <c r="P191" s="8"/>
      <c r="Q191" s="7"/>
      <c r="R191" s="19"/>
      <c r="S191" s="19"/>
      <c r="T191" s="19"/>
      <c r="U191" s="19"/>
      <c r="W191" s="8"/>
      <c r="X191" s="7"/>
      <c r="Y191" s="19"/>
      <c r="Z191" s="19"/>
      <c r="AA191" s="19"/>
      <c r="AB191" s="19"/>
      <c r="AD191" s="8"/>
      <c r="AE191" s="7"/>
      <c r="AF191" s="19"/>
      <c r="AG191" s="19"/>
      <c r="AH191" s="19"/>
      <c r="AI191" s="19"/>
      <c r="AK191" s="8"/>
      <c r="AL191" s="7"/>
      <c r="AM191" s="19"/>
      <c r="AN191" s="19"/>
      <c r="AO191" s="19"/>
      <c r="AP191" s="19"/>
      <c r="AR191" s="8"/>
      <c r="AS191" s="7"/>
      <c r="AT191" s="19"/>
      <c r="AU191" s="19"/>
      <c r="AV191" s="19"/>
      <c r="AW191" s="19"/>
      <c r="AY191" s="8"/>
      <c r="AZ191" s="7"/>
      <c r="BA191" s="19"/>
      <c r="BB191" s="19"/>
      <c r="BC191" s="19"/>
      <c r="BD191" s="19"/>
      <c r="BF191" s="8"/>
      <c r="BG191" s="7"/>
      <c r="BH191" s="19"/>
      <c r="BI191" s="19"/>
      <c r="BJ191" s="19"/>
      <c r="BK191" s="19"/>
      <c r="BM191" s="8"/>
      <c r="BN191" s="7"/>
      <c r="BO191" s="19"/>
      <c r="BP191" s="19"/>
      <c r="BQ191" s="19"/>
      <c r="BR191" s="19"/>
      <c r="BT191" s="8"/>
      <c r="BU191" s="7"/>
      <c r="BV191" s="19"/>
      <c r="BW191" s="19"/>
      <c r="BX191" s="19"/>
      <c r="BY191" s="19"/>
      <c r="CA191" s="8"/>
      <c r="CB191" s="7"/>
      <c r="CC191" s="19"/>
      <c r="CD191" s="19"/>
      <c r="CE191" s="19"/>
      <c r="CF191" s="19"/>
      <c r="CH191" s="8"/>
      <c r="CI191" s="7"/>
      <c r="CJ191" s="19"/>
      <c r="CK191" s="19"/>
      <c r="CL191" s="19"/>
      <c r="CM191" s="19"/>
      <c r="CO191" s="8"/>
      <c r="CP191" s="7"/>
      <c r="CQ191" s="19"/>
      <c r="CR191" s="19"/>
      <c r="CS191" s="19"/>
      <c r="CT191" s="19"/>
      <c r="CV191" s="8"/>
      <c r="CW191" s="7"/>
      <c r="CX191" s="19"/>
      <c r="CY191" s="19"/>
      <c r="CZ191" s="19"/>
      <c r="DA191" s="19"/>
      <c r="DC191" s="8"/>
      <c r="DD191" s="7"/>
      <c r="DE191" s="19"/>
      <c r="DF191" s="19"/>
      <c r="DG191" s="19"/>
      <c r="DH191" s="19"/>
      <c r="DJ191" s="8"/>
      <c r="DK191" s="7"/>
      <c r="DL191" s="19"/>
      <c r="DM191" s="19"/>
      <c r="DN191" s="19"/>
      <c r="DO191" s="19"/>
      <c r="DQ191" s="8"/>
      <c r="DR191" s="7"/>
      <c r="DS191" s="19"/>
      <c r="DT191" s="19"/>
      <c r="DU191" s="19"/>
      <c r="DV191" s="19"/>
      <c r="DX191" s="8"/>
      <c r="DY191" s="7"/>
      <c r="DZ191" s="19"/>
      <c r="EA191" s="19"/>
      <c r="EB191" s="19"/>
      <c r="EC191" s="19"/>
      <c r="EE191" s="8"/>
      <c r="EF191" s="7"/>
      <c r="EG191" s="19"/>
      <c r="EH191" s="19"/>
      <c r="EI191" s="19"/>
      <c r="EJ191" s="19"/>
      <c r="EL191" s="8"/>
      <c r="EM191" s="7"/>
      <c r="EN191" s="19"/>
      <c r="EO191" s="19"/>
      <c r="EP191" s="19"/>
      <c r="EQ191" s="19"/>
      <c r="ES191" s="8"/>
      <c r="ET191" s="7"/>
      <c r="EU191" s="19"/>
      <c r="EV191" s="19"/>
      <c r="EW191" s="19"/>
      <c r="EX191" s="19"/>
      <c r="EZ191" s="8"/>
      <c r="FA191" s="7"/>
      <c r="FB191" s="19"/>
      <c r="FC191" s="19"/>
      <c r="FD191" s="19"/>
      <c r="FE191" s="19"/>
      <c r="FG191" s="8"/>
      <c r="FH191" s="7"/>
      <c r="FI191" s="19"/>
      <c r="FJ191" s="19"/>
      <c r="FK191" s="19"/>
      <c r="FL191" s="19"/>
      <c r="FN191" s="8"/>
      <c r="FO191" s="7"/>
      <c r="FP191" s="19"/>
      <c r="FQ191" s="19"/>
      <c r="FR191" s="19"/>
      <c r="FS191" s="19"/>
      <c r="FU191" s="8"/>
      <c r="FV191" s="7"/>
      <c r="FW191" s="19"/>
      <c r="FX191" s="19"/>
      <c r="FY191" s="19"/>
      <c r="FZ191" s="19"/>
      <c r="GB191" s="8"/>
      <c r="GC191" s="7"/>
      <c r="GD191" s="19"/>
      <c r="GE191" s="19"/>
      <c r="GF191" s="19"/>
      <c r="GG191" s="19"/>
      <c r="GI191" s="8"/>
      <c r="GJ191" s="7"/>
      <c r="GK191" s="19"/>
      <c r="GL191" s="19"/>
      <c r="GM191" s="19"/>
      <c r="GN191" s="19"/>
      <c r="GP191" s="8"/>
      <c r="GQ191" s="7"/>
      <c r="GR191" s="19"/>
      <c r="GS191" s="19"/>
      <c r="GT191" s="19"/>
      <c r="GU191" s="19"/>
      <c r="GW191" s="8"/>
      <c r="GX191" s="7"/>
      <c r="GY191" s="19"/>
      <c r="GZ191" s="19"/>
      <c r="HA191" s="19"/>
      <c r="HB191" s="19"/>
      <c r="HD191" s="8"/>
      <c r="HE191" s="7"/>
      <c r="HF191" s="19"/>
      <c r="HG191" s="19"/>
      <c r="HH191" s="19"/>
      <c r="HI191" s="19"/>
      <c r="HK191" s="8"/>
      <c r="HL191" s="7"/>
      <c r="HM191" s="19"/>
      <c r="HN191" s="19"/>
      <c r="HO191" s="19"/>
      <c r="HP191" s="19"/>
      <c r="HR191" s="8"/>
      <c r="HS191" s="7"/>
      <c r="HT191" s="19"/>
      <c r="HU191" s="19"/>
      <c r="HV191" s="19"/>
      <c r="HW191" s="19"/>
      <c r="HY191" s="8"/>
      <c r="HZ191" s="7"/>
      <c r="IA191" s="19"/>
      <c r="IB191" s="19"/>
      <c r="IC191" s="19"/>
      <c r="ID191" s="19"/>
      <c r="IF191" s="8"/>
      <c r="IG191" s="7"/>
      <c r="IH191" s="19"/>
      <c r="II191" s="19"/>
      <c r="IJ191" s="19"/>
      <c r="IK191" s="19"/>
      <c r="IM191" s="8"/>
      <c r="IN191" s="7"/>
      <c r="IO191" s="19"/>
      <c r="IP191" s="19"/>
      <c r="IQ191" s="19"/>
      <c r="IR191" s="19"/>
      <c r="IT191" s="8"/>
      <c r="IU191" s="7"/>
      <c r="IV191" s="19"/>
      <c r="IW191" s="19"/>
      <c r="IX191" s="19"/>
      <c r="IY191" s="19"/>
      <c r="JA191" s="8"/>
      <c r="JB191" s="7"/>
      <c r="JC191" s="19"/>
      <c r="JD191" s="19"/>
      <c r="JE191" s="19"/>
      <c r="JF191" s="19"/>
      <c r="JH191" s="8"/>
      <c r="JI191" s="7"/>
      <c r="JJ191" s="19"/>
      <c r="JK191" s="19"/>
      <c r="JL191" s="19"/>
      <c r="JM191" s="19"/>
      <c r="JO191" s="8"/>
      <c r="JP191" s="7"/>
      <c r="JQ191" s="19"/>
      <c r="JR191" s="19"/>
      <c r="JS191" s="19"/>
      <c r="JT191" s="19"/>
      <c r="JV191" s="8"/>
      <c r="JW191" s="7"/>
      <c r="JX191" s="19"/>
      <c r="JY191" s="19"/>
      <c r="JZ191" s="19"/>
      <c r="KA191" s="19"/>
      <c r="KC191" s="8"/>
      <c r="KD191" s="7"/>
      <c r="KE191" s="19"/>
      <c r="KF191" s="19"/>
      <c r="KG191" s="19"/>
      <c r="KH191" s="19"/>
      <c r="KJ191" s="8"/>
      <c r="KK191" s="7"/>
      <c r="KL191" s="19"/>
      <c r="KM191" s="19"/>
      <c r="KN191" s="19"/>
      <c r="KO191" s="19"/>
      <c r="KQ191" s="8"/>
      <c r="KR191" s="7"/>
      <c r="KS191" s="19"/>
      <c r="KT191" s="19"/>
      <c r="KU191" s="19"/>
      <c r="KV191" s="19"/>
      <c r="KX191" s="8"/>
      <c r="KY191" s="7"/>
      <c r="KZ191" s="19"/>
      <c r="LA191" s="19"/>
      <c r="LB191" s="19"/>
      <c r="LC191" s="19"/>
      <c r="LE191" s="8"/>
      <c r="LF191" s="7"/>
      <c r="LG191" s="19"/>
      <c r="LH191" s="19"/>
      <c r="LI191" s="19"/>
      <c r="LJ191" s="19"/>
      <c r="LL191" s="8"/>
      <c r="LM191" s="7"/>
      <c r="LN191" s="19"/>
      <c r="LO191" s="19"/>
      <c r="LP191" s="19"/>
      <c r="LQ191" s="19"/>
      <c r="LS191" s="8"/>
      <c r="LT191" s="7"/>
      <c r="LU191" s="19"/>
      <c r="LV191" s="19"/>
      <c r="LW191" s="19"/>
      <c r="LX191" s="19"/>
      <c r="LZ191" s="8"/>
      <c r="MA191" s="7"/>
      <c r="MB191" s="19"/>
      <c r="MC191" s="19"/>
      <c r="MD191" s="19"/>
      <c r="ME191" s="19"/>
      <c r="MG191" s="8"/>
      <c r="MH191" s="7"/>
      <c r="MI191" s="19"/>
      <c r="MJ191" s="19"/>
      <c r="MK191" s="19"/>
      <c r="ML191" s="19"/>
      <c r="MN191" s="8"/>
      <c r="MO191" s="7"/>
      <c r="MP191" s="19"/>
      <c r="MQ191" s="19"/>
      <c r="MR191" s="19"/>
      <c r="MS191" s="19"/>
      <c r="MU191" s="8"/>
      <c r="MV191" s="7"/>
      <c r="MW191" s="19"/>
      <c r="MX191" s="19"/>
      <c r="MY191" s="19"/>
      <c r="MZ191" s="19"/>
      <c r="NB191" s="8"/>
      <c r="NC191" s="7"/>
      <c r="ND191" s="19"/>
      <c r="NE191" s="19"/>
      <c r="NF191" s="19"/>
      <c r="NG191" s="19"/>
      <c r="NI191" s="8"/>
      <c r="NJ191" s="7"/>
      <c r="NK191" s="19"/>
      <c r="NL191" s="19"/>
      <c r="NM191" s="19"/>
      <c r="NN191" s="19"/>
      <c r="NP191" s="8"/>
      <c r="NQ191" s="7"/>
      <c r="NR191" s="19"/>
      <c r="NS191" s="19"/>
      <c r="NT191" s="19"/>
      <c r="NU191" s="19"/>
      <c r="NW191" s="8"/>
      <c r="NX191" s="7"/>
      <c r="NY191" s="19"/>
      <c r="NZ191" s="19"/>
      <c r="OA191" s="19"/>
      <c r="OB191" s="19"/>
      <c r="OD191" s="8"/>
      <c r="OE191" s="7"/>
      <c r="OF191" s="19"/>
      <c r="OG191" s="19"/>
      <c r="OH191" s="19"/>
      <c r="OI191" s="19"/>
      <c r="OK191" s="8"/>
      <c r="OL191" s="7"/>
      <c r="OM191" s="19"/>
      <c r="ON191" s="19"/>
      <c r="OO191" s="19"/>
      <c r="OP191" s="19"/>
      <c r="OR191" s="8"/>
      <c r="OS191" s="7"/>
      <c r="OT191" s="19"/>
      <c r="OU191" s="19"/>
      <c r="OV191" s="19"/>
      <c r="OW191" s="19"/>
      <c r="OY191" s="8"/>
      <c r="OZ191" s="7"/>
      <c r="PA191" s="19"/>
      <c r="PB191" s="19"/>
      <c r="PC191" s="19"/>
      <c r="PD191" s="19"/>
      <c r="PF191" s="8"/>
      <c r="PG191" s="7"/>
      <c r="PH191" s="19"/>
      <c r="PI191" s="19"/>
      <c r="PJ191" s="19"/>
      <c r="PK191" s="19"/>
      <c r="PM191" s="8"/>
    </row>
    <row r="192" spans="1:429" s="1" customFormat="1" ht="24" outlineLevel="1">
      <c r="B192" s="471"/>
      <c r="C192" s="7"/>
      <c r="D192" s="19"/>
      <c r="E192" s="19"/>
      <c r="F192" s="19"/>
      <c r="G192" s="19"/>
      <c r="I192" s="8"/>
      <c r="J192" s="7"/>
      <c r="K192" s="19"/>
      <c r="L192" s="19"/>
      <c r="M192" s="19"/>
      <c r="N192" s="19"/>
      <c r="P192" s="8"/>
      <c r="Q192" s="7"/>
      <c r="R192" s="19"/>
      <c r="S192" s="19"/>
      <c r="T192" s="19"/>
      <c r="U192" s="19"/>
      <c r="W192" s="8"/>
      <c r="X192" s="7"/>
      <c r="Y192" s="19"/>
      <c r="Z192" s="19"/>
      <c r="AA192" s="19"/>
      <c r="AB192" s="19"/>
      <c r="AD192" s="8"/>
      <c r="AE192" s="7"/>
      <c r="AF192" s="19"/>
      <c r="AG192" s="19"/>
      <c r="AH192" s="19"/>
      <c r="AI192" s="19"/>
      <c r="AK192" s="8"/>
      <c r="AL192" s="7"/>
      <c r="AM192" s="19"/>
      <c r="AN192" s="19"/>
      <c r="AO192" s="19"/>
      <c r="AP192" s="19"/>
      <c r="AR192" s="8"/>
      <c r="AS192" s="7"/>
      <c r="AT192" s="19"/>
      <c r="AU192" s="19"/>
      <c r="AV192" s="19"/>
      <c r="AW192" s="19"/>
      <c r="AY192" s="8"/>
      <c r="AZ192" s="7"/>
      <c r="BA192" s="19"/>
      <c r="BB192" s="19"/>
      <c r="BC192" s="19"/>
      <c r="BD192" s="19"/>
      <c r="BF192" s="8"/>
      <c r="BG192" s="7"/>
      <c r="BH192" s="19"/>
      <c r="BI192" s="19"/>
      <c r="BJ192" s="19"/>
      <c r="BK192" s="19"/>
      <c r="BM192" s="8"/>
      <c r="BN192" s="7"/>
      <c r="BO192" s="19"/>
      <c r="BP192" s="19"/>
      <c r="BQ192" s="19"/>
      <c r="BR192" s="19"/>
      <c r="BT192" s="8"/>
      <c r="BU192" s="7"/>
      <c r="BV192" s="19"/>
      <c r="BW192" s="19"/>
      <c r="BX192" s="19"/>
      <c r="BY192" s="19"/>
      <c r="CA192" s="8"/>
      <c r="CB192" s="7"/>
      <c r="CC192" s="19"/>
      <c r="CD192" s="19"/>
      <c r="CE192" s="19"/>
      <c r="CF192" s="19"/>
      <c r="CH192" s="8"/>
      <c r="CI192" s="7"/>
      <c r="CJ192" s="19"/>
      <c r="CK192" s="19"/>
      <c r="CL192" s="19"/>
      <c r="CM192" s="19"/>
      <c r="CO192" s="8"/>
      <c r="CP192" s="7"/>
      <c r="CQ192" s="19"/>
      <c r="CR192" s="19"/>
      <c r="CS192" s="19"/>
      <c r="CT192" s="19"/>
      <c r="CV192" s="8"/>
      <c r="CW192" s="7"/>
      <c r="CX192" s="19"/>
      <c r="CY192" s="19"/>
      <c r="CZ192" s="19"/>
      <c r="DA192" s="19"/>
      <c r="DC192" s="8"/>
      <c r="DD192" s="7"/>
      <c r="DE192" s="19"/>
      <c r="DF192" s="19"/>
      <c r="DG192" s="19"/>
      <c r="DH192" s="19"/>
      <c r="DJ192" s="8"/>
      <c r="DK192" s="7"/>
      <c r="DL192" s="19"/>
      <c r="DM192" s="19"/>
      <c r="DN192" s="19"/>
      <c r="DO192" s="19"/>
      <c r="DQ192" s="8"/>
      <c r="DR192" s="7"/>
      <c r="DS192" s="19"/>
      <c r="DT192" s="19"/>
      <c r="DU192" s="19"/>
      <c r="DV192" s="19"/>
      <c r="DX192" s="8"/>
      <c r="DY192" s="7"/>
      <c r="DZ192" s="19"/>
      <c r="EA192" s="19"/>
      <c r="EB192" s="19"/>
      <c r="EC192" s="19"/>
      <c r="EE192" s="8"/>
      <c r="EF192" s="7"/>
      <c r="EG192" s="19"/>
      <c r="EH192" s="19"/>
      <c r="EI192" s="19"/>
      <c r="EJ192" s="19"/>
      <c r="EL192" s="8"/>
      <c r="EM192" s="7"/>
      <c r="EN192" s="19"/>
      <c r="EO192" s="19"/>
      <c r="EP192" s="19"/>
      <c r="EQ192" s="19"/>
      <c r="ES192" s="8"/>
      <c r="ET192" s="7"/>
      <c r="EU192" s="19"/>
      <c r="EV192" s="19"/>
      <c r="EW192" s="19"/>
      <c r="EX192" s="19"/>
      <c r="EZ192" s="8"/>
      <c r="FA192" s="7"/>
      <c r="FB192" s="19"/>
      <c r="FC192" s="19"/>
      <c r="FD192" s="19"/>
      <c r="FE192" s="19"/>
      <c r="FG192" s="8"/>
      <c r="FH192" s="7"/>
      <c r="FI192" s="19"/>
      <c r="FJ192" s="19"/>
      <c r="FK192" s="19"/>
      <c r="FL192" s="19"/>
      <c r="FN192" s="8"/>
      <c r="FO192" s="7"/>
      <c r="FP192" s="19"/>
      <c r="FQ192" s="19"/>
      <c r="FR192" s="19"/>
      <c r="FS192" s="19"/>
      <c r="FU192" s="8"/>
      <c r="FV192" s="7"/>
      <c r="FW192" s="19"/>
      <c r="FX192" s="19"/>
      <c r="FY192" s="19"/>
      <c r="FZ192" s="19"/>
      <c r="GB192" s="8"/>
      <c r="GC192" s="7"/>
      <c r="GD192" s="19"/>
      <c r="GE192" s="19"/>
      <c r="GF192" s="19"/>
      <c r="GG192" s="19"/>
      <c r="GI192" s="8"/>
      <c r="GJ192" s="7"/>
      <c r="GK192" s="19"/>
      <c r="GL192" s="19"/>
      <c r="GM192" s="19"/>
      <c r="GN192" s="19"/>
      <c r="GP192" s="8"/>
      <c r="GQ192" s="7"/>
      <c r="GR192" s="19"/>
      <c r="GS192" s="19"/>
      <c r="GT192" s="19"/>
      <c r="GU192" s="19"/>
      <c r="GW192" s="8"/>
      <c r="GX192" s="7"/>
      <c r="GY192" s="19"/>
      <c r="GZ192" s="19"/>
      <c r="HA192" s="19"/>
      <c r="HB192" s="19"/>
      <c r="HD192" s="8"/>
      <c r="HE192" s="7"/>
      <c r="HF192" s="19"/>
      <c r="HG192" s="19"/>
      <c r="HH192" s="19"/>
      <c r="HI192" s="19"/>
      <c r="HK192" s="8"/>
      <c r="HL192" s="7"/>
      <c r="HM192" s="19"/>
      <c r="HN192" s="19"/>
      <c r="HO192" s="19"/>
      <c r="HP192" s="19"/>
      <c r="HR192" s="8"/>
      <c r="HS192" s="7"/>
      <c r="HT192" s="19"/>
      <c r="HU192" s="19"/>
      <c r="HV192" s="19"/>
      <c r="HW192" s="19"/>
      <c r="HY192" s="8"/>
      <c r="HZ192" s="7"/>
      <c r="IA192" s="19"/>
      <c r="IB192" s="19"/>
      <c r="IC192" s="19"/>
      <c r="ID192" s="19"/>
      <c r="IF192" s="8"/>
      <c r="IG192" s="7"/>
      <c r="IH192" s="19"/>
      <c r="II192" s="19"/>
      <c r="IJ192" s="19"/>
      <c r="IK192" s="19"/>
      <c r="IM192" s="8"/>
      <c r="IN192" s="7"/>
      <c r="IO192" s="19"/>
      <c r="IP192" s="19"/>
      <c r="IQ192" s="19"/>
      <c r="IR192" s="19"/>
      <c r="IT192" s="8"/>
      <c r="IU192" s="7"/>
      <c r="IV192" s="19"/>
      <c r="IW192" s="19"/>
      <c r="IX192" s="19"/>
      <c r="IY192" s="19"/>
      <c r="JA192" s="8"/>
      <c r="JB192" s="7"/>
      <c r="JC192" s="19"/>
      <c r="JD192" s="19"/>
      <c r="JE192" s="19"/>
      <c r="JF192" s="19"/>
      <c r="JH192" s="8"/>
      <c r="JI192" s="7"/>
      <c r="JJ192" s="19"/>
      <c r="JK192" s="19"/>
      <c r="JL192" s="19"/>
      <c r="JM192" s="19"/>
      <c r="JO192" s="8"/>
      <c r="JP192" s="7"/>
      <c r="JQ192" s="19"/>
      <c r="JR192" s="19"/>
      <c r="JS192" s="19"/>
      <c r="JT192" s="19"/>
      <c r="JV192" s="8"/>
      <c r="JW192" s="7"/>
      <c r="JX192" s="19"/>
      <c r="JY192" s="19"/>
      <c r="JZ192" s="19"/>
      <c r="KA192" s="19"/>
      <c r="KC192" s="8"/>
      <c r="KD192" s="7"/>
      <c r="KE192" s="19"/>
      <c r="KF192" s="19"/>
      <c r="KG192" s="19"/>
      <c r="KH192" s="19"/>
      <c r="KJ192" s="8"/>
      <c r="KK192" s="7"/>
      <c r="KL192" s="19"/>
      <c r="KM192" s="19"/>
      <c r="KN192" s="19"/>
      <c r="KO192" s="19"/>
      <c r="KQ192" s="8"/>
      <c r="KR192" s="7"/>
      <c r="KS192" s="19"/>
      <c r="KT192" s="19"/>
      <c r="KU192" s="19"/>
      <c r="KV192" s="19"/>
      <c r="KX192" s="8"/>
      <c r="KY192" s="7"/>
      <c r="KZ192" s="19"/>
      <c r="LA192" s="19"/>
      <c r="LB192" s="19"/>
      <c r="LC192" s="19"/>
      <c r="LE192" s="8"/>
      <c r="LF192" s="7"/>
      <c r="LG192" s="19"/>
      <c r="LH192" s="19"/>
      <c r="LI192" s="19"/>
      <c r="LJ192" s="19"/>
      <c r="LL192" s="8"/>
      <c r="LM192" s="7"/>
      <c r="LN192" s="19"/>
      <c r="LO192" s="19"/>
      <c r="LP192" s="19"/>
      <c r="LQ192" s="19"/>
      <c r="LS192" s="8"/>
      <c r="LT192" s="7"/>
      <c r="LU192" s="19"/>
      <c r="LV192" s="19"/>
      <c r="LW192" s="19"/>
      <c r="LX192" s="19"/>
      <c r="LZ192" s="8"/>
      <c r="MA192" s="7"/>
      <c r="MB192" s="19"/>
      <c r="MC192" s="19"/>
      <c r="MD192" s="19"/>
      <c r="ME192" s="19"/>
      <c r="MG192" s="8"/>
      <c r="MH192" s="7"/>
      <c r="MI192" s="19"/>
      <c r="MJ192" s="19"/>
      <c r="MK192" s="19"/>
      <c r="ML192" s="19"/>
      <c r="MN192" s="8"/>
      <c r="MO192" s="7"/>
      <c r="MP192" s="19"/>
      <c r="MQ192" s="19"/>
      <c r="MR192" s="19"/>
      <c r="MS192" s="19"/>
      <c r="MU192" s="8"/>
      <c r="MV192" s="7"/>
      <c r="MW192" s="19"/>
      <c r="MX192" s="19"/>
      <c r="MY192" s="19"/>
      <c r="MZ192" s="19"/>
      <c r="NB192" s="8"/>
      <c r="NC192" s="7"/>
      <c r="ND192" s="19"/>
      <c r="NE192" s="19"/>
      <c r="NF192" s="19"/>
      <c r="NG192" s="19"/>
      <c r="NI192" s="8"/>
      <c r="NJ192" s="7"/>
      <c r="NK192" s="19"/>
      <c r="NL192" s="19"/>
      <c r="NM192" s="19"/>
      <c r="NN192" s="19"/>
      <c r="NP192" s="8"/>
      <c r="NQ192" s="7"/>
      <c r="NR192" s="19"/>
      <c r="NS192" s="19"/>
      <c r="NT192" s="19"/>
      <c r="NU192" s="19"/>
      <c r="NW192" s="8"/>
      <c r="NX192" s="7"/>
      <c r="NY192" s="19"/>
      <c r="NZ192" s="19"/>
      <c r="OA192" s="19"/>
      <c r="OB192" s="19"/>
      <c r="OD192" s="8"/>
      <c r="OE192" s="7"/>
      <c r="OF192" s="19"/>
      <c r="OG192" s="19"/>
      <c r="OH192" s="19"/>
      <c r="OI192" s="19"/>
      <c r="OK192" s="8"/>
      <c r="OL192" s="7"/>
      <c r="OM192" s="19"/>
      <c r="ON192" s="19"/>
      <c r="OO192" s="19"/>
      <c r="OP192" s="19"/>
      <c r="OR192" s="8"/>
      <c r="OS192" s="7"/>
      <c r="OT192" s="19"/>
      <c r="OU192" s="19"/>
      <c r="OV192" s="19"/>
      <c r="OW192" s="19"/>
      <c r="OY192" s="8"/>
      <c r="OZ192" s="7"/>
      <c r="PA192" s="19"/>
      <c r="PB192" s="19"/>
      <c r="PC192" s="19"/>
      <c r="PD192" s="19"/>
      <c r="PF192" s="8"/>
      <c r="PG192" s="7"/>
      <c r="PH192" s="19"/>
      <c r="PI192" s="19"/>
      <c r="PJ192" s="19"/>
      <c r="PK192" s="19"/>
      <c r="PM192" s="8"/>
    </row>
    <row r="193" spans="1:429" s="475" customFormat="1" ht="19" customHeight="1">
      <c r="A193" s="6" t="s">
        <v>84</v>
      </c>
      <c r="B193" s="472"/>
      <c r="C193" s="10"/>
      <c r="D193" s="20"/>
      <c r="E193" s="20"/>
      <c r="F193" s="20"/>
      <c r="G193" s="20"/>
      <c r="H193" s="10"/>
      <c r="I193" s="10"/>
      <c r="J193" s="10"/>
      <c r="K193" s="20"/>
      <c r="L193" s="20"/>
      <c r="M193" s="20"/>
      <c r="N193" s="20"/>
      <c r="O193" s="10"/>
      <c r="P193" s="10"/>
      <c r="Q193" s="10"/>
      <c r="R193" s="20"/>
      <c r="S193" s="20"/>
      <c r="T193" s="20"/>
      <c r="U193" s="20"/>
      <c r="V193" s="10"/>
      <c r="W193" s="10"/>
      <c r="X193" s="10"/>
      <c r="Y193" s="20"/>
      <c r="Z193" s="20"/>
      <c r="AA193" s="20"/>
      <c r="AB193" s="20"/>
      <c r="AC193" s="10"/>
      <c r="AD193" s="10"/>
      <c r="AE193" s="10"/>
      <c r="AF193" s="20"/>
      <c r="AG193" s="20"/>
      <c r="AH193" s="20"/>
      <c r="AI193" s="20"/>
      <c r="AJ193" s="10"/>
      <c r="AK193" s="10"/>
      <c r="AL193" s="10"/>
      <c r="AM193" s="20"/>
      <c r="AN193" s="20"/>
      <c r="AO193" s="20"/>
      <c r="AP193" s="20"/>
      <c r="AQ193" s="10"/>
      <c r="AR193" s="10"/>
      <c r="AS193" s="10"/>
      <c r="AT193" s="20"/>
      <c r="AU193" s="20"/>
      <c r="AV193" s="20"/>
      <c r="AW193" s="20"/>
      <c r="AX193" s="10"/>
      <c r="AY193" s="10"/>
      <c r="AZ193" s="10"/>
      <c r="BA193" s="20"/>
      <c r="BB193" s="20"/>
      <c r="BC193" s="20"/>
      <c r="BD193" s="20"/>
      <c r="BE193" s="10"/>
      <c r="BF193" s="10"/>
      <c r="BG193" s="10"/>
      <c r="BH193" s="20"/>
      <c r="BI193" s="20"/>
      <c r="BJ193" s="20"/>
      <c r="BK193" s="20"/>
      <c r="BL193" s="10"/>
      <c r="BM193" s="10"/>
      <c r="BN193" s="10"/>
      <c r="BO193" s="20"/>
      <c r="BP193" s="20"/>
      <c r="BQ193" s="20"/>
      <c r="BR193" s="20"/>
      <c r="BS193" s="10"/>
      <c r="BT193" s="10"/>
      <c r="BU193" s="10"/>
      <c r="BV193" s="20"/>
      <c r="BW193" s="20"/>
      <c r="BX193" s="20"/>
      <c r="BY193" s="20"/>
      <c r="BZ193" s="10"/>
      <c r="CA193" s="10"/>
      <c r="CB193" s="10"/>
      <c r="CC193" s="20"/>
      <c r="CD193" s="20"/>
      <c r="CE193" s="20"/>
      <c r="CF193" s="20"/>
      <c r="CG193" s="10"/>
      <c r="CH193" s="10"/>
      <c r="CI193" s="10"/>
      <c r="CJ193" s="20"/>
      <c r="CK193" s="20"/>
      <c r="CL193" s="20"/>
      <c r="CM193" s="20"/>
      <c r="CN193" s="10"/>
      <c r="CO193" s="10"/>
      <c r="CP193" s="10"/>
      <c r="CQ193" s="20"/>
      <c r="CR193" s="20"/>
      <c r="CS193" s="20"/>
      <c r="CT193" s="20"/>
      <c r="CU193" s="10"/>
      <c r="CV193" s="10"/>
      <c r="CW193" s="10"/>
      <c r="CX193" s="20"/>
      <c r="CY193" s="20"/>
      <c r="CZ193" s="20"/>
      <c r="DA193" s="20"/>
      <c r="DB193" s="10"/>
      <c r="DC193" s="10"/>
      <c r="DD193" s="10"/>
      <c r="DE193" s="20"/>
      <c r="DF193" s="20"/>
      <c r="DG193" s="20"/>
      <c r="DH193" s="20"/>
      <c r="DI193" s="10"/>
      <c r="DJ193" s="10"/>
      <c r="DK193" s="10"/>
      <c r="DL193" s="20"/>
      <c r="DM193" s="20"/>
      <c r="DN193" s="20"/>
      <c r="DO193" s="20"/>
      <c r="DP193" s="10"/>
      <c r="DQ193" s="10"/>
      <c r="DR193" s="10"/>
      <c r="DS193" s="20"/>
      <c r="DT193" s="20"/>
      <c r="DU193" s="20"/>
      <c r="DV193" s="20"/>
      <c r="DW193" s="10"/>
      <c r="DX193" s="10"/>
      <c r="DY193" s="10"/>
      <c r="DZ193" s="20"/>
      <c r="EA193" s="20"/>
      <c r="EB193" s="20"/>
      <c r="EC193" s="20"/>
      <c r="ED193" s="10"/>
      <c r="EE193" s="10"/>
      <c r="EF193" s="10"/>
      <c r="EG193" s="20"/>
      <c r="EH193" s="20"/>
      <c r="EI193" s="20"/>
      <c r="EJ193" s="20"/>
      <c r="EK193" s="10"/>
      <c r="EL193" s="10"/>
      <c r="EM193" s="10"/>
      <c r="EN193" s="20"/>
      <c r="EO193" s="20"/>
      <c r="EP193" s="20"/>
      <c r="EQ193" s="20"/>
      <c r="ER193" s="10"/>
      <c r="ES193" s="10"/>
      <c r="ET193" s="10"/>
      <c r="EU193" s="20"/>
      <c r="EV193" s="20"/>
      <c r="EW193" s="20"/>
      <c r="EX193" s="20"/>
      <c r="EY193" s="10"/>
      <c r="EZ193" s="10"/>
      <c r="FA193" s="10"/>
      <c r="FB193" s="20"/>
      <c r="FC193" s="20"/>
      <c r="FD193" s="20"/>
      <c r="FE193" s="20"/>
      <c r="FF193" s="10"/>
      <c r="FG193" s="10"/>
      <c r="FH193" s="10"/>
      <c r="FI193" s="20"/>
      <c r="FJ193" s="20"/>
      <c r="FK193" s="20"/>
      <c r="FL193" s="20"/>
      <c r="FM193" s="10"/>
      <c r="FN193" s="10"/>
      <c r="FO193" s="10"/>
      <c r="FP193" s="20"/>
      <c r="FQ193" s="20"/>
      <c r="FR193" s="20"/>
      <c r="FS193" s="20"/>
      <c r="FT193" s="10"/>
      <c r="FU193" s="10"/>
      <c r="FV193" s="10"/>
      <c r="FW193" s="20"/>
      <c r="FX193" s="20"/>
      <c r="FY193" s="20"/>
      <c r="FZ193" s="20"/>
      <c r="GA193" s="10"/>
      <c r="GB193" s="10"/>
      <c r="GC193" s="10"/>
      <c r="GD193" s="20"/>
      <c r="GE193" s="20"/>
      <c r="GF193" s="20"/>
      <c r="GG193" s="20"/>
      <c r="GH193" s="10"/>
      <c r="GI193" s="10"/>
      <c r="GJ193" s="10"/>
      <c r="GK193" s="20"/>
      <c r="GL193" s="20"/>
      <c r="GM193" s="20"/>
      <c r="GN193" s="20"/>
      <c r="GO193" s="10"/>
      <c r="GP193" s="10"/>
      <c r="GQ193" s="10"/>
      <c r="GR193" s="20"/>
      <c r="GS193" s="20"/>
      <c r="GT193" s="20"/>
      <c r="GU193" s="20"/>
      <c r="GV193" s="10"/>
      <c r="GW193" s="10"/>
      <c r="GX193" s="10"/>
      <c r="GY193" s="20"/>
      <c r="GZ193" s="20"/>
      <c r="HA193" s="20"/>
      <c r="HB193" s="20"/>
      <c r="HC193" s="10"/>
      <c r="HD193" s="10"/>
      <c r="HE193" s="10"/>
      <c r="HF193" s="20"/>
      <c r="HG193" s="20"/>
      <c r="HH193" s="20"/>
      <c r="HI193" s="20"/>
      <c r="HJ193" s="10"/>
      <c r="HK193" s="10"/>
      <c r="HL193" s="10"/>
      <c r="HM193" s="20"/>
      <c r="HN193" s="20"/>
      <c r="HO193" s="20"/>
      <c r="HP193" s="20"/>
      <c r="HQ193" s="10"/>
      <c r="HR193" s="10"/>
      <c r="HS193" s="10"/>
      <c r="HT193" s="20"/>
      <c r="HU193" s="20"/>
      <c r="HV193" s="20"/>
      <c r="HW193" s="20"/>
      <c r="HX193" s="10"/>
      <c r="HY193" s="10"/>
      <c r="HZ193" s="10"/>
      <c r="IA193" s="20"/>
      <c r="IB193" s="20"/>
      <c r="IC193" s="20"/>
      <c r="ID193" s="20"/>
      <c r="IE193" s="10"/>
      <c r="IF193" s="10"/>
      <c r="IG193" s="10"/>
      <c r="IH193" s="20"/>
      <c r="II193" s="20"/>
      <c r="IJ193" s="20"/>
      <c r="IK193" s="20"/>
      <c r="IL193" s="10"/>
      <c r="IM193" s="10"/>
      <c r="IN193" s="10"/>
      <c r="IO193" s="20"/>
      <c r="IP193" s="20"/>
      <c r="IQ193" s="20"/>
      <c r="IR193" s="20"/>
      <c r="IS193" s="10"/>
      <c r="IT193" s="10"/>
      <c r="IU193" s="10"/>
      <c r="IV193" s="20"/>
      <c r="IW193" s="20"/>
      <c r="IX193" s="20"/>
      <c r="IY193" s="20"/>
      <c r="IZ193" s="10"/>
      <c r="JA193" s="10"/>
      <c r="JB193" s="10"/>
      <c r="JC193" s="20"/>
      <c r="JD193" s="20"/>
      <c r="JE193" s="20"/>
      <c r="JF193" s="20"/>
      <c r="JG193" s="10"/>
      <c r="JH193" s="10"/>
      <c r="JI193" s="10"/>
      <c r="JJ193" s="20"/>
      <c r="JK193" s="20"/>
      <c r="JL193" s="20"/>
      <c r="JM193" s="20"/>
      <c r="JN193" s="10"/>
      <c r="JO193" s="10"/>
      <c r="JP193" s="10"/>
      <c r="JQ193" s="20"/>
      <c r="JR193" s="20"/>
      <c r="JS193" s="20"/>
      <c r="JT193" s="20"/>
      <c r="JU193" s="10"/>
      <c r="JV193" s="10"/>
      <c r="JW193" s="10"/>
      <c r="JX193" s="20"/>
      <c r="JY193" s="20"/>
      <c r="JZ193" s="20"/>
      <c r="KA193" s="20"/>
      <c r="KB193" s="10"/>
      <c r="KC193" s="10"/>
      <c r="KD193" s="10"/>
      <c r="KE193" s="20"/>
      <c r="KF193" s="20"/>
      <c r="KG193" s="20"/>
      <c r="KH193" s="20"/>
      <c r="KI193" s="10"/>
      <c r="KJ193" s="10"/>
      <c r="KK193" s="10"/>
      <c r="KL193" s="20"/>
      <c r="KM193" s="20"/>
      <c r="KN193" s="20"/>
      <c r="KO193" s="20"/>
      <c r="KP193" s="10"/>
      <c r="KQ193" s="10"/>
      <c r="KR193" s="10"/>
      <c r="KS193" s="20"/>
      <c r="KT193" s="20"/>
      <c r="KU193" s="20"/>
      <c r="KV193" s="20"/>
      <c r="KW193" s="10"/>
      <c r="KX193" s="10"/>
      <c r="KY193" s="10"/>
      <c r="KZ193" s="20"/>
      <c r="LA193" s="20"/>
      <c r="LB193" s="20"/>
      <c r="LC193" s="20"/>
      <c r="LD193" s="10"/>
      <c r="LE193" s="10"/>
      <c r="LF193" s="10"/>
      <c r="LG193" s="20"/>
      <c r="LH193" s="20"/>
      <c r="LI193" s="20"/>
      <c r="LJ193" s="20"/>
      <c r="LK193" s="10"/>
      <c r="LL193" s="10"/>
      <c r="LM193" s="10"/>
      <c r="LN193" s="20"/>
      <c r="LO193" s="20"/>
      <c r="LP193" s="20"/>
      <c r="LQ193" s="20"/>
      <c r="LR193" s="10"/>
      <c r="LS193" s="10"/>
      <c r="LT193" s="10"/>
      <c r="LU193" s="20"/>
      <c r="LV193" s="20"/>
      <c r="LW193" s="20"/>
      <c r="LX193" s="20"/>
      <c r="LY193" s="10"/>
      <c r="LZ193" s="10"/>
      <c r="MA193" s="10"/>
      <c r="MB193" s="20"/>
      <c r="MC193" s="20"/>
      <c r="MD193" s="20"/>
      <c r="ME193" s="20"/>
      <c r="MF193" s="10"/>
      <c r="MG193" s="10"/>
      <c r="MH193" s="10"/>
      <c r="MI193" s="20"/>
      <c r="MJ193" s="20"/>
      <c r="MK193" s="20"/>
      <c r="ML193" s="20"/>
      <c r="MM193" s="10"/>
      <c r="MN193" s="10"/>
      <c r="MO193" s="10"/>
      <c r="MP193" s="20"/>
      <c r="MQ193" s="20"/>
      <c r="MR193" s="20"/>
      <c r="MS193" s="20"/>
      <c r="MT193" s="10"/>
      <c r="MU193" s="10"/>
      <c r="MV193" s="10"/>
      <c r="MW193" s="20"/>
      <c r="MX193" s="20"/>
      <c r="MY193" s="20"/>
      <c r="MZ193" s="20"/>
      <c r="NA193" s="10"/>
      <c r="NB193" s="10"/>
      <c r="NC193" s="10"/>
      <c r="ND193" s="20"/>
      <c r="NE193" s="20"/>
      <c r="NF193" s="20"/>
      <c r="NG193" s="20"/>
      <c r="NH193" s="10"/>
      <c r="NI193" s="10"/>
      <c r="NJ193" s="10"/>
      <c r="NK193" s="20"/>
      <c r="NL193" s="20"/>
      <c r="NM193" s="20"/>
      <c r="NN193" s="20"/>
      <c r="NO193" s="10"/>
      <c r="NP193" s="10"/>
      <c r="NQ193" s="10"/>
      <c r="NR193" s="20"/>
      <c r="NS193" s="20"/>
      <c r="NT193" s="20"/>
      <c r="NU193" s="20"/>
      <c r="NV193" s="10"/>
      <c r="NW193" s="10"/>
      <c r="NX193" s="10"/>
      <c r="NY193" s="20"/>
      <c r="NZ193" s="20"/>
      <c r="OA193" s="20"/>
      <c r="OB193" s="20"/>
      <c r="OC193" s="10"/>
      <c r="OD193" s="10"/>
      <c r="OE193" s="10"/>
      <c r="OF193" s="20"/>
      <c r="OG193" s="20"/>
      <c r="OH193" s="20"/>
      <c r="OI193" s="20"/>
      <c r="OJ193" s="10"/>
      <c r="OK193" s="10"/>
      <c r="OL193" s="10"/>
      <c r="OM193" s="20"/>
      <c r="ON193" s="20"/>
      <c r="OO193" s="20"/>
      <c r="OP193" s="20"/>
      <c r="OQ193" s="10"/>
      <c r="OR193" s="10"/>
      <c r="OS193" s="10"/>
      <c r="OT193" s="20"/>
      <c r="OU193" s="20"/>
      <c r="OV193" s="20"/>
      <c r="OW193" s="20"/>
      <c r="OX193" s="10"/>
      <c r="OY193" s="10"/>
      <c r="OZ193" s="10"/>
      <c r="PA193" s="20"/>
      <c r="PB193" s="20"/>
      <c r="PC193" s="20"/>
      <c r="PD193" s="20"/>
      <c r="PE193" s="10"/>
      <c r="PF193" s="10"/>
      <c r="PG193" s="10"/>
      <c r="PH193" s="20"/>
      <c r="PI193" s="20"/>
      <c r="PJ193" s="20"/>
      <c r="PK193" s="20"/>
      <c r="PL193" s="10"/>
      <c r="PM193" s="10"/>
    </row>
    <row r="194" spans="1:429" s="1" customFormat="1" ht="24" outlineLevel="1">
      <c r="B194" s="471"/>
      <c r="C194" s="7"/>
      <c r="D194" s="19"/>
      <c r="E194" s="19"/>
      <c r="F194" s="19"/>
      <c r="G194" s="19"/>
      <c r="I194" s="8"/>
      <c r="J194" s="7"/>
      <c r="K194" s="19"/>
      <c r="L194" s="19"/>
      <c r="M194" s="19"/>
      <c r="N194" s="19"/>
      <c r="P194" s="8"/>
      <c r="Q194" s="7"/>
      <c r="R194" s="19"/>
      <c r="S194" s="19"/>
      <c r="T194" s="19"/>
      <c r="U194" s="19"/>
      <c r="W194" s="8"/>
      <c r="X194" s="7"/>
      <c r="Y194" s="19"/>
      <c r="Z194" s="19"/>
      <c r="AA194" s="19"/>
      <c r="AB194" s="19"/>
      <c r="AD194" s="8"/>
      <c r="AE194" s="7"/>
      <c r="AF194" s="19"/>
      <c r="AG194" s="19"/>
      <c r="AH194" s="19"/>
      <c r="AI194" s="19"/>
      <c r="AK194" s="8"/>
      <c r="AL194" s="7"/>
      <c r="AM194" s="19"/>
      <c r="AN194" s="19"/>
      <c r="AO194" s="19"/>
      <c r="AP194" s="19"/>
      <c r="AR194" s="8"/>
      <c r="AS194" s="7"/>
      <c r="AT194" s="19"/>
      <c r="AU194" s="19"/>
      <c r="AV194" s="19"/>
      <c r="AW194" s="19"/>
      <c r="AY194" s="8"/>
      <c r="AZ194" s="7"/>
      <c r="BA194" s="19"/>
      <c r="BB194" s="19"/>
      <c r="BC194" s="19"/>
      <c r="BD194" s="19"/>
      <c r="BF194" s="8"/>
      <c r="BG194" s="7"/>
      <c r="BH194" s="19"/>
      <c r="BI194" s="19"/>
      <c r="BJ194" s="19"/>
      <c r="BK194" s="19"/>
      <c r="BM194" s="8"/>
      <c r="BN194" s="7"/>
      <c r="BO194" s="19"/>
      <c r="BP194" s="19"/>
      <c r="BQ194" s="19"/>
      <c r="BR194" s="19"/>
      <c r="BT194" s="8"/>
      <c r="BU194" s="7"/>
      <c r="BV194" s="19"/>
      <c r="BW194" s="19"/>
      <c r="BX194" s="19"/>
      <c r="BY194" s="19"/>
      <c r="CA194" s="8"/>
      <c r="CB194" s="7"/>
      <c r="CC194" s="19"/>
      <c r="CD194" s="19"/>
      <c r="CE194" s="19"/>
      <c r="CF194" s="19"/>
      <c r="CH194" s="8"/>
      <c r="CI194" s="7"/>
      <c r="CJ194" s="19"/>
      <c r="CK194" s="19"/>
      <c r="CL194" s="19"/>
      <c r="CM194" s="19"/>
      <c r="CO194" s="8"/>
      <c r="CP194" s="7"/>
      <c r="CQ194" s="19"/>
      <c r="CR194" s="19"/>
      <c r="CS194" s="19"/>
      <c r="CT194" s="19"/>
      <c r="CV194" s="8"/>
      <c r="CW194" s="7"/>
      <c r="CX194" s="19"/>
      <c r="CY194" s="19"/>
      <c r="CZ194" s="19"/>
      <c r="DA194" s="19"/>
      <c r="DC194" s="8"/>
      <c r="DD194" s="7"/>
      <c r="DE194" s="19"/>
      <c r="DF194" s="19"/>
      <c r="DG194" s="19"/>
      <c r="DH194" s="19"/>
      <c r="DJ194" s="8"/>
      <c r="DK194" s="7"/>
      <c r="DL194" s="19"/>
      <c r="DM194" s="19"/>
      <c r="DN194" s="19"/>
      <c r="DO194" s="19"/>
      <c r="DQ194" s="8"/>
      <c r="DR194" s="7"/>
      <c r="DS194" s="19"/>
      <c r="DT194" s="19"/>
      <c r="DU194" s="19"/>
      <c r="DV194" s="19"/>
      <c r="DX194" s="8"/>
      <c r="DY194" s="7"/>
      <c r="DZ194" s="19"/>
      <c r="EA194" s="19"/>
      <c r="EB194" s="19"/>
      <c r="EC194" s="19"/>
      <c r="EE194" s="8"/>
      <c r="EF194" s="7"/>
      <c r="EG194" s="19"/>
      <c r="EH194" s="19"/>
      <c r="EI194" s="19"/>
      <c r="EJ194" s="19"/>
      <c r="EL194" s="8"/>
      <c r="EM194" s="7"/>
      <c r="EN194" s="19"/>
      <c r="EO194" s="19"/>
      <c r="EP194" s="19"/>
      <c r="EQ194" s="19"/>
      <c r="ES194" s="8"/>
      <c r="ET194" s="7"/>
      <c r="EU194" s="19"/>
      <c r="EV194" s="19"/>
      <c r="EW194" s="19"/>
      <c r="EX194" s="19"/>
      <c r="EZ194" s="8"/>
      <c r="FA194" s="7"/>
      <c r="FB194" s="19"/>
      <c r="FC194" s="19"/>
      <c r="FD194" s="19"/>
      <c r="FE194" s="19"/>
      <c r="FG194" s="8"/>
      <c r="FH194" s="7"/>
      <c r="FI194" s="19"/>
      <c r="FJ194" s="19"/>
      <c r="FK194" s="19"/>
      <c r="FL194" s="19"/>
      <c r="FN194" s="8"/>
      <c r="FO194" s="7"/>
      <c r="FP194" s="19"/>
      <c r="FQ194" s="19"/>
      <c r="FR194" s="19"/>
      <c r="FS194" s="19"/>
      <c r="FU194" s="8"/>
      <c r="FV194" s="7"/>
      <c r="FW194" s="19"/>
      <c r="FX194" s="19"/>
      <c r="FY194" s="19"/>
      <c r="FZ194" s="19"/>
      <c r="GB194" s="8"/>
      <c r="GC194" s="7"/>
      <c r="GD194" s="19"/>
      <c r="GE194" s="19"/>
      <c r="GF194" s="19"/>
      <c r="GG194" s="19"/>
      <c r="GI194" s="8"/>
      <c r="GJ194" s="7"/>
      <c r="GK194" s="19"/>
      <c r="GL194" s="19"/>
      <c r="GM194" s="19"/>
      <c r="GN194" s="19"/>
      <c r="GP194" s="8"/>
      <c r="GQ194" s="7"/>
      <c r="GR194" s="19"/>
      <c r="GS194" s="19"/>
      <c r="GT194" s="19"/>
      <c r="GU194" s="19"/>
      <c r="GW194" s="8"/>
      <c r="GX194" s="7"/>
      <c r="GY194" s="19"/>
      <c r="GZ194" s="19"/>
      <c r="HA194" s="19"/>
      <c r="HB194" s="19"/>
      <c r="HD194" s="8"/>
      <c r="HE194" s="7"/>
      <c r="HF194" s="19"/>
      <c r="HG194" s="19"/>
      <c r="HH194" s="19"/>
      <c r="HI194" s="19"/>
      <c r="HK194" s="8"/>
      <c r="HL194" s="7"/>
      <c r="HM194" s="19"/>
      <c r="HN194" s="19"/>
      <c r="HO194" s="19"/>
      <c r="HP194" s="19"/>
      <c r="HR194" s="8"/>
      <c r="HS194" s="7"/>
      <c r="HT194" s="19"/>
      <c r="HU194" s="19"/>
      <c r="HV194" s="19"/>
      <c r="HW194" s="19"/>
      <c r="HY194" s="8"/>
      <c r="HZ194" s="7"/>
      <c r="IA194" s="19"/>
      <c r="IB194" s="19"/>
      <c r="IC194" s="19"/>
      <c r="ID194" s="19"/>
      <c r="IF194" s="8"/>
      <c r="IG194" s="7"/>
      <c r="IH194" s="19"/>
      <c r="II194" s="19"/>
      <c r="IJ194" s="19"/>
      <c r="IK194" s="19"/>
      <c r="IM194" s="8"/>
      <c r="IN194" s="7"/>
      <c r="IO194" s="19"/>
      <c r="IP194" s="19"/>
      <c r="IQ194" s="19"/>
      <c r="IR194" s="19"/>
      <c r="IT194" s="8"/>
      <c r="IU194" s="7"/>
      <c r="IV194" s="19"/>
      <c r="IW194" s="19"/>
      <c r="IX194" s="19"/>
      <c r="IY194" s="19"/>
      <c r="JA194" s="8"/>
      <c r="JB194" s="7"/>
      <c r="JC194" s="19"/>
      <c r="JD194" s="19"/>
      <c r="JE194" s="19"/>
      <c r="JF194" s="19"/>
      <c r="JH194" s="8"/>
      <c r="JI194" s="7"/>
      <c r="JJ194" s="19"/>
      <c r="JK194" s="19"/>
      <c r="JL194" s="19"/>
      <c r="JM194" s="19"/>
      <c r="JO194" s="8"/>
      <c r="JP194" s="7"/>
      <c r="JQ194" s="19"/>
      <c r="JR194" s="19"/>
      <c r="JS194" s="19"/>
      <c r="JT194" s="19"/>
      <c r="JV194" s="8"/>
      <c r="JW194" s="7"/>
      <c r="JX194" s="19"/>
      <c r="JY194" s="19"/>
      <c r="JZ194" s="19"/>
      <c r="KA194" s="19"/>
      <c r="KC194" s="8"/>
      <c r="KD194" s="7"/>
      <c r="KE194" s="19"/>
      <c r="KF194" s="19"/>
      <c r="KG194" s="19"/>
      <c r="KH194" s="19"/>
      <c r="KJ194" s="8"/>
      <c r="KK194" s="7"/>
      <c r="KL194" s="19"/>
      <c r="KM194" s="19"/>
      <c r="KN194" s="19"/>
      <c r="KO194" s="19"/>
      <c r="KQ194" s="8"/>
      <c r="KR194" s="7"/>
      <c r="KS194" s="19"/>
      <c r="KT194" s="19"/>
      <c r="KU194" s="19"/>
      <c r="KV194" s="19"/>
      <c r="KX194" s="8"/>
      <c r="KY194" s="7"/>
      <c r="KZ194" s="19"/>
      <c r="LA194" s="19"/>
      <c r="LB194" s="19"/>
      <c r="LC194" s="19"/>
      <c r="LE194" s="8"/>
      <c r="LF194" s="7"/>
      <c r="LG194" s="19"/>
      <c r="LH194" s="19"/>
      <c r="LI194" s="19"/>
      <c r="LJ194" s="19"/>
      <c r="LL194" s="8"/>
      <c r="LM194" s="7"/>
      <c r="LN194" s="19"/>
      <c r="LO194" s="19"/>
      <c r="LP194" s="19"/>
      <c r="LQ194" s="19"/>
      <c r="LS194" s="8"/>
      <c r="LT194" s="7"/>
      <c r="LU194" s="19"/>
      <c r="LV194" s="19"/>
      <c r="LW194" s="19"/>
      <c r="LX194" s="19"/>
      <c r="LZ194" s="8"/>
      <c r="MA194" s="7"/>
      <c r="MB194" s="19"/>
      <c r="MC194" s="19"/>
      <c r="MD194" s="19"/>
      <c r="ME194" s="19"/>
      <c r="MG194" s="8"/>
      <c r="MH194" s="7"/>
      <c r="MI194" s="19"/>
      <c r="MJ194" s="19"/>
      <c r="MK194" s="19"/>
      <c r="ML194" s="19"/>
      <c r="MN194" s="8"/>
      <c r="MO194" s="7"/>
      <c r="MP194" s="19"/>
      <c r="MQ194" s="19"/>
      <c r="MR194" s="19"/>
      <c r="MS194" s="19"/>
      <c r="MU194" s="8"/>
      <c r="MV194" s="7"/>
      <c r="MW194" s="19"/>
      <c r="MX194" s="19"/>
      <c r="MY194" s="19"/>
      <c r="MZ194" s="19"/>
      <c r="NB194" s="8"/>
      <c r="NC194" s="7"/>
      <c r="ND194" s="19"/>
      <c r="NE194" s="19"/>
      <c r="NF194" s="19"/>
      <c r="NG194" s="19"/>
      <c r="NI194" s="8"/>
      <c r="NJ194" s="7"/>
      <c r="NK194" s="19"/>
      <c r="NL194" s="19"/>
      <c r="NM194" s="19"/>
      <c r="NN194" s="19"/>
      <c r="NP194" s="8"/>
      <c r="NQ194" s="7"/>
      <c r="NR194" s="19"/>
      <c r="NS194" s="19"/>
      <c r="NT194" s="19"/>
      <c r="NU194" s="19"/>
      <c r="NW194" s="8"/>
      <c r="NX194" s="7"/>
      <c r="NY194" s="19"/>
      <c r="NZ194" s="19"/>
      <c r="OA194" s="19"/>
      <c r="OB194" s="19"/>
      <c r="OD194" s="8"/>
      <c r="OE194" s="7"/>
      <c r="OF194" s="19"/>
      <c r="OG194" s="19"/>
      <c r="OH194" s="19"/>
      <c r="OI194" s="19"/>
      <c r="OK194" s="8"/>
      <c r="OL194" s="7"/>
      <c r="OM194" s="19"/>
      <c r="ON194" s="19"/>
      <c r="OO194" s="19"/>
      <c r="OP194" s="19"/>
      <c r="OR194" s="8"/>
      <c r="OS194" s="7"/>
      <c r="OT194" s="19"/>
      <c r="OU194" s="19"/>
      <c r="OV194" s="19"/>
      <c r="OW194" s="19"/>
      <c r="OY194" s="8"/>
      <c r="OZ194" s="7"/>
      <c r="PA194" s="19"/>
      <c r="PB194" s="19"/>
      <c r="PC194" s="19"/>
      <c r="PD194" s="19"/>
      <c r="PF194" s="8"/>
      <c r="PG194" s="7"/>
      <c r="PH194" s="19"/>
      <c r="PI194" s="19"/>
      <c r="PJ194" s="19"/>
      <c r="PK194" s="19"/>
      <c r="PM194" s="8"/>
    </row>
    <row r="195" spans="1:429" s="1" customFormat="1" ht="24" outlineLevel="1">
      <c r="B195" s="471"/>
      <c r="C195" s="7"/>
      <c r="D195" s="19"/>
      <c r="E195" s="19"/>
      <c r="F195" s="19"/>
      <c r="G195" s="19"/>
      <c r="I195" s="8"/>
      <c r="J195" s="7"/>
      <c r="K195" s="19"/>
      <c r="L195" s="19"/>
      <c r="M195" s="19"/>
      <c r="N195" s="19"/>
      <c r="P195" s="8"/>
      <c r="Q195" s="7"/>
      <c r="R195" s="19"/>
      <c r="S195" s="19"/>
      <c r="T195" s="19"/>
      <c r="U195" s="19"/>
      <c r="W195" s="8"/>
      <c r="X195" s="7"/>
      <c r="Y195" s="19"/>
      <c r="Z195" s="19"/>
      <c r="AA195" s="19"/>
      <c r="AB195" s="19"/>
      <c r="AD195" s="8"/>
      <c r="AE195" s="7"/>
      <c r="AF195" s="19"/>
      <c r="AG195" s="19"/>
      <c r="AH195" s="19"/>
      <c r="AI195" s="19"/>
      <c r="AK195" s="8"/>
      <c r="AL195" s="7"/>
      <c r="AM195" s="19"/>
      <c r="AN195" s="19"/>
      <c r="AO195" s="19"/>
      <c r="AP195" s="19"/>
      <c r="AR195" s="8"/>
      <c r="AS195" s="7"/>
      <c r="AT195" s="19"/>
      <c r="AU195" s="19"/>
      <c r="AV195" s="19"/>
      <c r="AW195" s="19"/>
      <c r="AY195" s="8"/>
      <c r="AZ195" s="7"/>
      <c r="BA195" s="19"/>
      <c r="BB195" s="19"/>
      <c r="BC195" s="19"/>
      <c r="BD195" s="19"/>
      <c r="BF195" s="8"/>
      <c r="BG195" s="7"/>
      <c r="BH195" s="19"/>
      <c r="BI195" s="19"/>
      <c r="BJ195" s="19"/>
      <c r="BK195" s="19"/>
      <c r="BM195" s="8"/>
      <c r="BN195" s="7"/>
      <c r="BO195" s="19"/>
      <c r="BP195" s="19"/>
      <c r="BQ195" s="19"/>
      <c r="BR195" s="19"/>
      <c r="BT195" s="8"/>
      <c r="BU195" s="7"/>
      <c r="BV195" s="19"/>
      <c r="BW195" s="19"/>
      <c r="BX195" s="19"/>
      <c r="BY195" s="19"/>
      <c r="CA195" s="8"/>
      <c r="CB195" s="7"/>
      <c r="CC195" s="19"/>
      <c r="CD195" s="19"/>
      <c r="CE195" s="19"/>
      <c r="CF195" s="19"/>
      <c r="CH195" s="8"/>
      <c r="CI195" s="7"/>
      <c r="CJ195" s="19"/>
      <c r="CK195" s="19"/>
      <c r="CL195" s="19"/>
      <c r="CM195" s="19"/>
      <c r="CO195" s="8"/>
      <c r="CP195" s="7"/>
      <c r="CQ195" s="19"/>
      <c r="CR195" s="19"/>
      <c r="CS195" s="19"/>
      <c r="CT195" s="19"/>
      <c r="CV195" s="8"/>
      <c r="CW195" s="7"/>
      <c r="CX195" s="19"/>
      <c r="CY195" s="19"/>
      <c r="CZ195" s="19"/>
      <c r="DA195" s="19"/>
      <c r="DC195" s="8"/>
      <c r="DD195" s="7"/>
      <c r="DE195" s="19"/>
      <c r="DF195" s="19"/>
      <c r="DG195" s="19"/>
      <c r="DH195" s="19"/>
      <c r="DJ195" s="8"/>
      <c r="DK195" s="7"/>
      <c r="DL195" s="19"/>
      <c r="DM195" s="19"/>
      <c r="DN195" s="19"/>
      <c r="DO195" s="19"/>
      <c r="DQ195" s="8"/>
      <c r="DR195" s="7"/>
      <c r="DS195" s="19"/>
      <c r="DT195" s="19"/>
      <c r="DU195" s="19"/>
      <c r="DV195" s="19"/>
      <c r="DX195" s="8"/>
      <c r="DY195" s="7"/>
      <c r="DZ195" s="19"/>
      <c r="EA195" s="19"/>
      <c r="EB195" s="19"/>
      <c r="EC195" s="19"/>
      <c r="EE195" s="8"/>
      <c r="EF195" s="7"/>
      <c r="EG195" s="19"/>
      <c r="EH195" s="19"/>
      <c r="EI195" s="19"/>
      <c r="EJ195" s="19"/>
      <c r="EL195" s="8"/>
      <c r="EM195" s="7"/>
      <c r="EN195" s="19"/>
      <c r="EO195" s="19"/>
      <c r="EP195" s="19"/>
      <c r="EQ195" s="19"/>
      <c r="ES195" s="8"/>
      <c r="ET195" s="7"/>
      <c r="EU195" s="19"/>
      <c r="EV195" s="19"/>
      <c r="EW195" s="19"/>
      <c r="EX195" s="19"/>
      <c r="EZ195" s="8"/>
      <c r="FA195" s="7"/>
      <c r="FB195" s="19"/>
      <c r="FC195" s="19"/>
      <c r="FD195" s="19"/>
      <c r="FE195" s="19"/>
      <c r="FG195" s="8"/>
      <c r="FH195" s="7"/>
      <c r="FI195" s="19"/>
      <c r="FJ195" s="19"/>
      <c r="FK195" s="19"/>
      <c r="FL195" s="19"/>
      <c r="FN195" s="8"/>
      <c r="FO195" s="7"/>
      <c r="FP195" s="19"/>
      <c r="FQ195" s="19"/>
      <c r="FR195" s="19"/>
      <c r="FS195" s="19"/>
      <c r="FU195" s="8"/>
      <c r="FV195" s="7"/>
      <c r="FW195" s="19"/>
      <c r="FX195" s="19"/>
      <c r="FY195" s="19"/>
      <c r="FZ195" s="19"/>
      <c r="GB195" s="8"/>
      <c r="GC195" s="7"/>
      <c r="GD195" s="19"/>
      <c r="GE195" s="19"/>
      <c r="GF195" s="19"/>
      <c r="GG195" s="19"/>
      <c r="GI195" s="8"/>
      <c r="GJ195" s="7"/>
      <c r="GK195" s="19"/>
      <c r="GL195" s="19"/>
      <c r="GM195" s="19"/>
      <c r="GN195" s="19"/>
      <c r="GP195" s="8"/>
      <c r="GQ195" s="7"/>
      <c r="GR195" s="19"/>
      <c r="GS195" s="19"/>
      <c r="GT195" s="19"/>
      <c r="GU195" s="19"/>
      <c r="GW195" s="8"/>
      <c r="GX195" s="7"/>
      <c r="GY195" s="19"/>
      <c r="GZ195" s="19"/>
      <c r="HA195" s="19"/>
      <c r="HB195" s="19"/>
      <c r="HD195" s="8"/>
      <c r="HE195" s="7"/>
      <c r="HF195" s="19"/>
      <c r="HG195" s="19"/>
      <c r="HH195" s="19"/>
      <c r="HI195" s="19"/>
      <c r="HK195" s="8"/>
      <c r="HL195" s="7"/>
      <c r="HM195" s="19"/>
      <c r="HN195" s="19"/>
      <c r="HO195" s="19"/>
      <c r="HP195" s="19"/>
      <c r="HR195" s="8"/>
      <c r="HS195" s="7"/>
      <c r="HT195" s="19"/>
      <c r="HU195" s="19"/>
      <c r="HV195" s="19"/>
      <c r="HW195" s="19"/>
      <c r="HY195" s="8"/>
      <c r="HZ195" s="7"/>
      <c r="IA195" s="19"/>
      <c r="IB195" s="19"/>
      <c r="IC195" s="19"/>
      <c r="ID195" s="19"/>
      <c r="IF195" s="8"/>
      <c r="IG195" s="7"/>
      <c r="IH195" s="19"/>
      <c r="II195" s="19"/>
      <c r="IJ195" s="19"/>
      <c r="IK195" s="19"/>
      <c r="IM195" s="8"/>
      <c r="IN195" s="7"/>
      <c r="IO195" s="19"/>
      <c r="IP195" s="19"/>
      <c r="IQ195" s="19"/>
      <c r="IR195" s="19"/>
      <c r="IT195" s="8"/>
      <c r="IU195" s="7"/>
      <c r="IV195" s="19"/>
      <c r="IW195" s="19"/>
      <c r="IX195" s="19"/>
      <c r="IY195" s="19"/>
      <c r="JA195" s="8"/>
      <c r="JB195" s="7"/>
      <c r="JC195" s="19"/>
      <c r="JD195" s="19"/>
      <c r="JE195" s="19"/>
      <c r="JF195" s="19"/>
      <c r="JH195" s="8"/>
      <c r="JI195" s="7"/>
      <c r="JJ195" s="19"/>
      <c r="JK195" s="19"/>
      <c r="JL195" s="19"/>
      <c r="JM195" s="19"/>
      <c r="JO195" s="8"/>
      <c r="JP195" s="7"/>
      <c r="JQ195" s="19"/>
      <c r="JR195" s="19"/>
      <c r="JS195" s="19"/>
      <c r="JT195" s="19"/>
      <c r="JV195" s="8"/>
      <c r="JW195" s="7"/>
      <c r="JX195" s="19"/>
      <c r="JY195" s="19"/>
      <c r="JZ195" s="19"/>
      <c r="KA195" s="19"/>
      <c r="KC195" s="8"/>
      <c r="KD195" s="7"/>
      <c r="KE195" s="19"/>
      <c r="KF195" s="19"/>
      <c r="KG195" s="19"/>
      <c r="KH195" s="19"/>
      <c r="KJ195" s="8"/>
      <c r="KK195" s="7"/>
      <c r="KL195" s="19"/>
      <c r="KM195" s="19"/>
      <c r="KN195" s="19"/>
      <c r="KO195" s="19"/>
      <c r="KQ195" s="8"/>
      <c r="KR195" s="7"/>
      <c r="KS195" s="19"/>
      <c r="KT195" s="19"/>
      <c r="KU195" s="19"/>
      <c r="KV195" s="19"/>
      <c r="KX195" s="8"/>
      <c r="KY195" s="7"/>
      <c r="KZ195" s="19"/>
      <c r="LA195" s="19"/>
      <c r="LB195" s="19"/>
      <c r="LC195" s="19"/>
      <c r="LE195" s="8"/>
      <c r="LF195" s="7"/>
      <c r="LG195" s="19"/>
      <c r="LH195" s="19"/>
      <c r="LI195" s="19"/>
      <c r="LJ195" s="19"/>
      <c r="LL195" s="8"/>
      <c r="LM195" s="7"/>
      <c r="LN195" s="19"/>
      <c r="LO195" s="19"/>
      <c r="LP195" s="19"/>
      <c r="LQ195" s="19"/>
      <c r="LS195" s="8"/>
      <c r="LT195" s="7"/>
      <c r="LU195" s="19"/>
      <c r="LV195" s="19"/>
      <c r="LW195" s="19"/>
      <c r="LX195" s="19"/>
      <c r="LZ195" s="8"/>
      <c r="MA195" s="7"/>
      <c r="MB195" s="19"/>
      <c r="MC195" s="19"/>
      <c r="MD195" s="19"/>
      <c r="ME195" s="19"/>
      <c r="MG195" s="8"/>
      <c r="MH195" s="7"/>
      <c r="MI195" s="19"/>
      <c r="MJ195" s="19"/>
      <c r="MK195" s="19"/>
      <c r="ML195" s="19"/>
      <c r="MN195" s="8"/>
      <c r="MO195" s="7"/>
      <c r="MP195" s="19"/>
      <c r="MQ195" s="19"/>
      <c r="MR195" s="19"/>
      <c r="MS195" s="19"/>
      <c r="MU195" s="8"/>
      <c r="MV195" s="7"/>
      <c r="MW195" s="19"/>
      <c r="MX195" s="19"/>
      <c r="MY195" s="19"/>
      <c r="MZ195" s="19"/>
      <c r="NB195" s="8"/>
      <c r="NC195" s="7"/>
      <c r="ND195" s="19"/>
      <c r="NE195" s="19"/>
      <c r="NF195" s="19"/>
      <c r="NG195" s="19"/>
      <c r="NI195" s="8"/>
      <c r="NJ195" s="7"/>
      <c r="NK195" s="19"/>
      <c r="NL195" s="19"/>
      <c r="NM195" s="19"/>
      <c r="NN195" s="19"/>
      <c r="NP195" s="8"/>
      <c r="NQ195" s="7"/>
      <c r="NR195" s="19"/>
      <c r="NS195" s="19"/>
      <c r="NT195" s="19"/>
      <c r="NU195" s="19"/>
      <c r="NW195" s="8"/>
      <c r="NX195" s="7"/>
      <c r="NY195" s="19"/>
      <c r="NZ195" s="19"/>
      <c r="OA195" s="19"/>
      <c r="OB195" s="19"/>
      <c r="OD195" s="8"/>
      <c r="OE195" s="7"/>
      <c r="OF195" s="19"/>
      <c r="OG195" s="19"/>
      <c r="OH195" s="19"/>
      <c r="OI195" s="19"/>
      <c r="OK195" s="8"/>
      <c r="OL195" s="7"/>
      <c r="OM195" s="19"/>
      <c r="ON195" s="19"/>
      <c r="OO195" s="19"/>
      <c r="OP195" s="19"/>
      <c r="OR195" s="8"/>
      <c r="OS195" s="7"/>
      <c r="OT195" s="19"/>
      <c r="OU195" s="19"/>
      <c r="OV195" s="19"/>
      <c r="OW195" s="19"/>
      <c r="OY195" s="8"/>
      <c r="OZ195" s="7"/>
      <c r="PA195" s="19"/>
      <c r="PB195" s="19"/>
      <c r="PC195" s="19"/>
      <c r="PD195" s="19"/>
      <c r="PF195" s="8"/>
      <c r="PG195" s="7"/>
      <c r="PH195" s="19"/>
      <c r="PI195" s="19"/>
      <c r="PJ195" s="19"/>
      <c r="PK195" s="19"/>
      <c r="PM195" s="8"/>
    </row>
    <row r="196" spans="1:429" s="1" customFormat="1" ht="24" outlineLevel="1">
      <c r="B196" s="471"/>
      <c r="C196" s="7"/>
      <c r="D196" s="19"/>
      <c r="E196" s="19"/>
      <c r="F196" s="19"/>
      <c r="G196" s="19"/>
      <c r="I196" s="8"/>
      <c r="J196" s="7"/>
      <c r="K196" s="19"/>
      <c r="L196" s="19"/>
      <c r="M196" s="19"/>
      <c r="N196" s="19"/>
      <c r="P196" s="8"/>
      <c r="Q196" s="7"/>
      <c r="R196" s="19"/>
      <c r="S196" s="19"/>
      <c r="T196" s="19"/>
      <c r="U196" s="19"/>
      <c r="W196" s="8"/>
      <c r="X196" s="7"/>
      <c r="Y196" s="19"/>
      <c r="Z196" s="19"/>
      <c r="AA196" s="19"/>
      <c r="AB196" s="19"/>
      <c r="AD196" s="8"/>
      <c r="AE196" s="7"/>
      <c r="AF196" s="19"/>
      <c r="AG196" s="19"/>
      <c r="AH196" s="19"/>
      <c r="AI196" s="19"/>
      <c r="AK196" s="8"/>
      <c r="AL196" s="7"/>
      <c r="AM196" s="19"/>
      <c r="AN196" s="19"/>
      <c r="AO196" s="19"/>
      <c r="AP196" s="19"/>
      <c r="AR196" s="8"/>
      <c r="AS196" s="7"/>
      <c r="AT196" s="19"/>
      <c r="AU196" s="19"/>
      <c r="AV196" s="19"/>
      <c r="AW196" s="19"/>
      <c r="AY196" s="8"/>
      <c r="AZ196" s="7"/>
      <c r="BA196" s="19"/>
      <c r="BB196" s="19"/>
      <c r="BC196" s="19"/>
      <c r="BD196" s="19"/>
      <c r="BF196" s="8"/>
      <c r="BG196" s="7"/>
      <c r="BH196" s="19"/>
      <c r="BI196" s="19"/>
      <c r="BJ196" s="19"/>
      <c r="BK196" s="19"/>
      <c r="BM196" s="8"/>
      <c r="BN196" s="7"/>
      <c r="BO196" s="19"/>
      <c r="BP196" s="19"/>
      <c r="BQ196" s="19"/>
      <c r="BR196" s="19"/>
      <c r="BT196" s="8"/>
      <c r="BU196" s="7"/>
      <c r="BV196" s="19"/>
      <c r="BW196" s="19"/>
      <c r="BX196" s="19"/>
      <c r="BY196" s="19"/>
      <c r="CA196" s="8"/>
      <c r="CB196" s="7"/>
      <c r="CC196" s="19"/>
      <c r="CD196" s="19"/>
      <c r="CE196" s="19"/>
      <c r="CF196" s="19"/>
      <c r="CH196" s="8"/>
      <c r="CI196" s="7"/>
      <c r="CJ196" s="19"/>
      <c r="CK196" s="19"/>
      <c r="CL196" s="19"/>
      <c r="CM196" s="19"/>
      <c r="CO196" s="8"/>
      <c r="CP196" s="7"/>
      <c r="CQ196" s="19"/>
      <c r="CR196" s="19"/>
      <c r="CS196" s="19"/>
      <c r="CT196" s="19"/>
      <c r="CV196" s="8"/>
      <c r="CW196" s="7"/>
      <c r="CX196" s="19"/>
      <c r="CY196" s="19"/>
      <c r="CZ196" s="19"/>
      <c r="DA196" s="19"/>
      <c r="DC196" s="8"/>
      <c r="DD196" s="7"/>
      <c r="DE196" s="19"/>
      <c r="DF196" s="19"/>
      <c r="DG196" s="19"/>
      <c r="DH196" s="19"/>
      <c r="DJ196" s="8"/>
      <c r="DK196" s="7"/>
      <c r="DL196" s="19"/>
      <c r="DM196" s="19"/>
      <c r="DN196" s="19"/>
      <c r="DO196" s="19"/>
      <c r="DQ196" s="8"/>
      <c r="DR196" s="7"/>
      <c r="DS196" s="19"/>
      <c r="DT196" s="19"/>
      <c r="DU196" s="19"/>
      <c r="DV196" s="19"/>
      <c r="DX196" s="8"/>
      <c r="DY196" s="7"/>
      <c r="DZ196" s="19"/>
      <c r="EA196" s="19"/>
      <c r="EB196" s="19"/>
      <c r="EC196" s="19"/>
      <c r="EE196" s="8"/>
      <c r="EF196" s="7"/>
      <c r="EG196" s="19"/>
      <c r="EH196" s="19"/>
      <c r="EI196" s="19"/>
      <c r="EJ196" s="19"/>
      <c r="EL196" s="8"/>
      <c r="EM196" s="7"/>
      <c r="EN196" s="19"/>
      <c r="EO196" s="19"/>
      <c r="EP196" s="19"/>
      <c r="EQ196" s="19"/>
      <c r="ES196" s="8"/>
      <c r="ET196" s="7"/>
      <c r="EU196" s="19"/>
      <c r="EV196" s="19"/>
      <c r="EW196" s="19"/>
      <c r="EX196" s="19"/>
      <c r="EZ196" s="8"/>
      <c r="FA196" s="7"/>
      <c r="FB196" s="19"/>
      <c r="FC196" s="19"/>
      <c r="FD196" s="19"/>
      <c r="FE196" s="19"/>
      <c r="FG196" s="8"/>
      <c r="FH196" s="7"/>
      <c r="FI196" s="19"/>
      <c r="FJ196" s="19"/>
      <c r="FK196" s="19"/>
      <c r="FL196" s="19"/>
      <c r="FN196" s="8"/>
      <c r="FO196" s="7"/>
      <c r="FP196" s="19"/>
      <c r="FQ196" s="19"/>
      <c r="FR196" s="19"/>
      <c r="FS196" s="19"/>
      <c r="FU196" s="8"/>
      <c r="FV196" s="7"/>
      <c r="FW196" s="19"/>
      <c r="FX196" s="19"/>
      <c r="FY196" s="19"/>
      <c r="FZ196" s="19"/>
      <c r="GB196" s="8"/>
      <c r="GC196" s="7"/>
      <c r="GD196" s="19"/>
      <c r="GE196" s="19"/>
      <c r="GF196" s="19"/>
      <c r="GG196" s="19"/>
      <c r="GI196" s="8"/>
      <c r="GJ196" s="7"/>
      <c r="GK196" s="19"/>
      <c r="GL196" s="19"/>
      <c r="GM196" s="19"/>
      <c r="GN196" s="19"/>
      <c r="GP196" s="8"/>
      <c r="GQ196" s="7"/>
      <c r="GR196" s="19"/>
      <c r="GS196" s="19"/>
      <c r="GT196" s="19"/>
      <c r="GU196" s="19"/>
      <c r="GW196" s="8"/>
      <c r="GX196" s="7"/>
      <c r="GY196" s="19"/>
      <c r="GZ196" s="19"/>
      <c r="HA196" s="19"/>
      <c r="HB196" s="19"/>
      <c r="HD196" s="8"/>
      <c r="HE196" s="7"/>
      <c r="HF196" s="19"/>
      <c r="HG196" s="19"/>
      <c r="HH196" s="19"/>
      <c r="HI196" s="19"/>
      <c r="HK196" s="8"/>
      <c r="HL196" s="7"/>
      <c r="HM196" s="19"/>
      <c r="HN196" s="19"/>
      <c r="HO196" s="19"/>
      <c r="HP196" s="19"/>
      <c r="HR196" s="8"/>
      <c r="HS196" s="7"/>
      <c r="HT196" s="19"/>
      <c r="HU196" s="19"/>
      <c r="HV196" s="19"/>
      <c r="HW196" s="19"/>
      <c r="HY196" s="8"/>
      <c r="HZ196" s="7"/>
      <c r="IA196" s="19"/>
      <c r="IB196" s="19"/>
      <c r="IC196" s="19"/>
      <c r="ID196" s="19"/>
      <c r="IF196" s="8"/>
      <c r="IG196" s="7"/>
      <c r="IH196" s="19"/>
      <c r="II196" s="19"/>
      <c r="IJ196" s="19"/>
      <c r="IK196" s="19"/>
      <c r="IM196" s="8"/>
      <c r="IN196" s="7"/>
      <c r="IO196" s="19"/>
      <c r="IP196" s="19"/>
      <c r="IQ196" s="19"/>
      <c r="IR196" s="19"/>
      <c r="IT196" s="8"/>
      <c r="IU196" s="7"/>
      <c r="IV196" s="19"/>
      <c r="IW196" s="19"/>
      <c r="IX196" s="19"/>
      <c r="IY196" s="19"/>
      <c r="JA196" s="8"/>
      <c r="JB196" s="7"/>
      <c r="JC196" s="19"/>
      <c r="JD196" s="19"/>
      <c r="JE196" s="19"/>
      <c r="JF196" s="19"/>
      <c r="JH196" s="8"/>
      <c r="JI196" s="7"/>
      <c r="JJ196" s="19"/>
      <c r="JK196" s="19"/>
      <c r="JL196" s="19"/>
      <c r="JM196" s="19"/>
      <c r="JO196" s="8"/>
      <c r="JP196" s="7"/>
      <c r="JQ196" s="19"/>
      <c r="JR196" s="19"/>
      <c r="JS196" s="19"/>
      <c r="JT196" s="19"/>
      <c r="JV196" s="8"/>
      <c r="JW196" s="7"/>
      <c r="JX196" s="19"/>
      <c r="JY196" s="19"/>
      <c r="JZ196" s="19"/>
      <c r="KA196" s="19"/>
      <c r="KC196" s="8"/>
      <c r="KD196" s="7"/>
      <c r="KE196" s="19"/>
      <c r="KF196" s="19"/>
      <c r="KG196" s="19"/>
      <c r="KH196" s="19"/>
      <c r="KJ196" s="8"/>
      <c r="KK196" s="7"/>
      <c r="KL196" s="19"/>
      <c r="KM196" s="19"/>
      <c r="KN196" s="19"/>
      <c r="KO196" s="19"/>
      <c r="KQ196" s="8"/>
      <c r="KR196" s="7"/>
      <c r="KS196" s="19"/>
      <c r="KT196" s="19"/>
      <c r="KU196" s="19"/>
      <c r="KV196" s="19"/>
      <c r="KX196" s="8"/>
      <c r="KY196" s="7"/>
      <c r="KZ196" s="19"/>
      <c r="LA196" s="19"/>
      <c r="LB196" s="19"/>
      <c r="LC196" s="19"/>
      <c r="LE196" s="8"/>
      <c r="LF196" s="7"/>
      <c r="LG196" s="19"/>
      <c r="LH196" s="19"/>
      <c r="LI196" s="19"/>
      <c r="LJ196" s="19"/>
      <c r="LL196" s="8"/>
      <c r="LM196" s="7"/>
      <c r="LN196" s="19"/>
      <c r="LO196" s="19"/>
      <c r="LP196" s="19"/>
      <c r="LQ196" s="19"/>
      <c r="LS196" s="8"/>
      <c r="LT196" s="7"/>
      <c r="LU196" s="19"/>
      <c r="LV196" s="19"/>
      <c r="LW196" s="19"/>
      <c r="LX196" s="19"/>
      <c r="LZ196" s="8"/>
      <c r="MA196" s="7"/>
      <c r="MB196" s="19"/>
      <c r="MC196" s="19"/>
      <c r="MD196" s="19"/>
      <c r="ME196" s="19"/>
      <c r="MG196" s="8"/>
      <c r="MH196" s="7"/>
      <c r="MI196" s="19"/>
      <c r="MJ196" s="19"/>
      <c r="MK196" s="19"/>
      <c r="ML196" s="19"/>
      <c r="MN196" s="8"/>
      <c r="MO196" s="7"/>
      <c r="MP196" s="19"/>
      <c r="MQ196" s="19"/>
      <c r="MR196" s="19"/>
      <c r="MS196" s="19"/>
      <c r="MU196" s="8"/>
      <c r="MV196" s="7"/>
      <c r="MW196" s="19"/>
      <c r="MX196" s="19"/>
      <c r="MY196" s="19"/>
      <c r="MZ196" s="19"/>
      <c r="NB196" s="8"/>
      <c r="NC196" s="7"/>
      <c r="ND196" s="19"/>
      <c r="NE196" s="19"/>
      <c r="NF196" s="19"/>
      <c r="NG196" s="19"/>
      <c r="NI196" s="8"/>
      <c r="NJ196" s="7"/>
      <c r="NK196" s="19"/>
      <c r="NL196" s="19"/>
      <c r="NM196" s="19"/>
      <c r="NN196" s="19"/>
      <c r="NP196" s="8"/>
      <c r="NQ196" s="7"/>
      <c r="NR196" s="19"/>
      <c r="NS196" s="19"/>
      <c r="NT196" s="19"/>
      <c r="NU196" s="19"/>
      <c r="NW196" s="8"/>
      <c r="NX196" s="7"/>
      <c r="NY196" s="19"/>
      <c r="NZ196" s="19"/>
      <c r="OA196" s="19"/>
      <c r="OB196" s="19"/>
      <c r="OD196" s="8"/>
      <c r="OE196" s="7"/>
      <c r="OF196" s="19"/>
      <c r="OG196" s="19"/>
      <c r="OH196" s="19"/>
      <c r="OI196" s="19"/>
      <c r="OK196" s="8"/>
      <c r="OL196" s="7"/>
      <c r="OM196" s="19"/>
      <c r="ON196" s="19"/>
      <c r="OO196" s="19"/>
      <c r="OP196" s="19"/>
      <c r="OR196" s="8"/>
      <c r="OS196" s="7"/>
      <c r="OT196" s="19"/>
      <c r="OU196" s="19"/>
      <c r="OV196" s="19"/>
      <c r="OW196" s="19"/>
      <c r="OY196" s="8"/>
      <c r="OZ196" s="7"/>
      <c r="PA196" s="19"/>
      <c r="PB196" s="19"/>
      <c r="PC196" s="19"/>
      <c r="PD196" s="19"/>
      <c r="PF196" s="8"/>
      <c r="PG196" s="7"/>
      <c r="PH196" s="19"/>
      <c r="PI196" s="19"/>
      <c r="PJ196" s="19"/>
      <c r="PK196" s="19"/>
      <c r="PM196" s="8"/>
    </row>
    <row r="197" spans="1:429" s="475" customFormat="1" ht="19" customHeight="1">
      <c r="A197" s="6" t="s">
        <v>408</v>
      </c>
      <c r="B197" s="472"/>
      <c r="C197" s="10"/>
      <c r="D197" s="20"/>
      <c r="E197" s="20"/>
      <c r="F197" s="20"/>
      <c r="G197" s="20"/>
      <c r="H197" s="10"/>
      <c r="I197" s="10"/>
      <c r="J197" s="10"/>
      <c r="K197" s="20"/>
      <c r="L197" s="20"/>
      <c r="M197" s="20"/>
      <c r="N197" s="20"/>
      <c r="O197" s="10"/>
      <c r="P197" s="10"/>
      <c r="Q197" s="10"/>
      <c r="R197" s="20"/>
      <c r="S197" s="20"/>
      <c r="T197" s="20"/>
      <c r="U197" s="20"/>
      <c r="V197" s="10"/>
      <c r="W197" s="10"/>
      <c r="X197" s="10"/>
      <c r="Y197" s="20"/>
      <c r="Z197" s="20"/>
      <c r="AA197" s="20"/>
      <c r="AB197" s="20"/>
      <c r="AC197" s="10"/>
      <c r="AD197" s="10"/>
      <c r="AE197" s="10"/>
      <c r="AF197" s="20"/>
      <c r="AG197" s="20"/>
      <c r="AH197" s="20"/>
      <c r="AI197" s="20"/>
      <c r="AJ197" s="10"/>
      <c r="AK197" s="10"/>
      <c r="AL197" s="10"/>
      <c r="AM197" s="20"/>
      <c r="AN197" s="20"/>
      <c r="AO197" s="20"/>
      <c r="AP197" s="20"/>
      <c r="AQ197" s="10"/>
      <c r="AR197" s="10"/>
      <c r="AS197" s="10"/>
      <c r="AT197" s="20"/>
      <c r="AU197" s="20"/>
      <c r="AV197" s="20"/>
      <c r="AW197" s="20"/>
      <c r="AX197" s="10"/>
      <c r="AY197" s="10"/>
      <c r="AZ197" s="10"/>
      <c r="BA197" s="20"/>
      <c r="BB197" s="20"/>
      <c r="BC197" s="20"/>
      <c r="BD197" s="20"/>
      <c r="BE197" s="10"/>
      <c r="BF197" s="10"/>
      <c r="BG197" s="10"/>
      <c r="BH197" s="20"/>
      <c r="BI197" s="20"/>
      <c r="BJ197" s="20"/>
      <c r="BK197" s="20"/>
      <c r="BL197" s="10"/>
      <c r="BM197" s="10"/>
      <c r="BN197" s="10"/>
      <c r="BO197" s="20"/>
      <c r="BP197" s="20"/>
      <c r="BQ197" s="20"/>
      <c r="BR197" s="20"/>
      <c r="BS197" s="10"/>
      <c r="BT197" s="10"/>
      <c r="BU197" s="10"/>
      <c r="BV197" s="20"/>
      <c r="BW197" s="20"/>
      <c r="BX197" s="20"/>
      <c r="BY197" s="20"/>
      <c r="BZ197" s="10"/>
      <c r="CA197" s="10"/>
      <c r="CB197" s="10"/>
      <c r="CC197" s="20"/>
      <c r="CD197" s="20"/>
      <c r="CE197" s="20"/>
      <c r="CF197" s="20"/>
      <c r="CG197" s="10"/>
      <c r="CH197" s="10"/>
      <c r="CI197" s="10"/>
      <c r="CJ197" s="20"/>
      <c r="CK197" s="20"/>
      <c r="CL197" s="20"/>
      <c r="CM197" s="20"/>
      <c r="CN197" s="10"/>
      <c r="CO197" s="10"/>
      <c r="CP197" s="10"/>
      <c r="CQ197" s="20"/>
      <c r="CR197" s="20"/>
      <c r="CS197" s="20"/>
      <c r="CT197" s="20"/>
      <c r="CU197" s="10"/>
      <c r="CV197" s="10"/>
      <c r="CW197" s="10"/>
      <c r="CX197" s="20"/>
      <c r="CY197" s="20"/>
      <c r="CZ197" s="20"/>
      <c r="DA197" s="20"/>
      <c r="DB197" s="10"/>
      <c r="DC197" s="10"/>
      <c r="DD197" s="10"/>
      <c r="DE197" s="20"/>
      <c r="DF197" s="20"/>
      <c r="DG197" s="20"/>
      <c r="DH197" s="20"/>
      <c r="DI197" s="10"/>
      <c r="DJ197" s="10"/>
      <c r="DK197" s="10"/>
      <c r="DL197" s="20"/>
      <c r="DM197" s="20"/>
      <c r="DN197" s="20"/>
      <c r="DO197" s="20"/>
      <c r="DP197" s="10"/>
      <c r="DQ197" s="10"/>
      <c r="DR197" s="10"/>
      <c r="DS197" s="20"/>
      <c r="DT197" s="20"/>
      <c r="DU197" s="20"/>
      <c r="DV197" s="20"/>
      <c r="DW197" s="10"/>
      <c r="DX197" s="10"/>
      <c r="DY197" s="10"/>
      <c r="DZ197" s="20"/>
      <c r="EA197" s="20"/>
      <c r="EB197" s="20"/>
      <c r="EC197" s="20"/>
      <c r="ED197" s="10"/>
      <c r="EE197" s="10"/>
      <c r="EF197" s="10"/>
      <c r="EG197" s="20"/>
      <c r="EH197" s="20"/>
      <c r="EI197" s="20"/>
      <c r="EJ197" s="20"/>
      <c r="EK197" s="10"/>
      <c r="EL197" s="10"/>
      <c r="EM197" s="10"/>
      <c r="EN197" s="20"/>
      <c r="EO197" s="20"/>
      <c r="EP197" s="20"/>
      <c r="EQ197" s="20"/>
      <c r="ER197" s="10"/>
      <c r="ES197" s="10"/>
      <c r="ET197" s="10"/>
      <c r="EU197" s="20"/>
      <c r="EV197" s="20"/>
      <c r="EW197" s="20"/>
      <c r="EX197" s="20"/>
      <c r="EY197" s="10"/>
      <c r="EZ197" s="10"/>
      <c r="FA197" s="10"/>
      <c r="FB197" s="20"/>
      <c r="FC197" s="20"/>
      <c r="FD197" s="20"/>
      <c r="FE197" s="20"/>
      <c r="FF197" s="10"/>
      <c r="FG197" s="10"/>
      <c r="FH197" s="10"/>
      <c r="FI197" s="20"/>
      <c r="FJ197" s="20"/>
      <c r="FK197" s="20"/>
      <c r="FL197" s="20"/>
      <c r="FM197" s="10"/>
      <c r="FN197" s="10"/>
      <c r="FO197" s="10"/>
      <c r="FP197" s="20"/>
      <c r="FQ197" s="20"/>
      <c r="FR197" s="20"/>
      <c r="FS197" s="20"/>
      <c r="FT197" s="10"/>
      <c r="FU197" s="10"/>
      <c r="FV197" s="10"/>
      <c r="FW197" s="20"/>
      <c r="FX197" s="20"/>
      <c r="FY197" s="20"/>
      <c r="FZ197" s="20"/>
      <c r="GA197" s="10"/>
      <c r="GB197" s="10"/>
      <c r="GC197" s="10"/>
      <c r="GD197" s="20"/>
      <c r="GE197" s="20"/>
      <c r="GF197" s="20"/>
      <c r="GG197" s="20"/>
      <c r="GH197" s="10"/>
      <c r="GI197" s="10"/>
      <c r="GJ197" s="10"/>
      <c r="GK197" s="20"/>
      <c r="GL197" s="20"/>
      <c r="GM197" s="20"/>
      <c r="GN197" s="20"/>
      <c r="GO197" s="10"/>
      <c r="GP197" s="10"/>
      <c r="GQ197" s="10"/>
      <c r="GR197" s="20"/>
      <c r="GS197" s="20"/>
      <c r="GT197" s="20"/>
      <c r="GU197" s="20"/>
      <c r="GV197" s="10"/>
      <c r="GW197" s="10"/>
      <c r="GX197" s="10"/>
      <c r="GY197" s="20"/>
      <c r="GZ197" s="20"/>
      <c r="HA197" s="20"/>
      <c r="HB197" s="20"/>
      <c r="HC197" s="10"/>
      <c r="HD197" s="10"/>
      <c r="HE197" s="10"/>
      <c r="HF197" s="20"/>
      <c r="HG197" s="20"/>
      <c r="HH197" s="20"/>
      <c r="HI197" s="20"/>
      <c r="HJ197" s="10"/>
      <c r="HK197" s="10"/>
      <c r="HL197" s="10"/>
      <c r="HM197" s="20"/>
      <c r="HN197" s="20"/>
      <c r="HO197" s="20"/>
      <c r="HP197" s="20"/>
      <c r="HQ197" s="10"/>
      <c r="HR197" s="10"/>
      <c r="HS197" s="10"/>
      <c r="HT197" s="20"/>
      <c r="HU197" s="20"/>
      <c r="HV197" s="20"/>
      <c r="HW197" s="20"/>
      <c r="HX197" s="10"/>
      <c r="HY197" s="10"/>
      <c r="HZ197" s="10"/>
      <c r="IA197" s="20"/>
      <c r="IB197" s="20"/>
      <c r="IC197" s="20"/>
      <c r="ID197" s="20"/>
      <c r="IE197" s="10"/>
      <c r="IF197" s="10"/>
      <c r="IG197" s="10"/>
      <c r="IH197" s="20"/>
      <c r="II197" s="20"/>
      <c r="IJ197" s="20"/>
      <c r="IK197" s="20"/>
      <c r="IL197" s="10"/>
      <c r="IM197" s="10"/>
      <c r="IN197" s="10"/>
      <c r="IO197" s="20"/>
      <c r="IP197" s="20"/>
      <c r="IQ197" s="20"/>
      <c r="IR197" s="20"/>
      <c r="IS197" s="10"/>
      <c r="IT197" s="10"/>
      <c r="IU197" s="10"/>
      <c r="IV197" s="20"/>
      <c r="IW197" s="20"/>
      <c r="IX197" s="20"/>
      <c r="IY197" s="20"/>
      <c r="IZ197" s="10"/>
      <c r="JA197" s="10"/>
      <c r="JB197" s="10"/>
      <c r="JC197" s="20"/>
      <c r="JD197" s="20"/>
      <c r="JE197" s="20"/>
      <c r="JF197" s="20"/>
      <c r="JG197" s="10"/>
      <c r="JH197" s="10"/>
      <c r="JI197" s="10"/>
      <c r="JJ197" s="20"/>
      <c r="JK197" s="20"/>
      <c r="JL197" s="20"/>
      <c r="JM197" s="20"/>
      <c r="JN197" s="10"/>
      <c r="JO197" s="10"/>
      <c r="JP197" s="10"/>
      <c r="JQ197" s="20"/>
      <c r="JR197" s="20"/>
      <c r="JS197" s="20"/>
      <c r="JT197" s="20"/>
      <c r="JU197" s="10"/>
      <c r="JV197" s="10"/>
      <c r="JW197" s="10"/>
      <c r="JX197" s="20"/>
      <c r="JY197" s="20"/>
      <c r="JZ197" s="20"/>
      <c r="KA197" s="20"/>
      <c r="KB197" s="10"/>
      <c r="KC197" s="10"/>
      <c r="KD197" s="10"/>
      <c r="KE197" s="20"/>
      <c r="KF197" s="20"/>
      <c r="KG197" s="20"/>
      <c r="KH197" s="20"/>
      <c r="KI197" s="10"/>
      <c r="KJ197" s="10"/>
      <c r="KK197" s="10"/>
      <c r="KL197" s="20"/>
      <c r="KM197" s="20"/>
      <c r="KN197" s="20"/>
      <c r="KO197" s="20"/>
      <c r="KP197" s="10"/>
      <c r="KQ197" s="10"/>
      <c r="KR197" s="10"/>
      <c r="KS197" s="20"/>
      <c r="KT197" s="20"/>
      <c r="KU197" s="20"/>
      <c r="KV197" s="20"/>
      <c r="KW197" s="10"/>
      <c r="KX197" s="10"/>
      <c r="KY197" s="10"/>
      <c r="KZ197" s="20"/>
      <c r="LA197" s="20"/>
      <c r="LB197" s="20"/>
      <c r="LC197" s="20"/>
      <c r="LD197" s="10"/>
      <c r="LE197" s="10"/>
      <c r="LF197" s="10"/>
      <c r="LG197" s="20"/>
      <c r="LH197" s="20"/>
      <c r="LI197" s="20"/>
      <c r="LJ197" s="20"/>
      <c r="LK197" s="10"/>
      <c r="LL197" s="10"/>
      <c r="LM197" s="10"/>
      <c r="LN197" s="20"/>
      <c r="LO197" s="20"/>
      <c r="LP197" s="20"/>
      <c r="LQ197" s="20"/>
      <c r="LR197" s="10"/>
      <c r="LS197" s="10"/>
      <c r="LT197" s="10"/>
      <c r="LU197" s="20"/>
      <c r="LV197" s="20"/>
      <c r="LW197" s="20"/>
      <c r="LX197" s="20"/>
      <c r="LY197" s="10"/>
      <c r="LZ197" s="10"/>
      <c r="MA197" s="10"/>
      <c r="MB197" s="20"/>
      <c r="MC197" s="20"/>
      <c r="MD197" s="20"/>
      <c r="ME197" s="20"/>
      <c r="MF197" s="10"/>
      <c r="MG197" s="10"/>
      <c r="MH197" s="10"/>
      <c r="MI197" s="20"/>
      <c r="MJ197" s="20"/>
      <c r="MK197" s="20"/>
      <c r="ML197" s="20"/>
      <c r="MM197" s="10"/>
      <c r="MN197" s="10"/>
      <c r="MO197" s="10"/>
      <c r="MP197" s="20"/>
      <c r="MQ197" s="20"/>
      <c r="MR197" s="20"/>
      <c r="MS197" s="20"/>
      <c r="MT197" s="10"/>
      <c r="MU197" s="10"/>
      <c r="MV197" s="10"/>
      <c r="MW197" s="20"/>
      <c r="MX197" s="20"/>
      <c r="MY197" s="20"/>
      <c r="MZ197" s="20"/>
      <c r="NA197" s="10"/>
      <c r="NB197" s="10"/>
      <c r="NC197" s="10"/>
      <c r="ND197" s="20"/>
      <c r="NE197" s="20"/>
      <c r="NF197" s="20"/>
      <c r="NG197" s="20"/>
      <c r="NH197" s="10"/>
      <c r="NI197" s="10"/>
      <c r="NJ197" s="10"/>
      <c r="NK197" s="20"/>
      <c r="NL197" s="20"/>
      <c r="NM197" s="20"/>
      <c r="NN197" s="20"/>
      <c r="NO197" s="10"/>
      <c r="NP197" s="10"/>
      <c r="NQ197" s="10"/>
      <c r="NR197" s="20"/>
      <c r="NS197" s="20"/>
      <c r="NT197" s="20"/>
      <c r="NU197" s="20"/>
      <c r="NV197" s="10"/>
      <c r="NW197" s="10"/>
      <c r="NX197" s="10"/>
      <c r="NY197" s="20"/>
      <c r="NZ197" s="20"/>
      <c r="OA197" s="20"/>
      <c r="OB197" s="20"/>
      <c r="OC197" s="10"/>
      <c r="OD197" s="10"/>
      <c r="OE197" s="10"/>
      <c r="OF197" s="20"/>
      <c r="OG197" s="20"/>
      <c r="OH197" s="20"/>
      <c r="OI197" s="20"/>
      <c r="OJ197" s="10"/>
      <c r="OK197" s="10"/>
      <c r="OL197" s="10"/>
      <c r="OM197" s="20"/>
      <c r="ON197" s="20"/>
      <c r="OO197" s="20"/>
      <c r="OP197" s="20"/>
      <c r="OQ197" s="10"/>
      <c r="OR197" s="10"/>
      <c r="OS197" s="10"/>
      <c r="OT197" s="20"/>
      <c r="OU197" s="20"/>
      <c r="OV197" s="20"/>
      <c r="OW197" s="20"/>
      <c r="OX197" s="10"/>
      <c r="OY197" s="10"/>
      <c r="OZ197" s="10"/>
      <c r="PA197" s="20"/>
      <c r="PB197" s="20"/>
      <c r="PC197" s="20"/>
      <c r="PD197" s="20"/>
      <c r="PE197" s="10"/>
      <c r="PF197" s="10"/>
      <c r="PG197" s="10"/>
      <c r="PH197" s="20"/>
      <c r="PI197" s="20"/>
      <c r="PJ197" s="20"/>
      <c r="PK197" s="20"/>
      <c r="PL197" s="10"/>
      <c r="PM197" s="10"/>
    </row>
    <row r="198" spans="1:429" s="1" customFormat="1" ht="26" customHeight="1" outlineLevel="1">
      <c r="B198" s="471"/>
      <c r="C198" s="7"/>
      <c r="D198" s="19"/>
      <c r="E198" s="19"/>
      <c r="F198" s="19"/>
      <c r="G198" s="19"/>
      <c r="I198" s="8"/>
      <c r="J198" s="7"/>
      <c r="K198" s="19"/>
      <c r="L198" s="19"/>
      <c r="M198" s="19"/>
      <c r="N198" s="19"/>
      <c r="P198" s="8"/>
      <c r="Q198" s="7"/>
      <c r="R198" s="19"/>
      <c r="S198" s="19"/>
      <c r="T198" s="19"/>
      <c r="U198" s="19"/>
      <c r="W198" s="8"/>
      <c r="X198" s="7"/>
      <c r="Y198" s="19"/>
      <c r="Z198" s="19"/>
      <c r="AA198" s="19"/>
      <c r="AB198" s="19"/>
      <c r="AD198" s="8"/>
      <c r="AE198" s="7"/>
      <c r="AF198" s="19"/>
      <c r="AG198" s="19"/>
      <c r="AH198" s="19"/>
      <c r="AI198" s="19"/>
      <c r="AK198" s="8"/>
      <c r="AL198" s="7"/>
      <c r="AM198" s="19"/>
      <c r="AN198" s="19"/>
      <c r="AO198" s="19"/>
      <c r="AP198" s="19"/>
      <c r="AR198" s="8"/>
      <c r="AS198" s="7"/>
      <c r="AT198" s="19"/>
      <c r="AU198" s="19"/>
      <c r="AV198" s="19"/>
      <c r="AW198" s="19"/>
      <c r="AY198" s="8"/>
      <c r="AZ198" s="7"/>
      <c r="BA198" s="19"/>
      <c r="BB198" s="19"/>
      <c r="BC198" s="19"/>
      <c r="BD198" s="19"/>
      <c r="BF198" s="8"/>
      <c r="BG198" s="7"/>
      <c r="BH198" s="19"/>
      <c r="BI198" s="19"/>
      <c r="BJ198" s="19"/>
      <c r="BK198" s="19"/>
      <c r="BM198" s="8"/>
      <c r="BN198" s="7"/>
      <c r="BO198" s="19"/>
      <c r="BP198" s="19"/>
      <c r="BQ198" s="19"/>
      <c r="BR198" s="19"/>
      <c r="BT198" s="8"/>
      <c r="BU198" s="7"/>
      <c r="BV198" s="19"/>
      <c r="BW198" s="19"/>
      <c r="BX198" s="19"/>
      <c r="BY198" s="19"/>
      <c r="CA198" s="8"/>
      <c r="CB198" s="7"/>
      <c r="CC198" s="19"/>
      <c r="CD198" s="19"/>
      <c r="CE198" s="19"/>
      <c r="CF198" s="19"/>
      <c r="CH198" s="8"/>
      <c r="CI198" s="7"/>
      <c r="CJ198" s="19"/>
      <c r="CK198" s="19"/>
      <c r="CL198" s="19"/>
      <c r="CM198" s="19"/>
      <c r="CO198" s="8"/>
      <c r="CP198" s="7"/>
      <c r="CQ198" s="19"/>
      <c r="CR198" s="19"/>
      <c r="CS198" s="19"/>
      <c r="CT198" s="19"/>
      <c r="CV198" s="8"/>
      <c r="CW198" s="7"/>
      <c r="CX198" s="19"/>
      <c r="CY198" s="19"/>
      <c r="CZ198" s="19"/>
      <c r="DA198" s="19"/>
      <c r="DC198" s="8"/>
      <c r="DD198" s="7"/>
      <c r="DE198" s="19"/>
      <c r="DF198" s="19"/>
      <c r="DG198" s="19"/>
      <c r="DH198" s="19"/>
      <c r="DJ198" s="8"/>
      <c r="DK198" s="7"/>
      <c r="DL198" s="19"/>
      <c r="DM198" s="19"/>
      <c r="DN198" s="19"/>
      <c r="DO198" s="19"/>
      <c r="DQ198" s="8"/>
      <c r="DR198" s="7"/>
      <c r="DS198" s="19"/>
      <c r="DT198" s="19"/>
      <c r="DU198" s="19"/>
      <c r="DV198" s="19"/>
      <c r="DX198" s="8"/>
      <c r="DY198" s="7"/>
      <c r="DZ198" s="19"/>
      <c r="EA198" s="19"/>
      <c r="EB198" s="19"/>
      <c r="EC198" s="19"/>
      <c r="EE198" s="8"/>
      <c r="EF198" s="7"/>
      <c r="EG198" s="19"/>
      <c r="EH198" s="19"/>
      <c r="EI198" s="19"/>
      <c r="EJ198" s="19"/>
      <c r="EL198" s="8"/>
      <c r="EM198" s="7"/>
      <c r="EN198" s="19"/>
      <c r="EO198" s="19"/>
      <c r="EP198" s="19"/>
      <c r="EQ198" s="19"/>
      <c r="ES198" s="8"/>
      <c r="ET198" s="7"/>
      <c r="EU198" s="19"/>
      <c r="EV198" s="19"/>
      <c r="EW198" s="19"/>
      <c r="EX198" s="19"/>
      <c r="EZ198" s="8"/>
      <c r="FA198" s="7"/>
      <c r="FB198" s="19"/>
      <c r="FC198" s="19"/>
      <c r="FD198" s="19"/>
      <c r="FE198" s="19"/>
      <c r="FG198" s="8"/>
      <c r="FH198" s="7"/>
      <c r="FI198" s="19"/>
      <c r="FJ198" s="19"/>
      <c r="FK198" s="19"/>
      <c r="FL198" s="19"/>
      <c r="FN198" s="8"/>
      <c r="FO198" s="7"/>
      <c r="FP198" s="19"/>
      <c r="FQ198" s="19"/>
      <c r="FR198" s="19"/>
      <c r="FS198" s="19"/>
      <c r="FU198" s="8"/>
      <c r="FV198" s="7"/>
      <c r="FW198" s="19"/>
      <c r="FX198" s="19"/>
      <c r="FY198" s="19"/>
      <c r="FZ198" s="19"/>
      <c r="GB198" s="8"/>
      <c r="GC198" s="7"/>
      <c r="GD198" s="19"/>
      <c r="GE198" s="19"/>
      <c r="GF198" s="19"/>
      <c r="GG198" s="19"/>
      <c r="GI198" s="8"/>
      <c r="GJ198" s="7"/>
      <c r="GK198" s="19"/>
      <c r="GL198" s="19"/>
      <c r="GM198" s="19"/>
      <c r="GN198" s="19"/>
      <c r="GP198" s="8"/>
      <c r="GQ198" s="7"/>
      <c r="GR198" s="19"/>
      <c r="GS198" s="19"/>
      <c r="GT198" s="19"/>
      <c r="GU198" s="19"/>
      <c r="GW198" s="8"/>
      <c r="GX198" s="7"/>
      <c r="GY198" s="19"/>
      <c r="GZ198" s="19"/>
      <c r="HA198" s="19"/>
      <c r="HB198" s="19"/>
      <c r="HD198" s="8"/>
      <c r="HE198" s="7"/>
      <c r="HF198" s="19"/>
      <c r="HG198" s="19"/>
      <c r="HH198" s="19"/>
      <c r="HI198" s="19"/>
      <c r="HK198" s="8"/>
      <c r="HL198" s="7"/>
      <c r="HM198" s="19"/>
      <c r="HN198" s="19"/>
      <c r="HO198" s="19"/>
      <c r="HP198" s="19"/>
      <c r="HR198" s="8"/>
      <c r="HS198" s="7"/>
      <c r="HT198" s="19"/>
      <c r="HU198" s="19"/>
      <c r="HV198" s="19"/>
      <c r="HW198" s="19"/>
      <c r="HY198" s="8"/>
      <c r="HZ198" s="7"/>
      <c r="IA198" s="19"/>
      <c r="IB198" s="19"/>
      <c r="IC198" s="19"/>
      <c r="ID198" s="19"/>
      <c r="IF198" s="8"/>
      <c r="IG198" s="7"/>
      <c r="IH198" s="19"/>
      <c r="II198" s="19"/>
      <c r="IJ198" s="19"/>
      <c r="IK198" s="19"/>
      <c r="IM198" s="8"/>
      <c r="IN198" s="7"/>
      <c r="IO198" s="19"/>
      <c r="IP198" s="19"/>
      <c r="IQ198" s="19"/>
      <c r="IR198" s="19"/>
      <c r="IT198" s="8"/>
      <c r="IU198" s="7"/>
      <c r="IV198" s="19"/>
      <c r="IW198" s="19"/>
      <c r="IX198" s="19"/>
      <c r="IY198" s="19"/>
      <c r="JA198" s="8"/>
      <c r="JB198" s="7"/>
      <c r="JC198" s="19"/>
      <c r="JD198" s="19"/>
      <c r="JE198" s="19"/>
      <c r="JF198" s="19"/>
      <c r="JH198" s="8"/>
      <c r="JI198" s="7"/>
      <c r="JJ198" s="19"/>
      <c r="JK198" s="19"/>
      <c r="JL198" s="19"/>
      <c r="JM198" s="19"/>
      <c r="JO198" s="8"/>
      <c r="JP198" s="7"/>
      <c r="JQ198" s="19"/>
      <c r="JR198" s="19"/>
      <c r="JS198" s="19"/>
      <c r="JT198" s="19"/>
      <c r="JV198" s="8"/>
      <c r="JW198" s="7"/>
      <c r="JX198" s="19"/>
      <c r="JY198" s="19"/>
      <c r="JZ198" s="19"/>
      <c r="KA198" s="19"/>
      <c r="KC198" s="8"/>
      <c r="KD198" s="7"/>
      <c r="KE198" s="19"/>
      <c r="KF198" s="19"/>
      <c r="KG198" s="19"/>
      <c r="KH198" s="19"/>
      <c r="KJ198" s="8"/>
      <c r="KK198" s="7"/>
      <c r="KL198" s="19"/>
      <c r="KM198" s="19"/>
      <c r="KN198" s="19"/>
      <c r="KO198" s="19"/>
      <c r="KQ198" s="8"/>
      <c r="KR198" s="7"/>
      <c r="KS198" s="19"/>
      <c r="KT198" s="19"/>
      <c r="KU198" s="19"/>
      <c r="KV198" s="19"/>
      <c r="KX198" s="8"/>
      <c r="KY198" s="7"/>
      <c r="KZ198" s="19"/>
      <c r="LA198" s="19"/>
      <c r="LB198" s="19"/>
      <c r="LC198" s="19"/>
      <c r="LE198" s="8"/>
      <c r="LF198" s="7"/>
      <c r="LG198" s="19"/>
      <c r="LH198" s="19"/>
      <c r="LI198" s="19"/>
      <c r="LJ198" s="19"/>
      <c r="LL198" s="8"/>
      <c r="LM198" s="7"/>
      <c r="LN198" s="19"/>
      <c r="LO198" s="19"/>
      <c r="LP198" s="19"/>
      <c r="LQ198" s="19"/>
      <c r="LS198" s="8"/>
      <c r="LT198" s="7"/>
      <c r="LU198" s="19"/>
      <c r="LV198" s="19"/>
      <c r="LW198" s="19"/>
      <c r="LX198" s="19"/>
      <c r="LZ198" s="8"/>
      <c r="MA198" s="7"/>
      <c r="MB198" s="19"/>
      <c r="MC198" s="19"/>
      <c r="MD198" s="19"/>
      <c r="ME198" s="19"/>
      <c r="MG198" s="8"/>
      <c r="MH198" s="7"/>
      <c r="MI198" s="19"/>
      <c r="MJ198" s="19"/>
      <c r="MK198" s="19"/>
      <c r="ML198" s="19"/>
      <c r="MN198" s="8"/>
      <c r="MO198" s="7"/>
      <c r="MP198" s="19"/>
      <c r="MQ198" s="19"/>
      <c r="MR198" s="19"/>
      <c r="MS198" s="19"/>
      <c r="MU198" s="8"/>
      <c r="MV198" s="7"/>
      <c r="MW198" s="19"/>
      <c r="MX198" s="19"/>
      <c r="MY198" s="19"/>
      <c r="MZ198" s="19"/>
      <c r="NB198" s="8"/>
      <c r="NC198" s="7"/>
      <c r="ND198" s="19"/>
      <c r="NE198" s="19"/>
      <c r="NF198" s="19"/>
      <c r="NG198" s="19"/>
      <c r="NI198" s="8"/>
      <c r="NJ198" s="7"/>
      <c r="NK198" s="19"/>
      <c r="NL198" s="19"/>
      <c r="NM198" s="19"/>
      <c r="NN198" s="19"/>
      <c r="NP198" s="8"/>
      <c r="NQ198" s="7"/>
      <c r="NR198" s="19"/>
      <c r="NS198" s="19"/>
      <c r="NT198" s="19"/>
      <c r="NU198" s="19"/>
      <c r="NW198" s="8"/>
      <c r="NX198" s="7"/>
      <c r="NY198" s="19"/>
      <c r="NZ198" s="19"/>
      <c r="OA198" s="19"/>
      <c r="OB198" s="19"/>
      <c r="OD198" s="8"/>
      <c r="OE198" s="7"/>
      <c r="OF198" s="19"/>
      <c r="OG198" s="19"/>
      <c r="OH198" s="19"/>
      <c r="OI198" s="19"/>
      <c r="OK198" s="8"/>
      <c r="OL198" s="7"/>
      <c r="OM198" s="19"/>
      <c r="ON198" s="19"/>
      <c r="OO198" s="19"/>
      <c r="OP198" s="19"/>
      <c r="OR198" s="8"/>
      <c r="OS198" s="7"/>
      <c r="OT198" s="19"/>
      <c r="OU198" s="19"/>
      <c r="OV198" s="19"/>
      <c r="OW198" s="19"/>
      <c r="OY198" s="8"/>
      <c r="OZ198" s="7"/>
      <c r="PA198" s="19"/>
      <c r="PB198" s="19"/>
      <c r="PC198" s="19"/>
      <c r="PD198" s="19"/>
      <c r="PF198" s="8"/>
      <c r="PG198" s="7"/>
      <c r="PH198" s="19"/>
      <c r="PI198" s="19"/>
      <c r="PJ198" s="19"/>
      <c r="PK198" s="19"/>
      <c r="PM198" s="8"/>
    </row>
    <row r="199" spans="1:429" s="1" customFormat="1" ht="26" customHeight="1" outlineLevel="1">
      <c r="B199" s="471"/>
      <c r="C199" s="7"/>
      <c r="D199" s="19"/>
      <c r="E199" s="19"/>
      <c r="F199" s="19"/>
      <c r="G199" s="19"/>
      <c r="I199" s="8"/>
      <c r="J199" s="7"/>
      <c r="K199" s="19"/>
      <c r="L199" s="19"/>
      <c r="M199" s="19"/>
      <c r="N199" s="19"/>
      <c r="P199" s="8"/>
      <c r="Q199" s="7"/>
      <c r="R199" s="19"/>
      <c r="S199" s="19"/>
      <c r="T199" s="19"/>
      <c r="U199" s="19"/>
      <c r="W199" s="8"/>
      <c r="X199" s="7"/>
      <c r="Y199" s="19"/>
      <c r="Z199" s="19"/>
      <c r="AA199" s="19"/>
      <c r="AB199" s="19"/>
      <c r="AD199" s="8"/>
      <c r="AE199" s="7"/>
      <c r="AF199" s="19"/>
      <c r="AG199" s="19"/>
      <c r="AH199" s="19"/>
      <c r="AI199" s="19"/>
      <c r="AK199" s="8"/>
      <c r="AL199" s="7"/>
      <c r="AM199" s="19"/>
      <c r="AN199" s="19"/>
      <c r="AO199" s="19"/>
      <c r="AP199" s="19"/>
      <c r="AR199" s="8"/>
      <c r="AS199" s="7"/>
      <c r="AT199" s="19"/>
      <c r="AU199" s="19"/>
      <c r="AV199" s="19"/>
      <c r="AW199" s="19"/>
      <c r="AY199" s="8"/>
      <c r="AZ199" s="7"/>
      <c r="BA199" s="19"/>
      <c r="BB199" s="19"/>
      <c r="BC199" s="19"/>
      <c r="BD199" s="19"/>
      <c r="BF199" s="8"/>
      <c r="BG199" s="7"/>
      <c r="BH199" s="19"/>
      <c r="BI199" s="19"/>
      <c r="BJ199" s="19"/>
      <c r="BK199" s="19"/>
      <c r="BM199" s="8"/>
      <c r="BN199" s="7"/>
      <c r="BO199" s="19"/>
      <c r="BP199" s="19"/>
      <c r="BQ199" s="19"/>
      <c r="BR199" s="19"/>
      <c r="BT199" s="8"/>
      <c r="BU199" s="7"/>
      <c r="BV199" s="19"/>
      <c r="BW199" s="19"/>
      <c r="BX199" s="19"/>
      <c r="BY199" s="19"/>
      <c r="CA199" s="8"/>
      <c r="CB199" s="7"/>
      <c r="CC199" s="19"/>
      <c r="CD199" s="19"/>
      <c r="CE199" s="19"/>
      <c r="CF199" s="19"/>
      <c r="CH199" s="8"/>
      <c r="CI199" s="7"/>
      <c r="CJ199" s="19"/>
      <c r="CK199" s="19"/>
      <c r="CL199" s="19"/>
      <c r="CM199" s="19"/>
      <c r="CO199" s="8"/>
      <c r="CP199" s="7"/>
      <c r="CQ199" s="19"/>
      <c r="CR199" s="19"/>
      <c r="CS199" s="19"/>
      <c r="CT199" s="19"/>
      <c r="CV199" s="8"/>
      <c r="CW199" s="7"/>
      <c r="CX199" s="19"/>
      <c r="CY199" s="19"/>
      <c r="CZ199" s="19"/>
      <c r="DA199" s="19"/>
      <c r="DC199" s="8"/>
      <c r="DD199" s="7"/>
      <c r="DE199" s="19"/>
      <c r="DF199" s="19"/>
      <c r="DG199" s="19"/>
      <c r="DH199" s="19"/>
      <c r="DJ199" s="8"/>
      <c r="DK199" s="7"/>
      <c r="DL199" s="19"/>
      <c r="DM199" s="19"/>
      <c r="DN199" s="19"/>
      <c r="DO199" s="19"/>
      <c r="DQ199" s="8"/>
      <c r="DR199" s="7"/>
      <c r="DS199" s="19"/>
      <c r="DT199" s="19"/>
      <c r="DU199" s="19"/>
      <c r="DV199" s="19"/>
      <c r="DX199" s="8"/>
      <c r="DY199" s="7"/>
      <c r="DZ199" s="19"/>
      <c r="EA199" s="19"/>
      <c r="EB199" s="19"/>
      <c r="EC199" s="19"/>
      <c r="EE199" s="8"/>
      <c r="EF199" s="7"/>
      <c r="EG199" s="19"/>
      <c r="EH199" s="19"/>
      <c r="EI199" s="19"/>
      <c r="EJ199" s="19"/>
      <c r="EL199" s="8"/>
      <c r="EM199" s="7"/>
      <c r="EN199" s="19"/>
      <c r="EO199" s="19"/>
      <c r="EP199" s="19"/>
      <c r="EQ199" s="19"/>
      <c r="ES199" s="8"/>
      <c r="ET199" s="7"/>
      <c r="EU199" s="19"/>
      <c r="EV199" s="19"/>
      <c r="EW199" s="19"/>
      <c r="EX199" s="19"/>
      <c r="EZ199" s="8"/>
      <c r="FA199" s="7"/>
      <c r="FB199" s="19"/>
      <c r="FC199" s="19"/>
      <c r="FD199" s="19"/>
      <c r="FE199" s="19"/>
      <c r="FG199" s="8"/>
      <c r="FH199" s="7"/>
      <c r="FI199" s="19"/>
      <c r="FJ199" s="19"/>
      <c r="FK199" s="19"/>
      <c r="FL199" s="19"/>
      <c r="FN199" s="8"/>
      <c r="FO199" s="7"/>
      <c r="FP199" s="19"/>
      <c r="FQ199" s="19"/>
      <c r="FR199" s="19"/>
      <c r="FS199" s="19"/>
      <c r="FU199" s="8"/>
      <c r="FV199" s="7"/>
      <c r="FW199" s="19"/>
      <c r="FX199" s="19"/>
      <c r="FY199" s="19"/>
      <c r="FZ199" s="19"/>
      <c r="GB199" s="8"/>
      <c r="GC199" s="7"/>
      <c r="GD199" s="19"/>
      <c r="GE199" s="19"/>
      <c r="GF199" s="19"/>
      <c r="GG199" s="19"/>
      <c r="GI199" s="8"/>
      <c r="GJ199" s="7"/>
      <c r="GK199" s="19"/>
      <c r="GL199" s="19"/>
      <c r="GM199" s="19"/>
      <c r="GN199" s="19"/>
      <c r="GP199" s="8"/>
      <c r="GQ199" s="7"/>
      <c r="GR199" s="19"/>
      <c r="GS199" s="19"/>
      <c r="GT199" s="19"/>
      <c r="GU199" s="19"/>
      <c r="GW199" s="8"/>
      <c r="GX199" s="7"/>
      <c r="GY199" s="19"/>
      <c r="GZ199" s="19"/>
      <c r="HA199" s="19"/>
      <c r="HB199" s="19"/>
      <c r="HD199" s="8"/>
      <c r="HE199" s="7"/>
      <c r="HF199" s="19"/>
      <c r="HG199" s="19"/>
      <c r="HH199" s="19"/>
      <c r="HI199" s="19"/>
      <c r="HK199" s="8"/>
      <c r="HL199" s="7"/>
      <c r="HM199" s="19"/>
      <c r="HN199" s="19"/>
      <c r="HO199" s="19"/>
      <c r="HP199" s="19"/>
      <c r="HR199" s="8"/>
      <c r="HS199" s="7"/>
      <c r="HT199" s="19"/>
      <c r="HU199" s="19"/>
      <c r="HV199" s="19"/>
      <c r="HW199" s="19"/>
      <c r="HY199" s="8"/>
      <c r="HZ199" s="7"/>
      <c r="IA199" s="19"/>
      <c r="IB199" s="19"/>
      <c r="IC199" s="19"/>
      <c r="ID199" s="19"/>
      <c r="IF199" s="8"/>
      <c r="IG199" s="7"/>
      <c r="IH199" s="19"/>
      <c r="II199" s="19"/>
      <c r="IJ199" s="19"/>
      <c r="IK199" s="19"/>
      <c r="IM199" s="8"/>
      <c r="IN199" s="7"/>
      <c r="IO199" s="19"/>
      <c r="IP199" s="19"/>
      <c r="IQ199" s="19"/>
      <c r="IR199" s="19"/>
      <c r="IT199" s="8"/>
      <c r="IU199" s="7"/>
      <c r="IV199" s="19"/>
      <c r="IW199" s="19"/>
      <c r="IX199" s="19"/>
      <c r="IY199" s="19"/>
      <c r="JA199" s="8"/>
      <c r="JB199" s="7"/>
      <c r="JC199" s="19"/>
      <c r="JD199" s="19"/>
      <c r="JE199" s="19"/>
      <c r="JF199" s="19"/>
      <c r="JH199" s="8"/>
      <c r="JI199" s="7"/>
      <c r="JJ199" s="19"/>
      <c r="JK199" s="19"/>
      <c r="JL199" s="19"/>
      <c r="JM199" s="19"/>
      <c r="JO199" s="8"/>
      <c r="JP199" s="7"/>
      <c r="JQ199" s="19"/>
      <c r="JR199" s="19"/>
      <c r="JS199" s="19"/>
      <c r="JT199" s="19"/>
      <c r="JV199" s="8"/>
      <c r="JW199" s="7"/>
      <c r="JX199" s="19"/>
      <c r="JY199" s="19"/>
      <c r="JZ199" s="19"/>
      <c r="KA199" s="19"/>
      <c r="KC199" s="8"/>
      <c r="KD199" s="7"/>
      <c r="KE199" s="19"/>
      <c r="KF199" s="19"/>
      <c r="KG199" s="19"/>
      <c r="KH199" s="19"/>
      <c r="KJ199" s="8"/>
      <c r="KK199" s="7"/>
      <c r="KL199" s="19"/>
      <c r="KM199" s="19"/>
      <c r="KN199" s="19"/>
      <c r="KO199" s="19"/>
      <c r="KQ199" s="8"/>
      <c r="KR199" s="7"/>
      <c r="KS199" s="19"/>
      <c r="KT199" s="19"/>
      <c r="KU199" s="19"/>
      <c r="KV199" s="19"/>
      <c r="KX199" s="8"/>
      <c r="KY199" s="7"/>
      <c r="KZ199" s="19"/>
      <c r="LA199" s="19"/>
      <c r="LB199" s="19"/>
      <c r="LC199" s="19"/>
      <c r="LE199" s="8"/>
      <c r="LF199" s="7"/>
      <c r="LG199" s="19"/>
      <c r="LH199" s="19"/>
      <c r="LI199" s="19"/>
      <c r="LJ199" s="19"/>
      <c r="LL199" s="8"/>
      <c r="LM199" s="7"/>
      <c r="LN199" s="19"/>
      <c r="LO199" s="19"/>
      <c r="LP199" s="19"/>
      <c r="LQ199" s="19"/>
      <c r="LS199" s="8"/>
      <c r="LT199" s="7"/>
      <c r="LU199" s="19"/>
      <c r="LV199" s="19"/>
      <c r="LW199" s="19"/>
      <c r="LX199" s="19"/>
      <c r="LZ199" s="8"/>
      <c r="MA199" s="7"/>
      <c r="MB199" s="19"/>
      <c r="MC199" s="19"/>
      <c r="MD199" s="19"/>
      <c r="ME199" s="19"/>
      <c r="MG199" s="8"/>
      <c r="MH199" s="7"/>
      <c r="MI199" s="19"/>
      <c r="MJ199" s="19"/>
      <c r="MK199" s="19"/>
      <c r="ML199" s="19"/>
      <c r="MN199" s="8"/>
      <c r="MO199" s="7"/>
      <c r="MP199" s="19"/>
      <c r="MQ199" s="19"/>
      <c r="MR199" s="19"/>
      <c r="MS199" s="19"/>
      <c r="MU199" s="8"/>
      <c r="MV199" s="7"/>
      <c r="MW199" s="19"/>
      <c r="MX199" s="19"/>
      <c r="MY199" s="19"/>
      <c r="MZ199" s="19"/>
      <c r="NB199" s="8"/>
      <c r="NC199" s="7"/>
      <c r="ND199" s="19"/>
      <c r="NE199" s="19"/>
      <c r="NF199" s="19"/>
      <c r="NG199" s="19"/>
      <c r="NI199" s="8"/>
      <c r="NJ199" s="7"/>
      <c r="NK199" s="19"/>
      <c r="NL199" s="19"/>
      <c r="NM199" s="19"/>
      <c r="NN199" s="19"/>
      <c r="NP199" s="8"/>
      <c r="NQ199" s="7"/>
      <c r="NR199" s="19"/>
      <c r="NS199" s="19"/>
      <c r="NT199" s="19"/>
      <c r="NU199" s="19"/>
      <c r="NW199" s="8"/>
      <c r="NX199" s="7"/>
      <c r="NY199" s="19"/>
      <c r="NZ199" s="19"/>
      <c r="OA199" s="19"/>
      <c r="OB199" s="19"/>
      <c r="OD199" s="8"/>
      <c r="OE199" s="7"/>
      <c r="OF199" s="19"/>
      <c r="OG199" s="19"/>
      <c r="OH199" s="19"/>
      <c r="OI199" s="19"/>
      <c r="OK199" s="8"/>
      <c r="OL199" s="7"/>
      <c r="OM199" s="19"/>
      <c r="ON199" s="19"/>
      <c r="OO199" s="19"/>
      <c r="OP199" s="19"/>
      <c r="OR199" s="8"/>
      <c r="OS199" s="7"/>
      <c r="OT199" s="19"/>
      <c r="OU199" s="19"/>
      <c r="OV199" s="19"/>
      <c r="OW199" s="19"/>
      <c r="OY199" s="8"/>
      <c r="OZ199" s="7"/>
      <c r="PA199" s="19"/>
      <c r="PB199" s="19"/>
      <c r="PC199" s="19"/>
      <c r="PD199" s="19"/>
      <c r="PF199" s="8"/>
      <c r="PG199" s="7"/>
      <c r="PH199" s="19"/>
      <c r="PI199" s="19"/>
      <c r="PJ199" s="19"/>
      <c r="PK199" s="19"/>
      <c r="PM199" s="8"/>
    </row>
    <row r="200" spans="1:429" s="1" customFormat="1" ht="26" customHeight="1" outlineLevel="1">
      <c r="B200" s="471"/>
      <c r="C200" s="7"/>
      <c r="D200" s="19"/>
      <c r="E200" s="19"/>
      <c r="F200" s="19"/>
      <c r="G200" s="19"/>
      <c r="I200" s="8"/>
      <c r="J200" s="7"/>
      <c r="K200" s="19"/>
      <c r="L200" s="19"/>
      <c r="M200" s="19"/>
      <c r="N200" s="19"/>
      <c r="P200" s="8"/>
      <c r="Q200" s="7"/>
      <c r="R200" s="19"/>
      <c r="S200" s="19"/>
      <c r="T200" s="19"/>
      <c r="U200" s="19"/>
      <c r="W200" s="8"/>
      <c r="X200" s="7"/>
      <c r="Y200" s="19"/>
      <c r="Z200" s="19"/>
      <c r="AA200" s="19"/>
      <c r="AB200" s="19"/>
      <c r="AD200" s="8"/>
      <c r="AE200" s="7"/>
      <c r="AF200" s="19"/>
      <c r="AG200" s="19"/>
      <c r="AH200" s="19"/>
      <c r="AI200" s="19"/>
      <c r="AK200" s="8"/>
      <c r="AL200" s="7"/>
      <c r="AM200" s="19"/>
      <c r="AN200" s="19"/>
      <c r="AO200" s="19"/>
      <c r="AP200" s="19"/>
      <c r="AR200" s="8"/>
      <c r="AS200" s="7"/>
      <c r="AT200" s="19"/>
      <c r="AU200" s="19"/>
      <c r="AV200" s="19"/>
      <c r="AW200" s="19"/>
      <c r="AY200" s="8"/>
      <c r="AZ200" s="7"/>
      <c r="BA200" s="19"/>
      <c r="BB200" s="19"/>
      <c r="BC200" s="19"/>
      <c r="BD200" s="19"/>
      <c r="BF200" s="8"/>
      <c r="BG200" s="7"/>
      <c r="BH200" s="19"/>
      <c r="BI200" s="19"/>
      <c r="BJ200" s="19"/>
      <c r="BK200" s="19"/>
      <c r="BM200" s="8"/>
      <c r="BN200" s="7"/>
      <c r="BO200" s="19"/>
      <c r="BP200" s="19"/>
      <c r="BQ200" s="19"/>
      <c r="BR200" s="19"/>
      <c r="BT200" s="8"/>
      <c r="BU200" s="7"/>
      <c r="BV200" s="19"/>
      <c r="BW200" s="19"/>
      <c r="BX200" s="19"/>
      <c r="BY200" s="19"/>
      <c r="CA200" s="8"/>
      <c r="CB200" s="7"/>
      <c r="CC200" s="19"/>
      <c r="CD200" s="19"/>
      <c r="CE200" s="19"/>
      <c r="CF200" s="19"/>
      <c r="CH200" s="8"/>
      <c r="CI200" s="7"/>
      <c r="CJ200" s="19"/>
      <c r="CK200" s="19"/>
      <c r="CL200" s="19"/>
      <c r="CM200" s="19"/>
      <c r="CO200" s="8"/>
      <c r="CP200" s="7"/>
      <c r="CQ200" s="19"/>
      <c r="CR200" s="19"/>
      <c r="CS200" s="19"/>
      <c r="CT200" s="19"/>
      <c r="CV200" s="8"/>
      <c r="CW200" s="7"/>
      <c r="CX200" s="19"/>
      <c r="CY200" s="19"/>
      <c r="CZ200" s="19"/>
      <c r="DA200" s="19"/>
      <c r="DC200" s="8"/>
      <c r="DD200" s="7"/>
      <c r="DE200" s="19"/>
      <c r="DF200" s="19"/>
      <c r="DG200" s="19"/>
      <c r="DH200" s="19"/>
      <c r="DJ200" s="8"/>
      <c r="DK200" s="7"/>
      <c r="DL200" s="19"/>
      <c r="DM200" s="19"/>
      <c r="DN200" s="19"/>
      <c r="DO200" s="19"/>
      <c r="DQ200" s="8"/>
      <c r="DR200" s="7"/>
      <c r="DS200" s="19"/>
      <c r="DT200" s="19"/>
      <c r="DU200" s="19"/>
      <c r="DV200" s="19"/>
      <c r="DX200" s="8"/>
      <c r="DY200" s="7"/>
      <c r="DZ200" s="19"/>
      <c r="EA200" s="19"/>
      <c r="EB200" s="19"/>
      <c r="EC200" s="19"/>
      <c r="EE200" s="8"/>
      <c r="EF200" s="7"/>
      <c r="EG200" s="19"/>
      <c r="EH200" s="19"/>
      <c r="EI200" s="19"/>
      <c r="EJ200" s="19"/>
      <c r="EL200" s="8"/>
      <c r="EM200" s="7"/>
      <c r="EN200" s="19"/>
      <c r="EO200" s="19"/>
      <c r="EP200" s="19"/>
      <c r="EQ200" s="19"/>
      <c r="ES200" s="8"/>
      <c r="ET200" s="7"/>
      <c r="EU200" s="19"/>
      <c r="EV200" s="19"/>
      <c r="EW200" s="19"/>
      <c r="EX200" s="19"/>
      <c r="EZ200" s="8"/>
      <c r="FA200" s="7"/>
      <c r="FB200" s="19"/>
      <c r="FC200" s="19"/>
      <c r="FD200" s="19"/>
      <c r="FE200" s="19"/>
      <c r="FG200" s="8"/>
      <c r="FH200" s="7"/>
      <c r="FI200" s="19"/>
      <c r="FJ200" s="19"/>
      <c r="FK200" s="19"/>
      <c r="FL200" s="19"/>
      <c r="FN200" s="8"/>
      <c r="FO200" s="7"/>
      <c r="FP200" s="19"/>
      <c r="FQ200" s="19"/>
      <c r="FR200" s="19"/>
      <c r="FS200" s="19"/>
      <c r="FU200" s="8"/>
      <c r="FV200" s="7"/>
      <c r="FW200" s="19"/>
      <c r="FX200" s="19"/>
      <c r="FY200" s="19"/>
      <c r="FZ200" s="19"/>
      <c r="GB200" s="8"/>
      <c r="GC200" s="7"/>
      <c r="GD200" s="19"/>
      <c r="GE200" s="19"/>
      <c r="GF200" s="19"/>
      <c r="GG200" s="19"/>
      <c r="GI200" s="8"/>
      <c r="GJ200" s="7"/>
      <c r="GK200" s="19"/>
      <c r="GL200" s="19"/>
      <c r="GM200" s="19"/>
      <c r="GN200" s="19"/>
      <c r="GP200" s="8"/>
      <c r="GQ200" s="7"/>
      <c r="GR200" s="19"/>
      <c r="GS200" s="19"/>
      <c r="GT200" s="19"/>
      <c r="GU200" s="19"/>
      <c r="GW200" s="8"/>
      <c r="GX200" s="7"/>
      <c r="GY200" s="19"/>
      <c r="GZ200" s="19"/>
      <c r="HA200" s="19"/>
      <c r="HB200" s="19"/>
      <c r="HD200" s="8"/>
      <c r="HE200" s="7"/>
      <c r="HF200" s="19"/>
      <c r="HG200" s="19"/>
      <c r="HH200" s="19"/>
      <c r="HI200" s="19"/>
      <c r="HK200" s="8"/>
      <c r="HL200" s="7"/>
      <c r="HM200" s="19"/>
      <c r="HN200" s="19"/>
      <c r="HO200" s="19"/>
      <c r="HP200" s="19"/>
      <c r="HR200" s="8"/>
      <c r="HS200" s="7"/>
      <c r="HT200" s="19"/>
      <c r="HU200" s="19"/>
      <c r="HV200" s="19"/>
      <c r="HW200" s="19"/>
      <c r="HY200" s="8"/>
      <c r="HZ200" s="7"/>
      <c r="IA200" s="19"/>
      <c r="IB200" s="19"/>
      <c r="IC200" s="19"/>
      <c r="ID200" s="19"/>
      <c r="IF200" s="8"/>
      <c r="IG200" s="7"/>
      <c r="IH200" s="19"/>
      <c r="II200" s="19"/>
      <c r="IJ200" s="19"/>
      <c r="IK200" s="19"/>
      <c r="IM200" s="8"/>
      <c r="IN200" s="7"/>
      <c r="IO200" s="19"/>
      <c r="IP200" s="19"/>
      <c r="IQ200" s="19"/>
      <c r="IR200" s="19"/>
      <c r="IT200" s="8"/>
      <c r="IU200" s="7"/>
      <c r="IV200" s="19"/>
      <c r="IW200" s="19"/>
      <c r="IX200" s="19"/>
      <c r="IY200" s="19"/>
      <c r="JA200" s="8"/>
      <c r="JB200" s="7"/>
      <c r="JC200" s="19"/>
      <c r="JD200" s="19"/>
      <c r="JE200" s="19"/>
      <c r="JF200" s="19"/>
      <c r="JH200" s="8"/>
      <c r="JI200" s="7"/>
      <c r="JJ200" s="19"/>
      <c r="JK200" s="19"/>
      <c r="JL200" s="19"/>
      <c r="JM200" s="19"/>
      <c r="JO200" s="8"/>
      <c r="JP200" s="7"/>
      <c r="JQ200" s="19"/>
      <c r="JR200" s="19"/>
      <c r="JS200" s="19"/>
      <c r="JT200" s="19"/>
      <c r="JV200" s="8"/>
      <c r="JW200" s="7"/>
      <c r="JX200" s="19"/>
      <c r="JY200" s="19"/>
      <c r="JZ200" s="19"/>
      <c r="KA200" s="19"/>
      <c r="KC200" s="8"/>
      <c r="KD200" s="7"/>
      <c r="KE200" s="19"/>
      <c r="KF200" s="19"/>
      <c r="KG200" s="19"/>
      <c r="KH200" s="19"/>
      <c r="KJ200" s="8"/>
      <c r="KK200" s="7"/>
      <c r="KL200" s="19"/>
      <c r="KM200" s="19"/>
      <c r="KN200" s="19"/>
      <c r="KO200" s="19"/>
      <c r="KQ200" s="8"/>
      <c r="KR200" s="7"/>
      <c r="KS200" s="19"/>
      <c r="KT200" s="19"/>
      <c r="KU200" s="19"/>
      <c r="KV200" s="19"/>
      <c r="KX200" s="8"/>
      <c r="KY200" s="7"/>
      <c r="KZ200" s="19"/>
      <c r="LA200" s="19"/>
      <c r="LB200" s="19"/>
      <c r="LC200" s="19"/>
      <c r="LE200" s="8"/>
      <c r="LF200" s="7"/>
      <c r="LG200" s="19"/>
      <c r="LH200" s="19"/>
      <c r="LI200" s="19"/>
      <c r="LJ200" s="19"/>
      <c r="LL200" s="8"/>
      <c r="LM200" s="7"/>
      <c r="LN200" s="19"/>
      <c r="LO200" s="19"/>
      <c r="LP200" s="19"/>
      <c r="LQ200" s="19"/>
      <c r="LS200" s="8"/>
      <c r="LT200" s="7"/>
      <c r="LU200" s="19"/>
      <c r="LV200" s="19"/>
      <c r="LW200" s="19"/>
      <c r="LX200" s="19"/>
      <c r="LZ200" s="8"/>
      <c r="MA200" s="7"/>
      <c r="MB200" s="19"/>
      <c r="MC200" s="19"/>
      <c r="MD200" s="19"/>
      <c r="ME200" s="19"/>
      <c r="MG200" s="8"/>
      <c r="MH200" s="7"/>
      <c r="MI200" s="19"/>
      <c r="MJ200" s="19"/>
      <c r="MK200" s="19"/>
      <c r="ML200" s="19"/>
      <c r="MN200" s="8"/>
      <c r="MO200" s="7"/>
      <c r="MP200" s="19"/>
      <c r="MQ200" s="19"/>
      <c r="MR200" s="19"/>
      <c r="MS200" s="19"/>
      <c r="MU200" s="8"/>
      <c r="MV200" s="7"/>
      <c r="MW200" s="19"/>
      <c r="MX200" s="19"/>
      <c r="MY200" s="19"/>
      <c r="MZ200" s="19"/>
      <c r="NB200" s="8"/>
      <c r="NC200" s="7"/>
      <c r="ND200" s="19"/>
      <c r="NE200" s="19"/>
      <c r="NF200" s="19"/>
      <c r="NG200" s="19"/>
      <c r="NI200" s="8"/>
      <c r="NJ200" s="7"/>
      <c r="NK200" s="19"/>
      <c r="NL200" s="19"/>
      <c r="NM200" s="19"/>
      <c r="NN200" s="19"/>
      <c r="NP200" s="8"/>
      <c r="NQ200" s="7"/>
      <c r="NR200" s="19"/>
      <c r="NS200" s="19"/>
      <c r="NT200" s="19"/>
      <c r="NU200" s="19"/>
      <c r="NW200" s="8"/>
      <c r="NX200" s="7"/>
      <c r="NY200" s="19"/>
      <c r="NZ200" s="19"/>
      <c r="OA200" s="19"/>
      <c r="OB200" s="19"/>
      <c r="OD200" s="8"/>
      <c r="OE200" s="7"/>
      <c r="OF200" s="19"/>
      <c r="OG200" s="19"/>
      <c r="OH200" s="19"/>
      <c r="OI200" s="19"/>
      <c r="OK200" s="8"/>
      <c r="OL200" s="7"/>
      <c r="OM200" s="19"/>
      <c r="ON200" s="19"/>
      <c r="OO200" s="19"/>
      <c r="OP200" s="19"/>
      <c r="OR200" s="8"/>
      <c r="OS200" s="7"/>
      <c r="OT200" s="19"/>
      <c r="OU200" s="19"/>
      <c r="OV200" s="19"/>
      <c r="OW200" s="19"/>
      <c r="OY200" s="8"/>
      <c r="OZ200" s="7"/>
      <c r="PA200" s="19"/>
      <c r="PB200" s="19"/>
      <c r="PC200" s="19"/>
      <c r="PD200" s="19"/>
      <c r="PF200" s="8"/>
      <c r="PG200" s="7"/>
      <c r="PH200" s="19"/>
      <c r="PI200" s="19"/>
      <c r="PJ200" s="19"/>
      <c r="PK200" s="19"/>
      <c r="PM200" s="8"/>
    </row>
    <row r="201" spans="1:429" s="1" customFormat="1" ht="26" customHeight="1" outlineLevel="1">
      <c r="B201" s="471"/>
      <c r="C201" s="7"/>
      <c r="D201" s="19"/>
      <c r="E201" s="19"/>
      <c r="F201" s="19"/>
      <c r="G201" s="19"/>
      <c r="I201" s="8"/>
      <c r="J201" s="7"/>
      <c r="K201" s="19"/>
      <c r="L201" s="19"/>
      <c r="M201" s="19"/>
      <c r="N201" s="19"/>
      <c r="P201" s="8"/>
      <c r="Q201" s="7"/>
      <c r="R201" s="19"/>
      <c r="S201" s="19"/>
      <c r="T201" s="19"/>
      <c r="U201" s="19"/>
      <c r="W201" s="8"/>
      <c r="X201" s="7"/>
      <c r="Y201" s="19"/>
      <c r="Z201" s="19"/>
      <c r="AA201" s="19"/>
      <c r="AB201" s="19"/>
      <c r="AD201" s="8"/>
      <c r="AE201" s="7"/>
      <c r="AF201" s="19"/>
      <c r="AG201" s="19"/>
      <c r="AH201" s="19"/>
      <c r="AI201" s="19"/>
      <c r="AK201" s="8"/>
      <c r="AL201" s="7"/>
      <c r="AM201" s="19"/>
      <c r="AN201" s="19"/>
      <c r="AO201" s="19"/>
      <c r="AP201" s="19"/>
      <c r="AR201" s="8"/>
      <c r="AS201" s="7"/>
      <c r="AT201" s="19"/>
      <c r="AU201" s="19"/>
      <c r="AV201" s="19"/>
      <c r="AW201" s="19"/>
      <c r="AY201" s="8"/>
      <c r="AZ201" s="7"/>
      <c r="BA201" s="19"/>
      <c r="BB201" s="19"/>
      <c r="BC201" s="19"/>
      <c r="BD201" s="19"/>
      <c r="BF201" s="8"/>
      <c r="BG201" s="7"/>
      <c r="BH201" s="19"/>
      <c r="BI201" s="19"/>
      <c r="BJ201" s="19"/>
      <c r="BK201" s="19"/>
      <c r="BM201" s="8"/>
      <c r="BN201" s="7"/>
      <c r="BO201" s="19"/>
      <c r="BP201" s="19"/>
      <c r="BQ201" s="19"/>
      <c r="BR201" s="19"/>
      <c r="BT201" s="8"/>
      <c r="BU201" s="7"/>
      <c r="BV201" s="19"/>
      <c r="BW201" s="19"/>
      <c r="BX201" s="19"/>
      <c r="BY201" s="19"/>
      <c r="CA201" s="8"/>
      <c r="CB201" s="7"/>
      <c r="CC201" s="19"/>
      <c r="CD201" s="19"/>
      <c r="CE201" s="19"/>
      <c r="CF201" s="19"/>
      <c r="CH201" s="8"/>
      <c r="CI201" s="7"/>
      <c r="CJ201" s="19"/>
      <c r="CK201" s="19"/>
      <c r="CL201" s="19"/>
      <c r="CM201" s="19"/>
      <c r="CO201" s="8"/>
      <c r="CP201" s="7"/>
      <c r="CQ201" s="19"/>
      <c r="CR201" s="19"/>
      <c r="CS201" s="19"/>
      <c r="CT201" s="19"/>
      <c r="CV201" s="8"/>
      <c r="CW201" s="7"/>
      <c r="CX201" s="19"/>
      <c r="CY201" s="19"/>
      <c r="CZ201" s="19"/>
      <c r="DA201" s="19"/>
      <c r="DC201" s="8"/>
      <c r="DD201" s="7"/>
      <c r="DE201" s="19"/>
      <c r="DF201" s="19"/>
      <c r="DG201" s="19"/>
      <c r="DH201" s="19"/>
      <c r="DJ201" s="8"/>
      <c r="DK201" s="7"/>
      <c r="DL201" s="19"/>
      <c r="DM201" s="19"/>
      <c r="DN201" s="19"/>
      <c r="DO201" s="19"/>
      <c r="DQ201" s="8"/>
      <c r="DR201" s="7"/>
      <c r="DS201" s="19"/>
      <c r="DT201" s="19"/>
      <c r="DU201" s="19"/>
      <c r="DV201" s="19"/>
      <c r="DX201" s="8"/>
      <c r="DY201" s="7"/>
      <c r="DZ201" s="19"/>
      <c r="EA201" s="19"/>
      <c r="EB201" s="19"/>
      <c r="EC201" s="19"/>
      <c r="EE201" s="8"/>
      <c r="EF201" s="7"/>
      <c r="EG201" s="19"/>
      <c r="EH201" s="19"/>
      <c r="EI201" s="19"/>
      <c r="EJ201" s="19"/>
      <c r="EL201" s="8"/>
      <c r="EM201" s="7"/>
      <c r="EN201" s="19"/>
      <c r="EO201" s="19"/>
      <c r="EP201" s="19"/>
      <c r="EQ201" s="19"/>
      <c r="ES201" s="8"/>
      <c r="ET201" s="7"/>
      <c r="EU201" s="19"/>
      <c r="EV201" s="19"/>
      <c r="EW201" s="19"/>
      <c r="EX201" s="19"/>
      <c r="EZ201" s="8"/>
      <c r="FA201" s="7"/>
      <c r="FB201" s="19"/>
      <c r="FC201" s="19"/>
      <c r="FD201" s="19"/>
      <c r="FE201" s="19"/>
      <c r="FG201" s="8"/>
      <c r="FH201" s="7"/>
      <c r="FI201" s="19"/>
      <c r="FJ201" s="19"/>
      <c r="FK201" s="19"/>
      <c r="FL201" s="19"/>
      <c r="FN201" s="8"/>
      <c r="FO201" s="7"/>
      <c r="FP201" s="19"/>
      <c r="FQ201" s="19"/>
      <c r="FR201" s="19"/>
      <c r="FS201" s="19"/>
      <c r="FU201" s="8"/>
      <c r="FV201" s="7"/>
      <c r="FW201" s="19"/>
      <c r="FX201" s="19"/>
      <c r="FY201" s="19"/>
      <c r="FZ201" s="19"/>
      <c r="GB201" s="8"/>
      <c r="GC201" s="7"/>
      <c r="GD201" s="19"/>
      <c r="GE201" s="19"/>
      <c r="GF201" s="19"/>
      <c r="GG201" s="19"/>
      <c r="GI201" s="8"/>
      <c r="GJ201" s="7"/>
      <c r="GK201" s="19"/>
      <c r="GL201" s="19"/>
      <c r="GM201" s="19"/>
      <c r="GN201" s="19"/>
      <c r="GP201" s="8"/>
      <c r="GQ201" s="7"/>
      <c r="GR201" s="19"/>
      <c r="GS201" s="19"/>
      <c r="GT201" s="19"/>
      <c r="GU201" s="19"/>
      <c r="GW201" s="8"/>
      <c r="GX201" s="7"/>
      <c r="GY201" s="19"/>
      <c r="GZ201" s="19"/>
      <c r="HA201" s="19"/>
      <c r="HB201" s="19"/>
      <c r="HD201" s="8"/>
      <c r="HE201" s="7"/>
      <c r="HF201" s="19"/>
      <c r="HG201" s="19"/>
      <c r="HH201" s="19"/>
      <c r="HI201" s="19"/>
      <c r="HK201" s="8"/>
      <c r="HL201" s="7"/>
      <c r="HM201" s="19"/>
      <c r="HN201" s="19"/>
      <c r="HO201" s="19"/>
      <c r="HP201" s="19"/>
      <c r="HR201" s="8"/>
      <c r="HS201" s="7"/>
      <c r="HT201" s="19"/>
      <c r="HU201" s="19"/>
      <c r="HV201" s="19"/>
      <c r="HW201" s="19"/>
      <c r="HY201" s="8"/>
      <c r="HZ201" s="7"/>
      <c r="IA201" s="19"/>
      <c r="IB201" s="19"/>
      <c r="IC201" s="19"/>
      <c r="ID201" s="19"/>
      <c r="IF201" s="8"/>
      <c r="IG201" s="7"/>
      <c r="IH201" s="19"/>
      <c r="II201" s="19"/>
      <c r="IJ201" s="19"/>
      <c r="IK201" s="19"/>
      <c r="IM201" s="8"/>
      <c r="IN201" s="7"/>
      <c r="IO201" s="19"/>
      <c r="IP201" s="19"/>
      <c r="IQ201" s="19"/>
      <c r="IR201" s="19"/>
      <c r="IT201" s="8"/>
      <c r="IU201" s="7"/>
      <c r="IV201" s="19"/>
      <c r="IW201" s="19"/>
      <c r="IX201" s="19"/>
      <c r="IY201" s="19"/>
      <c r="JA201" s="8"/>
      <c r="JB201" s="7"/>
      <c r="JC201" s="19"/>
      <c r="JD201" s="19"/>
      <c r="JE201" s="19"/>
      <c r="JF201" s="19"/>
      <c r="JH201" s="8"/>
      <c r="JI201" s="7"/>
      <c r="JJ201" s="19"/>
      <c r="JK201" s="19"/>
      <c r="JL201" s="19"/>
      <c r="JM201" s="19"/>
      <c r="JO201" s="8"/>
      <c r="JP201" s="7"/>
      <c r="JQ201" s="19"/>
      <c r="JR201" s="19"/>
      <c r="JS201" s="19"/>
      <c r="JT201" s="19"/>
      <c r="JV201" s="8"/>
      <c r="JW201" s="7"/>
      <c r="JX201" s="19"/>
      <c r="JY201" s="19"/>
      <c r="JZ201" s="19"/>
      <c r="KA201" s="19"/>
      <c r="KC201" s="8"/>
      <c r="KD201" s="7"/>
      <c r="KE201" s="19"/>
      <c r="KF201" s="19"/>
      <c r="KG201" s="19"/>
      <c r="KH201" s="19"/>
      <c r="KJ201" s="8"/>
      <c r="KK201" s="7"/>
      <c r="KL201" s="19"/>
      <c r="KM201" s="19"/>
      <c r="KN201" s="19"/>
      <c r="KO201" s="19"/>
      <c r="KQ201" s="8"/>
      <c r="KR201" s="7"/>
      <c r="KS201" s="19"/>
      <c r="KT201" s="19"/>
      <c r="KU201" s="19"/>
      <c r="KV201" s="19"/>
      <c r="KX201" s="8"/>
      <c r="KY201" s="7"/>
      <c r="KZ201" s="19"/>
      <c r="LA201" s="19"/>
      <c r="LB201" s="19"/>
      <c r="LC201" s="19"/>
      <c r="LE201" s="8"/>
      <c r="LF201" s="7"/>
      <c r="LG201" s="19"/>
      <c r="LH201" s="19"/>
      <c r="LI201" s="19"/>
      <c r="LJ201" s="19"/>
      <c r="LL201" s="8"/>
      <c r="LM201" s="7"/>
      <c r="LN201" s="19"/>
      <c r="LO201" s="19"/>
      <c r="LP201" s="19"/>
      <c r="LQ201" s="19"/>
      <c r="LS201" s="8"/>
      <c r="LT201" s="7"/>
      <c r="LU201" s="19"/>
      <c r="LV201" s="19"/>
      <c r="LW201" s="19"/>
      <c r="LX201" s="19"/>
      <c r="LZ201" s="8"/>
      <c r="MA201" s="7"/>
      <c r="MB201" s="19"/>
      <c r="MC201" s="19"/>
      <c r="MD201" s="19"/>
      <c r="ME201" s="19"/>
      <c r="MG201" s="8"/>
      <c r="MH201" s="7"/>
      <c r="MI201" s="19"/>
      <c r="MJ201" s="19"/>
      <c r="MK201" s="19"/>
      <c r="ML201" s="19"/>
      <c r="MN201" s="8"/>
      <c r="MO201" s="7"/>
      <c r="MP201" s="19"/>
      <c r="MQ201" s="19"/>
      <c r="MR201" s="19"/>
      <c r="MS201" s="19"/>
      <c r="MU201" s="8"/>
      <c r="MV201" s="7"/>
      <c r="MW201" s="19"/>
      <c r="MX201" s="19"/>
      <c r="MY201" s="19"/>
      <c r="MZ201" s="19"/>
      <c r="NB201" s="8"/>
      <c r="NC201" s="7"/>
      <c r="ND201" s="19"/>
      <c r="NE201" s="19"/>
      <c r="NF201" s="19"/>
      <c r="NG201" s="19"/>
      <c r="NI201" s="8"/>
      <c r="NJ201" s="7"/>
      <c r="NK201" s="19"/>
      <c r="NL201" s="19"/>
      <c r="NM201" s="19"/>
      <c r="NN201" s="19"/>
      <c r="NP201" s="8"/>
      <c r="NQ201" s="7"/>
      <c r="NR201" s="19"/>
      <c r="NS201" s="19"/>
      <c r="NT201" s="19"/>
      <c r="NU201" s="19"/>
      <c r="NW201" s="8"/>
      <c r="NX201" s="7"/>
      <c r="NY201" s="19"/>
      <c r="NZ201" s="19"/>
      <c r="OA201" s="19"/>
      <c r="OB201" s="19"/>
      <c r="OD201" s="8"/>
      <c r="OE201" s="7"/>
      <c r="OF201" s="19"/>
      <c r="OG201" s="19"/>
      <c r="OH201" s="19"/>
      <c r="OI201" s="19"/>
      <c r="OK201" s="8"/>
      <c r="OL201" s="7"/>
      <c r="OM201" s="19"/>
      <c r="ON201" s="19"/>
      <c r="OO201" s="19"/>
      <c r="OP201" s="19"/>
      <c r="OR201" s="8"/>
      <c r="OS201" s="7"/>
      <c r="OT201" s="19"/>
      <c r="OU201" s="19"/>
      <c r="OV201" s="19"/>
      <c r="OW201" s="19"/>
      <c r="OY201" s="8"/>
      <c r="OZ201" s="7"/>
      <c r="PA201" s="19"/>
      <c r="PB201" s="19"/>
      <c r="PC201" s="19"/>
      <c r="PD201" s="19"/>
      <c r="PF201" s="8"/>
      <c r="PG201" s="7"/>
      <c r="PH201" s="19"/>
      <c r="PI201" s="19"/>
      <c r="PJ201" s="19"/>
      <c r="PK201" s="19"/>
      <c r="PM201" s="8"/>
    </row>
    <row r="202" spans="1:429" s="475" customFormat="1" ht="19" customHeight="1">
      <c r="A202" s="6" t="s">
        <v>409</v>
      </c>
      <c r="B202" s="472"/>
      <c r="C202" s="10"/>
      <c r="D202" s="20"/>
      <c r="E202" s="20"/>
      <c r="F202" s="20"/>
      <c r="G202" s="20"/>
      <c r="H202" s="10"/>
      <c r="I202" s="10"/>
      <c r="J202" s="10"/>
      <c r="K202" s="20"/>
      <c r="L202" s="20"/>
      <c r="M202" s="20"/>
      <c r="N202" s="20"/>
      <c r="O202" s="10"/>
      <c r="P202" s="10"/>
      <c r="Q202" s="10"/>
      <c r="R202" s="20"/>
      <c r="S202" s="20"/>
      <c r="T202" s="20"/>
      <c r="U202" s="20"/>
      <c r="V202" s="10"/>
      <c r="W202" s="10"/>
      <c r="X202" s="10"/>
      <c r="Y202" s="20"/>
      <c r="Z202" s="20"/>
      <c r="AA202" s="20"/>
      <c r="AB202" s="20"/>
      <c r="AC202" s="10"/>
      <c r="AD202" s="10"/>
      <c r="AE202" s="10"/>
      <c r="AF202" s="20"/>
      <c r="AG202" s="20"/>
      <c r="AH202" s="20"/>
      <c r="AI202" s="20"/>
      <c r="AJ202" s="10"/>
      <c r="AK202" s="10"/>
      <c r="AL202" s="10"/>
      <c r="AM202" s="20"/>
      <c r="AN202" s="20"/>
      <c r="AO202" s="20"/>
      <c r="AP202" s="20"/>
      <c r="AQ202" s="10"/>
      <c r="AR202" s="10"/>
      <c r="AS202" s="10"/>
      <c r="AT202" s="20"/>
      <c r="AU202" s="20"/>
      <c r="AV202" s="20"/>
      <c r="AW202" s="20"/>
      <c r="AX202" s="10"/>
      <c r="AY202" s="10"/>
      <c r="AZ202" s="10"/>
      <c r="BA202" s="20"/>
      <c r="BB202" s="20"/>
      <c r="BC202" s="20"/>
      <c r="BD202" s="20"/>
      <c r="BE202" s="10"/>
      <c r="BF202" s="10"/>
      <c r="BG202" s="10"/>
      <c r="BH202" s="20"/>
      <c r="BI202" s="20"/>
      <c r="BJ202" s="20"/>
      <c r="BK202" s="20"/>
      <c r="BL202" s="10"/>
      <c r="BM202" s="10"/>
      <c r="BN202" s="10"/>
      <c r="BO202" s="20"/>
      <c r="BP202" s="20"/>
      <c r="BQ202" s="20"/>
      <c r="BR202" s="20"/>
      <c r="BS202" s="10"/>
      <c r="BT202" s="10"/>
      <c r="BU202" s="10"/>
      <c r="BV202" s="20"/>
      <c r="BW202" s="20"/>
      <c r="BX202" s="20"/>
      <c r="BY202" s="20"/>
      <c r="BZ202" s="10"/>
      <c r="CA202" s="10"/>
      <c r="CB202" s="10"/>
      <c r="CC202" s="20"/>
      <c r="CD202" s="20"/>
      <c r="CE202" s="20"/>
      <c r="CF202" s="20"/>
      <c r="CG202" s="10"/>
      <c r="CH202" s="10"/>
      <c r="CI202" s="10"/>
      <c r="CJ202" s="20"/>
      <c r="CK202" s="20"/>
      <c r="CL202" s="20"/>
      <c r="CM202" s="20"/>
      <c r="CN202" s="10"/>
      <c r="CO202" s="10"/>
      <c r="CP202" s="10"/>
      <c r="CQ202" s="20"/>
      <c r="CR202" s="20"/>
      <c r="CS202" s="20"/>
      <c r="CT202" s="20"/>
      <c r="CU202" s="10"/>
      <c r="CV202" s="10"/>
      <c r="CW202" s="10"/>
      <c r="CX202" s="20"/>
      <c r="CY202" s="20"/>
      <c r="CZ202" s="20"/>
      <c r="DA202" s="20"/>
      <c r="DB202" s="10"/>
      <c r="DC202" s="10"/>
      <c r="DD202" s="10"/>
      <c r="DE202" s="20"/>
      <c r="DF202" s="20"/>
      <c r="DG202" s="20"/>
      <c r="DH202" s="20"/>
      <c r="DI202" s="10"/>
      <c r="DJ202" s="10"/>
      <c r="DK202" s="10"/>
      <c r="DL202" s="20"/>
      <c r="DM202" s="20"/>
      <c r="DN202" s="20"/>
      <c r="DO202" s="20"/>
      <c r="DP202" s="10"/>
      <c r="DQ202" s="10"/>
      <c r="DR202" s="10"/>
      <c r="DS202" s="20"/>
      <c r="DT202" s="20"/>
      <c r="DU202" s="20"/>
      <c r="DV202" s="20"/>
      <c r="DW202" s="10"/>
      <c r="DX202" s="10"/>
      <c r="DY202" s="10"/>
      <c r="DZ202" s="20"/>
      <c r="EA202" s="20"/>
      <c r="EB202" s="20"/>
      <c r="EC202" s="20"/>
      <c r="ED202" s="10"/>
      <c r="EE202" s="10"/>
      <c r="EF202" s="10"/>
      <c r="EG202" s="20"/>
      <c r="EH202" s="20"/>
      <c r="EI202" s="20"/>
      <c r="EJ202" s="20"/>
      <c r="EK202" s="10"/>
      <c r="EL202" s="10"/>
      <c r="EM202" s="10"/>
      <c r="EN202" s="20"/>
      <c r="EO202" s="20"/>
      <c r="EP202" s="20"/>
      <c r="EQ202" s="20"/>
      <c r="ER202" s="10"/>
      <c r="ES202" s="10"/>
      <c r="ET202" s="10"/>
      <c r="EU202" s="20"/>
      <c r="EV202" s="20"/>
      <c r="EW202" s="20"/>
      <c r="EX202" s="20"/>
      <c r="EY202" s="10"/>
      <c r="EZ202" s="10"/>
      <c r="FA202" s="10"/>
      <c r="FB202" s="20"/>
      <c r="FC202" s="20"/>
      <c r="FD202" s="20"/>
      <c r="FE202" s="20"/>
      <c r="FF202" s="10"/>
      <c r="FG202" s="10"/>
      <c r="FH202" s="10"/>
      <c r="FI202" s="20"/>
      <c r="FJ202" s="20"/>
      <c r="FK202" s="20"/>
      <c r="FL202" s="20"/>
      <c r="FM202" s="10"/>
      <c r="FN202" s="10"/>
      <c r="FO202" s="10"/>
      <c r="FP202" s="20"/>
      <c r="FQ202" s="20"/>
      <c r="FR202" s="20"/>
      <c r="FS202" s="20"/>
      <c r="FT202" s="10"/>
      <c r="FU202" s="10"/>
      <c r="FV202" s="10"/>
      <c r="FW202" s="20"/>
      <c r="FX202" s="20"/>
      <c r="FY202" s="20"/>
      <c r="FZ202" s="20"/>
      <c r="GA202" s="10"/>
      <c r="GB202" s="10"/>
      <c r="GC202" s="10"/>
      <c r="GD202" s="20"/>
      <c r="GE202" s="20"/>
      <c r="GF202" s="20"/>
      <c r="GG202" s="20"/>
      <c r="GH202" s="10"/>
      <c r="GI202" s="10"/>
      <c r="GJ202" s="10"/>
      <c r="GK202" s="20"/>
      <c r="GL202" s="20"/>
      <c r="GM202" s="20"/>
      <c r="GN202" s="20"/>
      <c r="GO202" s="10"/>
      <c r="GP202" s="10"/>
      <c r="GQ202" s="10"/>
      <c r="GR202" s="20"/>
      <c r="GS202" s="20"/>
      <c r="GT202" s="20"/>
      <c r="GU202" s="20"/>
      <c r="GV202" s="10"/>
      <c r="GW202" s="10"/>
      <c r="GX202" s="10"/>
      <c r="GY202" s="20"/>
      <c r="GZ202" s="20"/>
      <c r="HA202" s="20"/>
      <c r="HB202" s="20"/>
      <c r="HC202" s="10"/>
      <c r="HD202" s="10"/>
      <c r="HE202" s="10"/>
      <c r="HF202" s="20"/>
      <c r="HG202" s="20"/>
      <c r="HH202" s="20"/>
      <c r="HI202" s="20"/>
      <c r="HJ202" s="10"/>
      <c r="HK202" s="10"/>
      <c r="HL202" s="10"/>
      <c r="HM202" s="20"/>
      <c r="HN202" s="20"/>
      <c r="HO202" s="20"/>
      <c r="HP202" s="20"/>
      <c r="HQ202" s="10"/>
      <c r="HR202" s="10"/>
      <c r="HS202" s="10"/>
      <c r="HT202" s="20"/>
      <c r="HU202" s="20"/>
      <c r="HV202" s="20"/>
      <c r="HW202" s="20"/>
      <c r="HX202" s="10"/>
      <c r="HY202" s="10"/>
      <c r="HZ202" s="10"/>
      <c r="IA202" s="20"/>
      <c r="IB202" s="20"/>
      <c r="IC202" s="20"/>
      <c r="ID202" s="20"/>
      <c r="IE202" s="10"/>
      <c r="IF202" s="10"/>
      <c r="IG202" s="10"/>
      <c r="IH202" s="20"/>
      <c r="II202" s="20"/>
      <c r="IJ202" s="20"/>
      <c r="IK202" s="20"/>
      <c r="IL202" s="10"/>
      <c r="IM202" s="10"/>
      <c r="IN202" s="10"/>
      <c r="IO202" s="20"/>
      <c r="IP202" s="20"/>
      <c r="IQ202" s="20"/>
      <c r="IR202" s="20"/>
      <c r="IS202" s="10"/>
      <c r="IT202" s="10"/>
      <c r="IU202" s="10"/>
      <c r="IV202" s="20"/>
      <c r="IW202" s="20"/>
      <c r="IX202" s="20"/>
      <c r="IY202" s="20"/>
      <c r="IZ202" s="10"/>
      <c r="JA202" s="10"/>
      <c r="JB202" s="10"/>
      <c r="JC202" s="20"/>
      <c r="JD202" s="20"/>
      <c r="JE202" s="20"/>
      <c r="JF202" s="20"/>
      <c r="JG202" s="10"/>
      <c r="JH202" s="10"/>
      <c r="JI202" s="10"/>
      <c r="JJ202" s="20"/>
      <c r="JK202" s="20"/>
      <c r="JL202" s="20"/>
      <c r="JM202" s="20"/>
      <c r="JN202" s="10"/>
      <c r="JO202" s="10"/>
      <c r="JP202" s="10"/>
      <c r="JQ202" s="20"/>
      <c r="JR202" s="20"/>
      <c r="JS202" s="20"/>
      <c r="JT202" s="20"/>
      <c r="JU202" s="10"/>
      <c r="JV202" s="10"/>
      <c r="JW202" s="10"/>
      <c r="JX202" s="20"/>
      <c r="JY202" s="20"/>
      <c r="JZ202" s="20"/>
      <c r="KA202" s="20"/>
      <c r="KB202" s="10"/>
      <c r="KC202" s="10"/>
      <c r="KD202" s="10"/>
      <c r="KE202" s="20"/>
      <c r="KF202" s="20"/>
      <c r="KG202" s="20"/>
      <c r="KH202" s="20"/>
      <c r="KI202" s="10"/>
      <c r="KJ202" s="10"/>
      <c r="KK202" s="10"/>
      <c r="KL202" s="20"/>
      <c r="KM202" s="20"/>
      <c r="KN202" s="20"/>
      <c r="KO202" s="20"/>
      <c r="KP202" s="10"/>
      <c r="KQ202" s="10"/>
      <c r="KR202" s="10"/>
      <c r="KS202" s="20"/>
      <c r="KT202" s="20"/>
      <c r="KU202" s="20"/>
      <c r="KV202" s="20"/>
      <c r="KW202" s="10"/>
      <c r="KX202" s="10"/>
      <c r="KY202" s="10"/>
      <c r="KZ202" s="20"/>
      <c r="LA202" s="20"/>
      <c r="LB202" s="20"/>
      <c r="LC202" s="20"/>
      <c r="LD202" s="10"/>
      <c r="LE202" s="10"/>
      <c r="LF202" s="10"/>
      <c r="LG202" s="20"/>
      <c r="LH202" s="20"/>
      <c r="LI202" s="20"/>
      <c r="LJ202" s="20"/>
      <c r="LK202" s="10"/>
      <c r="LL202" s="10"/>
      <c r="LM202" s="10"/>
      <c r="LN202" s="20"/>
      <c r="LO202" s="20"/>
      <c r="LP202" s="20"/>
      <c r="LQ202" s="20"/>
      <c r="LR202" s="10"/>
      <c r="LS202" s="10"/>
      <c r="LT202" s="10"/>
      <c r="LU202" s="20"/>
      <c r="LV202" s="20"/>
      <c r="LW202" s="20"/>
      <c r="LX202" s="20"/>
      <c r="LY202" s="10"/>
      <c r="LZ202" s="10"/>
      <c r="MA202" s="10"/>
      <c r="MB202" s="20"/>
      <c r="MC202" s="20"/>
      <c r="MD202" s="20"/>
      <c r="ME202" s="20"/>
      <c r="MF202" s="10"/>
      <c r="MG202" s="10"/>
      <c r="MH202" s="10"/>
      <c r="MI202" s="20"/>
      <c r="MJ202" s="20"/>
      <c r="MK202" s="20"/>
      <c r="ML202" s="20"/>
      <c r="MM202" s="10"/>
      <c r="MN202" s="10"/>
      <c r="MO202" s="10"/>
      <c r="MP202" s="20"/>
      <c r="MQ202" s="20"/>
      <c r="MR202" s="20"/>
      <c r="MS202" s="20"/>
      <c r="MT202" s="10"/>
      <c r="MU202" s="10"/>
      <c r="MV202" s="10"/>
      <c r="MW202" s="20"/>
      <c r="MX202" s="20"/>
      <c r="MY202" s="20"/>
      <c r="MZ202" s="20"/>
      <c r="NA202" s="10"/>
      <c r="NB202" s="10"/>
      <c r="NC202" s="10"/>
      <c r="ND202" s="20"/>
      <c r="NE202" s="20"/>
      <c r="NF202" s="20"/>
      <c r="NG202" s="20"/>
      <c r="NH202" s="10"/>
      <c r="NI202" s="10"/>
      <c r="NJ202" s="10"/>
      <c r="NK202" s="20"/>
      <c r="NL202" s="20"/>
      <c r="NM202" s="20"/>
      <c r="NN202" s="20"/>
      <c r="NO202" s="10"/>
      <c r="NP202" s="10"/>
      <c r="NQ202" s="10"/>
      <c r="NR202" s="20"/>
      <c r="NS202" s="20"/>
      <c r="NT202" s="20"/>
      <c r="NU202" s="20"/>
      <c r="NV202" s="10"/>
      <c r="NW202" s="10"/>
      <c r="NX202" s="10"/>
      <c r="NY202" s="20"/>
      <c r="NZ202" s="20"/>
      <c r="OA202" s="20"/>
      <c r="OB202" s="20"/>
      <c r="OC202" s="10"/>
      <c r="OD202" s="10"/>
      <c r="OE202" s="10"/>
      <c r="OF202" s="20"/>
      <c r="OG202" s="20"/>
      <c r="OH202" s="20"/>
      <c r="OI202" s="20"/>
      <c r="OJ202" s="10"/>
      <c r="OK202" s="10"/>
      <c r="OL202" s="10"/>
      <c r="OM202" s="20"/>
      <c r="ON202" s="20"/>
      <c r="OO202" s="20"/>
      <c r="OP202" s="20"/>
      <c r="OQ202" s="10"/>
      <c r="OR202" s="10"/>
      <c r="OS202" s="10"/>
      <c r="OT202" s="20"/>
      <c r="OU202" s="20"/>
      <c r="OV202" s="20"/>
      <c r="OW202" s="20"/>
      <c r="OX202" s="10"/>
      <c r="OY202" s="10"/>
      <c r="OZ202" s="10"/>
      <c r="PA202" s="20"/>
      <c r="PB202" s="20"/>
      <c r="PC202" s="20"/>
      <c r="PD202" s="20"/>
      <c r="PE202" s="10"/>
      <c r="PF202" s="10"/>
      <c r="PG202" s="10"/>
      <c r="PH202" s="20"/>
      <c r="PI202" s="20"/>
      <c r="PJ202" s="20"/>
      <c r="PK202" s="20"/>
      <c r="PL202" s="10"/>
      <c r="PM202" s="10"/>
    </row>
    <row r="203" spans="1:429" s="1" customFormat="1" ht="24" outlineLevel="1">
      <c r="B203" s="471"/>
      <c r="C203" s="7"/>
      <c r="D203" s="19"/>
      <c r="E203" s="19"/>
      <c r="F203" s="19"/>
      <c r="G203" s="19"/>
      <c r="I203" s="8"/>
      <c r="J203" s="7"/>
      <c r="K203" s="19"/>
      <c r="L203" s="19"/>
      <c r="M203" s="19"/>
      <c r="N203" s="19"/>
      <c r="P203" s="8"/>
      <c r="Q203" s="7"/>
      <c r="R203" s="19"/>
      <c r="S203" s="19"/>
      <c r="T203" s="19"/>
      <c r="U203" s="19"/>
      <c r="W203" s="8"/>
      <c r="X203" s="7"/>
      <c r="Y203" s="19"/>
      <c r="Z203" s="19"/>
      <c r="AA203" s="19"/>
      <c r="AB203" s="19"/>
      <c r="AD203" s="8"/>
      <c r="AE203" s="7"/>
      <c r="AF203" s="19"/>
      <c r="AG203" s="19"/>
      <c r="AH203" s="19"/>
      <c r="AI203" s="19"/>
      <c r="AK203" s="8"/>
      <c r="AL203" s="7"/>
      <c r="AM203" s="19"/>
      <c r="AN203" s="19"/>
      <c r="AO203" s="19"/>
      <c r="AP203" s="19"/>
      <c r="AR203" s="8"/>
      <c r="AS203" s="7"/>
      <c r="AT203" s="19"/>
      <c r="AU203" s="19"/>
      <c r="AV203" s="19"/>
      <c r="AW203" s="19"/>
      <c r="AY203" s="8"/>
      <c r="AZ203" s="7"/>
      <c r="BA203" s="19"/>
      <c r="BB203" s="19"/>
      <c r="BC203" s="19"/>
      <c r="BD203" s="19"/>
      <c r="BF203" s="8"/>
      <c r="BG203" s="7"/>
      <c r="BH203" s="19"/>
      <c r="BI203" s="19"/>
      <c r="BJ203" s="19"/>
      <c r="BK203" s="19"/>
      <c r="BM203" s="8"/>
      <c r="BN203" s="7"/>
      <c r="BO203" s="19"/>
      <c r="BP203" s="19"/>
      <c r="BQ203" s="19"/>
      <c r="BR203" s="19"/>
      <c r="BT203" s="8"/>
      <c r="BU203" s="7"/>
      <c r="BV203" s="19"/>
      <c r="BW203" s="19"/>
      <c r="BX203" s="19"/>
      <c r="BY203" s="19"/>
      <c r="CA203" s="8"/>
      <c r="CB203" s="7"/>
      <c r="CC203" s="19"/>
      <c r="CD203" s="19"/>
      <c r="CE203" s="19"/>
      <c r="CF203" s="19"/>
      <c r="CH203" s="8"/>
      <c r="CI203" s="7"/>
      <c r="CJ203" s="19"/>
      <c r="CK203" s="19"/>
      <c r="CL203" s="19"/>
      <c r="CM203" s="19"/>
      <c r="CO203" s="8"/>
      <c r="CP203" s="7"/>
      <c r="CQ203" s="19"/>
      <c r="CR203" s="19"/>
      <c r="CS203" s="19"/>
      <c r="CT203" s="19"/>
      <c r="CV203" s="8"/>
      <c r="CW203" s="7"/>
      <c r="CX203" s="19"/>
      <c r="CY203" s="19"/>
      <c r="CZ203" s="19"/>
      <c r="DA203" s="19"/>
      <c r="DC203" s="8"/>
      <c r="DD203" s="7"/>
      <c r="DE203" s="19"/>
      <c r="DF203" s="19"/>
      <c r="DG203" s="19"/>
      <c r="DH203" s="19"/>
      <c r="DJ203" s="8"/>
      <c r="DK203" s="7"/>
      <c r="DL203" s="19"/>
      <c r="DM203" s="19"/>
      <c r="DN203" s="19"/>
      <c r="DO203" s="19"/>
      <c r="DQ203" s="8"/>
      <c r="DR203" s="7"/>
      <c r="DS203" s="19"/>
      <c r="DT203" s="19"/>
      <c r="DU203" s="19"/>
      <c r="DV203" s="19"/>
      <c r="DX203" s="8"/>
      <c r="DY203" s="7"/>
      <c r="DZ203" s="19"/>
      <c r="EA203" s="19"/>
      <c r="EB203" s="19"/>
      <c r="EC203" s="19"/>
      <c r="EE203" s="8"/>
      <c r="EF203" s="7"/>
      <c r="EG203" s="19"/>
      <c r="EH203" s="19"/>
      <c r="EI203" s="19"/>
      <c r="EJ203" s="19"/>
      <c r="EL203" s="8"/>
      <c r="EM203" s="7"/>
      <c r="EN203" s="19"/>
      <c r="EO203" s="19"/>
      <c r="EP203" s="19"/>
      <c r="EQ203" s="19"/>
      <c r="ES203" s="8"/>
      <c r="ET203" s="7"/>
      <c r="EU203" s="19"/>
      <c r="EV203" s="19"/>
      <c r="EW203" s="19"/>
      <c r="EX203" s="19"/>
      <c r="EZ203" s="8"/>
      <c r="FA203" s="7"/>
      <c r="FB203" s="19"/>
      <c r="FC203" s="19"/>
      <c r="FD203" s="19"/>
      <c r="FE203" s="19"/>
      <c r="FG203" s="8"/>
      <c r="FH203" s="7"/>
      <c r="FI203" s="19"/>
      <c r="FJ203" s="19"/>
      <c r="FK203" s="19"/>
      <c r="FL203" s="19"/>
      <c r="FN203" s="8"/>
      <c r="FO203" s="7"/>
      <c r="FP203" s="19"/>
      <c r="FQ203" s="19"/>
      <c r="FR203" s="19"/>
      <c r="FS203" s="19"/>
      <c r="FU203" s="8"/>
      <c r="FV203" s="7"/>
      <c r="FW203" s="19"/>
      <c r="FX203" s="19"/>
      <c r="FY203" s="19"/>
      <c r="FZ203" s="19"/>
      <c r="GB203" s="8"/>
      <c r="GC203" s="7"/>
      <c r="GD203" s="19"/>
      <c r="GE203" s="19"/>
      <c r="GF203" s="19"/>
      <c r="GG203" s="19"/>
      <c r="GI203" s="8"/>
      <c r="GJ203" s="7"/>
      <c r="GK203" s="19"/>
      <c r="GL203" s="19"/>
      <c r="GM203" s="19"/>
      <c r="GN203" s="19"/>
      <c r="GP203" s="8"/>
      <c r="GQ203" s="7"/>
      <c r="GR203" s="19"/>
      <c r="GS203" s="19"/>
      <c r="GT203" s="19"/>
      <c r="GU203" s="19"/>
      <c r="GW203" s="8"/>
      <c r="GX203" s="7"/>
      <c r="GY203" s="19"/>
      <c r="GZ203" s="19"/>
      <c r="HA203" s="19"/>
      <c r="HB203" s="19"/>
      <c r="HD203" s="8"/>
      <c r="HE203" s="7"/>
      <c r="HF203" s="19"/>
      <c r="HG203" s="19"/>
      <c r="HH203" s="19"/>
      <c r="HI203" s="19"/>
      <c r="HK203" s="8"/>
      <c r="HL203" s="7"/>
      <c r="HM203" s="19"/>
      <c r="HN203" s="19"/>
      <c r="HO203" s="19"/>
      <c r="HP203" s="19"/>
      <c r="HR203" s="8"/>
      <c r="HS203" s="7"/>
      <c r="HT203" s="19"/>
      <c r="HU203" s="19"/>
      <c r="HV203" s="19"/>
      <c r="HW203" s="19"/>
      <c r="HY203" s="8"/>
      <c r="HZ203" s="7"/>
      <c r="IA203" s="19"/>
      <c r="IB203" s="19"/>
      <c r="IC203" s="19"/>
      <c r="ID203" s="19"/>
      <c r="IF203" s="8"/>
      <c r="IG203" s="7"/>
      <c r="IH203" s="19"/>
      <c r="II203" s="19"/>
      <c r="IJ203" s="19"/>
      <c r="IK203" s="19"/>
      <c r="IM203" s="8"/>
      <c r="IN203" s="7"/>
      <c r="IO203" s="19"/>
      <c r="IP203" s="19"/>
      <c r="IQ203" s="19"/>
      <c r="IR203" s="19"/>
      <c r="IT203" s="8"/>
      <c r="IU203" s="7"/>
      <c r="IV203" s="19"/>
      <c r="IW203" s="19"/>
      <c r="IX203" s="19"/>
      <c r="IY203" s="19"/>
      <c r="JA203" s="8"/>
      <c r="JB203" s="7"/>
      <c r="JC203" s="19"/>
      <c r="JD203" s="19"/>
      <c r="JE203" s="19"/>
      <c r="JF203" s="19"/>
      <c r="JH203" s="8"/>
      <c r="JI203" s="7"/>
      <c r="JJ203" s="19"/>
      <c r="JK203" s="19"/>
      <c r="JL203" s="19"/>
      <c r="JM203" s="19"/>
      <c r="JO203" s="8"/>
      <c r="JP203" s="7"/>
      <c r="JQ203" s="19"/>
      <c r="JR203" s="19"/>
      <c r="JS203" s="19"/>
      <c r="JT203" s="19"/>
      <c r="JV203" s="8"/>
      <c r="JW203" s="7"/>
      <c r="JX203" s="19"/>
      <c r="JY203" s="19"/>
      <c r="JZ203" s="19"/>
      <c r="KA203" s="19"/>
      <c r="KC203" s="8"/>
      <c r="KD203" s="7"/>
      <c r="KE203" s="19"/>
      <c r="KF203" s="19"/>
      <c r="KG203" s="19"/>
      <c r="KH203" s="19"/>
      <c r="KJ203" s="8"/>
      <c r="KK203" s="7"/>
      <c r="KL203" s="19"/>
      <c r="KM203" s="19"/>
      <c r="KN203" s="19"/>
      <c r="KO203" s="19"/>
      <c r="KQ203" s="8"/>
      <c r="KR203" s="7"/>
      <c r="KS203" s="19"/>
      <c r="KT203" s="19"/>
      <c r="KU203" s="19"/>
      <c r="KV203" s="19"/>
      <c r="KX203" s="8"/>
      <c r="KY203" s="7"/>
      <c r="KZ203" s="19"/>
      <c r="LA203" s="19"/>
      <c r="LB203" s="19"/>
      <c r="LC203" s="19"/>
      <c r="LE203" s="8"/>
      <c r="LF203" s="7"/>
      <c r="LG203" s="19"/>
      <c r="LH203" s="19"/>
      <c r="LI203" s="19"/>
      <c r="LJ203" s="19"/>
      <c r="LL203" s="8"/>
      <c r="LM203" s="7"/>
      <c r="LN203" s="19"/>
      <c r="LO203" s="19"/>
      <c r="LP203" s="19"/>
      <c r="LQ203" s="19"/>
      <c r="LS203" s="8"/>
      <c r="LT203" s="7"/>
      <c r="LU203" s="19"/>
      <c r="LV203" s="19"/>
      <c r="LW203" s="19"/>
      <c r="LX203" s="19"/>
      <c r="LZ203" s="8"/>
      <c r="MA203" s="7"/>
      <c r="MB203" s="19"/>
      <c r="MC203" s="19"/>
      <c r="MD203" s="19"/>
      <c r="ME203" s="19"/>
      <c r="MG203" s="8"/>
      <c r="MH203" s="7"/>
      <c r="MI203" s="19"/>
      <c r="MJ203" s="19"/>
      <c r="MK203" s="19"/>
      <c r="ML203" s="19"/>
      <c r="MN203" s="8"/>
      <c r="MO203" s="7"/>
      <c r="MP203" s="19"/>
      <c r="MQ203" s="19"/>
      <c r="MR203" s="19"/>
      <c r="MS203" s="19"/>
      <c r="MU203" s="8"/>
      <c r="MV203" s="7"/>
      <c r="MW203" s="19"/>
      <c r="MX203" s="19"/>
      <c r="MY203" s="19"/>
      <c r="MZ203" s="19"/>
      <c r="NB203" s="8"/>
      <c r="NC203" s="7"/>
      <c r="ND203" s="19"/>
      <c r="NE203" s="19"/>
      <c r="NF203" s="19"/>
      <c r="NG203" s="19"/>
      <c r="NI203" s="8"/>
      <c r="NJ203" s="7"/>
      <c r="NK203" s="19"/>
      <c r="NL203" s="19"/>
      <c r="NM203" s="19"/>
      <c r="NN203" s="19"/>
      <c r="NP203" s="8"/>
      <c r="NQ203" s="7"/>
      <c r="NR203" s="19"/>
      <c r="NS203" s="19"/>
      <c r="NT203" s="19"/>
      <c r="NU203" s="19"/>
      <c r="NW203" s="8"/>
      <c r="NX203" s="7"/>
      <c r="NY203" s="19"/>
      <c r="NZ203" s="19"/>
      <c r="OA203" s="19"/>
      <c r="OB203" s="19"/>
      <c r="OD203" s="8"/>
      <c r="OE203" s="7"/>
      <c r="OF203" s="19"/>
      <c r="OG203" s="19"/>
      <c r="OH203" s="19"/>
      <c r="OI203" s="19"/>
      <c r="OK203" s="8"/>
      <c r="OL203" s="7"/>
      <c r="OM203" s="19"/>
      <c r="ON203" s="19"/>
      <c r="OO203" s="19"/>
      <c r="OP203" s="19"/>
      <c r="OR203" s="8"/>
      <c r="OS203" s="7"/>
      <c r="OT203" s="19"/>
      <c r="OU203" s="19"/>
      <c r="OV203" s="19"/>
      <c r="OW203" s="19"/>
      <c r="OY203" s="8"/>
      <c r="OZ203" s="7"/>
      <c r="PA203" s="19"/>
      <c r="PB203" s="19"/>
      <c r="PC203" s="19"/>
      <c r="PD203" s="19"/>
      <c r="PF203" s="8"/>
      <c r="PG203" s="7"/>
      <c r="PH203" s="19"/>
      <c r="PI203" s="19"/>
      <c r="PJ203" s="19"/>
      <c r="PK203" s="19"/>
      <c r="PM203" s="8"/>
    </row>
    <row r="204" spans="1:429" s="1" customFormat="1" ht="24" outlineLevel="1">
      <c r="B204" s="471"/>
      <c r="C204" s="7"/>
      <c r="D204" s="19"/>
      <c r="E204" s="19"/>
      <c r="F204" s="19"/>
      <c r="G204" s="19"/>
      <c r="I204" s="8"/>
      <c r="J204" s="7"/>
      <c r="K204" s="19"/>
      <c r="L204" s="19"/>
      <c r="M204" s="19"/>
      <c r="N204" s="19"/>
      <c r="P204" s="8"/>
      <c r="Q204" s="7"/>
      <c r="R204" s="19"/>
      <c r="S204" s="19"/>
      <c r="T204" s="19"/>
      <c r="U204" s="19"/>
      <c r="W204" s="8"/>
      <c r="X204" s="7"/>
      <c r="Y204" s="19"/>
      <c r="Z204" s="19"/>
      <c r="AA204" s="19"/>
      <c r="AB204" s="19"/>
      <c r="AD204" s="8"/>
      <c r="AE204" s="7"/>
      <c r="AF204" s="19"/>
      <c r="AG204" s="19"/>
      <c r="AH204" s="19"/>
      <c r="AI204" s="19"/>
      <c r="AK204" s="8"/>
      <c r="AL204" s="7"/>
      <c r="AM204" s="19"/>
      <c r="AN204" s="19"/>
      <c r="AO204" s="19"/>
      <c r="AP204" s="19"/>
      <c r="AR204" s="8"/>
      <c r="AS204" s="7"/>
      <c r="AT204" s="19"/>
      <c r="AU204" s="19"/>
      <c r="AV204" s="19"/>
      <c r="AW204" s="19"/>
      <c r="AY204" s="8"/>
      <c r="AZ204" s="7"/>
      <c r="BA204" s="19"/>
      <c r="BB204" s="19"/>
      <c r="BC204" s="19"/>
      <c r="BD204" s="19"/>
      <c r="BF204" s="8"/>
      <c r="BG204" s="7"/>
      <c r="BH204" s="19"/>
      <c r="BI204" s="19"/>
      <c r="BJ204" s="19"/>
      <c r="BK204" s="19"/>
      <c r="BM204" s="8"/>
      <c r="BN204" s="7"/>
      <c r="BO204" s="19"/>
      <c r="BP204" s="19"/>
      <c r="BQ204" s="19"/>
      <c r="BR204" s="19"/>
      <c r="BT204" s="8"/>
      <c r="BU204" s="7"/>
      <c r="BV204" s="19"/>
      <c r="BW204" s="19"/>
      <c r="BX204" s="19"/>
      <c r="BY204" s="19"/>
      <c r="CA204" s="8"/>
      <c r="CB204" s="7"/>
      <c r="CC204" s="19"/>
      <c r="CD204" s="19"/>
      <c r="CE204" s="19"/>
      <c r="CF204" s="19"/>
      <c r="CH204" s="8"/>
      <c r="CI204" s="7"/>
      <c r="CJ204" s="19"/>
      <c r="CK204" s="19"/>
      <c r="CL204" s="19"/>
      <c r="CM204" s="19"/>
      <c r="CO204" s="8"/>
      <c r="CP204" s="7"/>
      <c r="CQ204" s="19"/>
      <c r="CR204" s="19"/>
      <c r="CS204" s="19"/>
      <c r="CT204" s="19"/>
      <c r="CV204" s="8"/>
      <c r="CW204" s="7"/>
      <c r="CX204" s="19"/>
      <c r="CY204" s="19"/>
      <c r="CZ204" s="19"/>
      <c r="DA204" s="19"/>
      <c r="DC204" s="8"/>
      <c r="DD204" s="7"/>
      <c r="DE204" s="19"/>
      <c r="DF204" s="19"/>
      <c r="DG204" s="19"/>
      <c r="DH204" s="19"/>
      <c r="DJ204" s="8"/>
      <c r="DK204" s="7"/>
      <c r="DL204" s="19"/>
      <c r="DM204" s="19"/>
      <c r="DN204" s="19"/>
      <c r="DO204" s="19"/>
      <c r="DQ204" s="8"/>
      <c r="DR204" s="7"/>
      <c r="DS204" s="19"/>
      <c r="DT204" s="19"/>
      <c r="DU204" s="19"/>
      <c r="DV204" s="19"/>
      <c r="DX204" s="8"/>
      <c r="DY204" s="7"/>
      <c r="DZ204" s="19"/>
      <c r="EA204" s="19"/>
      <c r="EB204" s="19"/>
      <c r="EC204" s="19"/>
      <c r="EE204" s="8"/>
      <c r="EF204" s="7"/>
      <c r="EG204" s="19"/>
      <c r="EH204" s="19"/>
      <c r="EI204" s="19"/>
      <c r="EJ204" s="19"/>
      <c r="EL204" s="8"/>
      <c r="EM204" s="7"/>
      <c r="EN204" s="19"/>
      <c r="EO204" s="19"/>
      <c r="EP204" s="19"/>
      <c r="EQ204" s="19"/>
      <c r="ES204" s="8"/>
      <c r="ET204" s="7"/>
      <c r="EU204" s="19"/>
      <c r="EV204" s="19"/>
      <c r="EW204" s="19"/>
      <c r="EX204" s="19"/>
      <c r="EZ204" s="8"/>
      <c r="FA204" s="7"/>
      <c r="FB204" s="19"/>
      <c r="FC204" s="19"/>
      <c r="FD204" s="19"/>
      <c r="FE204" s="19"/>
      <c r="FG204" s="8"/>
      <c r="FH204" s="7"/>
      <c r="FI204" s="19"/>
      <c r="FJ204" s="19"/>
      <c r="FK204" s="19"/>
      <c r="FL204" s="19"/>
      <c r="FN204" s="8"/>
      <c r="FO204" s="7"/>
      <c r="FP204" s="19"/>
      <c r="FQ204" s="19"/>
      <c r="FR204" s="19"/>
      <c r="FS204" s="19"/>
      <c r="FU204" s="8"/>
      <c r="FV204" s="7"/>
      <c r="FW204" s="19"/>
      <c r="FX204" s="19"/>
      <c r="FY204" s="19"/>
      <c r="FZ204" s="19"/>
      <c r="GB204" s="8"/>
      <c r="GC204" s="7"/>
      <c r="GD204" s="19"/>
      <c r="GE204" s="19"/>
      <c r="GF204" s="19"/>
      <c r="GG204" s="19"/>
      <c r="GI204" s="8"/>
      <c r="GJ204" s="7"/>
      <c r="GK204" s="19"/>
      <c r="GL204" s="19"/>
      <c r="GM204" s="19"/>
      <c r="GN204" s="19"/>
      <c r="GP204" s="8"/>
      <c r="GQ204" s="7"/>
      <c r="GR204" s="19"/>
      <c r="GS204" s="19"/>
      <c r="GT204" s="19"/>
      <c r="GU204" s="19"/>
      <c r="GW204" s="8"/>
      <c r="GX204" s="7"/>
      <c r="GY204" s="19"/>
      <c r="GZ204" s="19"/>
      <c r="HA204" s="19"/>
      <c r="HB204" s="19"/>
      <c r="HD204" s="8"/>
      <c r="HE204" s="7"/>
      <c r="HF204" s="19"/>
      <c r="HG204" s="19"/>
      <c r="HH204" s="19"/>
      <c r="HI204" s="19"/>
      <c r="HK204" s="8"/>
      <c r="HL204" s="7"/>
      <c r="HM204" s="19"/>
      <c r="HN204" s="19"/>
      <c r="HO204" s="19"/>
      <c r="HP204" s="19"/>
      <c r="HR204" s="8"/>
      <c r="HS204" s="7"/>
      <c r="HT204" s="19"/>
      <c r="HU204" s="19"/>
      <c r="HV204" s="19"/>
      <c r="HW204" s="19"/>
      <c r="HY204" s="8"/>
      <c r="HZ204" s="7"/>
      <c r="IA204" s="19"/>
      <c r="IB204" s="19"/>
      <c r="IC204" s="19"/>
      <c r="ID204" s="19"/>
      <c r="IF204" s="8"/>
      <c r="IG204" s="7"/>
      <c r="IH204" s="19"/>
      <c r="II204" s="19"/>
      <c r="IJ204" s="19"/>
      <c r="IK204" s="19"/>
      <c r="IM204" s="8"/>
      <c r="IN204" s="7"/>
      <c r="IO204" s="19"/>
      <c r="IP204" s="19"/>
      <c r="IQ204" s="19"/>
      <c r="IR204" s="19"/>
      <c r="IT204" s="8"/>
      <c r="IU204" s="7"/>
      <c r="IV204" s="19"/>
      <c r="IW204" s="19"/>
      <c r="IX204" s="19"/>
      <c r="IY204" s="19"/>
      <c r="JA204" s="8"/>
      <c r="JB204" s="7"/>
      <c r="JC204" s="19"/>
      <c r="JD204" s="19"/>
      <c r="JE204" s="19"/>
      <c r="JF204" s="19"/>
      <c r="JH204" s="8"/>
      <c r="JI204" s="7"/>
      <c r="JJ204" s="19"/>
      <c r="JK204" s="19"/>
      <c r="JL204" s="19"/>
      <c r="JM204" s="19"/>
      <c r="JO204" s="8"/>
      <c r="JP204" s="7"/>
      <c r="JQ204" s="19"/>
      <c r="JR204" s="19"/>
      <c r="JS204" s="19"/>
      <c r="JT204" s="19"/>
      <c r="JV204" s="8"/>
      <c r="JW204" s="7"/>
      <c r="JX204" s="19"/>
      <c r="JY204" s="19"/>
      <c r="JZ204" s="19"/>
      <c r="KA204" s="19"/>
      <c r="KC204" s="8"/>
      <c r="KD204" s="7"/>
      <c r="KE204" s="19"/>
      <c r="KF204" s="19"/>
      <c r="KG204" s="19"/>
      <c r="KH204" s="19"/>
      <c r="KJ204" s="8"/>
      <c r="KK204" s="7"/>
      <c r="KL204" s="19"/>
      <c r="KM204" s="19"/>
      <c r="KN204" s="19"/>
      <c r="KO204" s="19"/>
      <c r="KQ204" s="8"/>
      <c r="KR204" s="7"/>
      <c r="KS204" s="19"/>
      <c r="KT204" s="19"/>
      <c r="KU204" s="19"/>
      <c r="KV204" s="19"/>
      <c r="KX204" s="8"/>
      <c r="KY204" s="7"/>
      <c r="KZ204" s="19"/>
      <c r="LA204" s="19"/>
      <c r="LB204" s="19"/>
      <c r="LC204" s="19"/>
      <c r="LE204" s="8"/>
      <c r="LF204" s="7"/>
      <c r="LG204" s="19"/>
      <c r="LH204" s="19"/>
      <c r="LI204" s="19"/>
      <c r="LJ204" s="19"/>
      <c r="LL204" s="8"/>
      <c r="LM204" s="7"/>
      <c r="LN204" s="19"/>
      <c r="LO204" s="19"/>
      <c r="LP204" s="19"/>
      <c r="LQ204" s="19"/>
      <c r="LS204" s="8"/>
      <c r="LT204" s="7"/>
      <c r="LU204" s="19"/>
      <c r="LV204" s="19"/>
      <c r="LW204" s="19"/>
      <c r="LX204" s="19"/>
      <c r="LZ204" s="8"/>
      <c r="MA204" s="7"/>
      <c r="MB204" s="19"/>
      <c r="MC204" s="19"/>
      <c r="MD204" s="19"/>
      <c r="ME204" s="19"/>
      <c r="MG204" s="8"/>
      <c r="MH204" s="7"/>
      <c r="MI204" s="19"/>
      <c r="MJ204" s="19"/>
      <c r="MK204" s="19"/>
      <c r="ML204" s="19"/>
      <c r="MN204" s="8"/>
      <c r="MO204" s="7"/>
      <c r="MP204" s="19"/>
      <c r="MQ204" s="19"/>
      <c r="MR204" s="19"/>
      <c r="MS204" s="19"/>
      <c r="MU204" s="8"/>
      <c r="MV204" s="7"/>
      <c r="MW204" s="19"/>
      <c r="MX204" s="19"/>
      <c r="MY204" s="19"/>
      <c r="MZ204" s="19"/>
      <c r="NB204" s="8"/>
      <c r="NC204" s="7"/>
      <c r="ND204" s="19"/>
      <c r="NE204" s="19"/>
      <c r="NF204" s="19"/>
      <c r="NG204" s="19"/>
      <c r="NI204" s="8"/>
      <c r="NJ204" s="7"/>
      <c r="NK204" s="19"/>
      <c r="NL204" s="19"/>
      <c r="NM204" s="19"/>
      <c r="NN204" s="19"/>
      <c r="NP204" s="8"/>
      <c r="NQ204" s="7"/>
      <c r="NR204" s="19"/>
      <c r="NS204" s="19"/>
      <c r="NT204" s="19"/>
      <c r="NU204" s="19"/>
      <c r="NW204" s="8"/>
      <c r="NX204" s="7"/>
      <c r="NY204" s="19"/>
      <c r="NZ204" s="19"/>
      <c r="OA204" s="19"/>
      <c r="OB204" s="19"/>
      <c r="OD204" s="8"/>
      <c r="OE204" s="7"/>
      <c r="OF204" s="19"/>
      <c r="OG204" s="19"/>
      <c r="OH204" s="19"/>
      <c r="OI204" s="19"/>
      <c r="OK204" s="8"/>
      <c r="OL204" s="7"/>
      <c r="OM204" s="19"/>
      <c r="ON204" s="19"/>
      <c r="OO204" s="19"/>
      <c r="OP204" s="19"/>
      <c r="OR204" s="8"/>
      <c r="OS204" s="7"/>
      <c r="OT204" s="19"/>
      <c r="OU204" s="19"/>
      <c r="OV204" s="19"/>
      <c r="OW204" s="19"/>
      <c r="OY204" s="8"/>
      <c r="OZ204" s="7"/>
      <c r="PA204" s="19"/>
      <c r="PB204" s="19"/>
      <c r="PC204" s="19"/>
      <c r="PD204" s="19"/>
      <c r="PF204" s="8"/>
      <c r="PG204" s="7"/>
      <c r="PH204" s="19"/>
      <c r="PI204" s="19"/>
      <c r="PJ204" s="19"/>
      <c r="PK204" s="19"/>
      <c r="PM204" s="8"/>
    </row>
    <row r="205" spans="1:429" s="1" customFormat="1" ht="24" outlineLevel="1">
      <c r="B205" s="471"/>
      <c r="C205" s="7"/>
      <c r="D205" s="19"/>
      <c r="E205" s="19"/>
      <c r="F205" s="19"/>
      <c r="G205" s="19"/>
      <c r="I205" s="8"/>
      <c r="J205" s="7"/>
      <c r="K205" s="19"/>
      <c r="L205" s="19"/>
      <c r="M205" s="19"/>
      <c r="N205" s="19"/>
      <c r="P205" s="8"/>
      <c r="Q205" s="7"/>
      <c r="R205" s="19"/>
      <c r="S205" s="19"/>
      <c r="T205" s="19"/>
      <c r="U205" s="19"/>
      <c r="W205" s="8"/>
      <c r="X205" s="7"/>
      <c r="Y205" s="19"/>
      <c r="Z205" s="19"/>
      <c r="AA205" s="19"/>
      <c r="AB205" s="19"/>
      <c r="AD205" s="8"/>
      <c r="AE205" s="7"/>
      <c r="AF205" s="19"/>
      <c r="AG205" s="19"/>
      <c r="AH205" s="19"/>
      <c r="AI205" s="19"/>
      <c r="AK205" s="8"/>
      <c r="AL205" s="7"/>
      <c r="AM205" s="19"/>
      <c r="AN205" s="19"/>
      <c r="AO205" s="19"/>
      <c r="AP205" s="19"/>
      <c r="AR205" s="8"/>
      <c r="AS205" s="7"/>
      <c r="AT205" s="19"/>
      <c r="AU205" s="19"/>
      <c r="AV205" s="19"/>
      <c r="AW205" s="19"/>
      <c r="AY205" s="8"/>
      <c r="AZ205" s="7"/>
      <c r="BA205" s="19"/>
      <c r="BB205" s="19"/>
      <c r="BC205" s="19"/>
      <c r="BD205" s="19"/>
      <c r="BF205" s="8"/>
      <c r="BG205" s="7"/>
      <c r="BH205" s="19"/>
      <c r="BI205" s="19"/>
      <c r="BJ205" s="19"/>
      <c r="BK205" s="19"/>
      <c r="BM205" s="8"/>
      <c r="BN205" s="7"/>
      <c r="BO205" s="19"/>
      <c r="BP205" s="19"/>
      <c r="BQ205" s="19"/>
      <c r="BR205" s="19"/>
      <c r="BT205" s="8"/>
      <c r="BU205" s="7"/>
      <c r="BV205" s="19"/>
      <c r="BW205" s="19"/>
      <c r="BX205" s="19"/>
      <c r="BY205" s="19"/>
      <c r="CA205" s="8"/>
      <c r="CB205" s="7"/>
      <c r="CC205" s="19"/>
      <c r="CD205" s="19"/>
      <c r="CE205" s="19"/>
      <c r="CF205" s="19"/>
      <c r="CH205" s="8"/>
      <c r="CI205" s="7"/>
      <c r="CJ205" s="19"/>
      <c r="CK205" s="19"/>
      <c r="CL205" s="19"/>
      <c r="CM205" s="19"/>
      <c r="CO205" s="8"/>
      <c r="CP205" s="7"/>
      <c r="CQ205" s="19"/>
      <c r="CR205" s="19"/>
      <c r="CS205" s="19"/>
      <c r="CT205" s="19"/>
      <c r="CV205" s="8"/>
      <c r="CW205" s="7"/>
      <c r="CX205" s="19"/>
      <c r="CY205" s="19"/>
      <c r="CZ205" s="19"/>
      <c r="DA205" s="19"/>
      <c r="DC205" s="8"/>
      <c r="DD205" s="7"/>
      <c r="DE205" s="19"/>
      <c r="DF205" s="19"/>
      <c r="DG205" s="19"/>
      <c r="DH205" s="19"/>
      <c r="DJ205" s="8"/>
      <c r="DK205" s="7"/>
      <c r="DL205" s="19"/>
      <c r="DM205" s="19"/>
      <c r="DN205" s="19"/>
      <c r="DO205" s="19"/>
      <c r="DQ205" s="8"/>
      <c r="DR205" s="7"/>
      <c r="DS205" s="19"/>
      <c r="DT205" s="19"/>
      <c r="DU205" s="19"/>
      <c r="DV205" s="19"/>
      <c r="DX205" s="8"/>
      <c r="DY205" s="7"/>
      <c r="DZ205" s="19"/>
      <c r="EA205" s="19"/>
      <c r="EB205" s="19"/>
      <c r="EC205" s="19"/>
      <c r="EE205" s="8"/>
      <c r="EF205" s="7"/>
      <c r="EG205" s="19"/>
      <c r="EH205" s="19"/>
      <c r="EI205" s="19"/>
      <c r="EJ205" s="19"/>
      <c r="EL205" s="8"/>
      <c r="EM205" s="7"/>
      <c r="EN205" s="19"/>
      <c r="EO205" s="19"/>
      <c r="EP205" s="19"/>
      <c r="EQ205" s="19"/>
      <c r="ES205" s="8"/>
      <c r="ET205" s="7"/>
      <c r="EU205" s="19"/>
      <c r="EV205" s="19"/>
      <c r="EW205" s="19"/>
      <c r="EX205" s="19"/>
      <c r="EZ205" s="8"/>
      <c r="FA205" s="7"/>
      <c r="FB205" s="19"/>
      <c r="FC205" s="19"/>
      <c r="FD205" s="19"/>
      <c r="FE205" s="19"/>
      <c r="FG205" s="8"/>
      <c r="FH205" s="7"/>
      <c r="FI205" s="19"/>
      <c r="FJ205" s="19"/>
      <c r="FK205" s="19"/>
      <c r="FL205" s="19"/>
      <c r="FN205" s="8"/>
      <c r="FO205" s="7"/>
      <c r="FP205" s="19"/>
      <c r="FQ205" s="19"/>
      <c r="FR205" s="19"/>
      <c r="FS205" s="19"/>
      <c r="FU205" s="8"/>
      <c r="FV205" s="7"/>
      <c r="FW205" s="19"/>
      <c r="FX205" s="19"/>
      <c r="FY205" s="19"/>
      <c r="FZ205" s="19"/>
      <c r="GB205" s="8"/>
      <c r="GC205" s="7"/>
      <c r="GD205" s="19"/>
      <c r="GE205" s="19"/>
      <c r="GF205" s="19"/>
      <c r="GG205" s="19"/>
      <c r="GI205" s="8"/>
      <c r="GJ205" s="7"/>
      <c r="GK205" s="19"/>
      <c r="GL205" s="19"/>
      <c r="GM205" s="19"/>
      <c r="GN205" s="19"/>
      <c r="GP205" s="8"/>
      <c r="GQ205" s="7"/>
      <c r="GR205" s="19"/>
      <c r="GS205" s="19"/>
      <c r="GT205" s="19"/>
      <c r="GU205" s="19"/>
      <c r="GW205" s="8"/>
      <c r="GX205" s="7"/>
      <c r="GY205" s="19"/>
      <c r="GZ205" s="19"/>
      <c r="HA205" s="19"/>
      <c r="HB205" s="19"/>
      <c r="HD205" s="8"/>
      <c r="HE205" s="7"/>
      <c r="HF205" s="19"/>
      <c r="HG205" s="19"/>
      <c r="HH205" s="19"/>
      <c r="HI205" s="19"/>
      <c r="HK205" s="8"/>
      <c r="HL205" s="7"/>
      <c r="HM205" s="19"/>
      <c r="HN205" s="19"/>
      <c r="HO205" s="19"/>
      <c r="HP205" s="19"/>
      <c r="HR205" s="8"/>
      <c r="HS205" s="7"/>
      <c r="HT205" s="19"/>
      <c r="HU205" s="19"/>
      <c r="HV205" s="19"/>
      <c r="HW205" s="19"/>
      <c r="HY205" s="8"/>
      <c r="HZ205" s="7"/>
      <c r="IA205" s="19"/>
      <c r="IB205" s="19"/>
      <c r="IC205" s="19"/>
      <c r="ID205" s="19"/>
      <c r="IF205" s="8"/>
      <c r="IG205" s="7"/>
      <c r="IH205" s="19"/>
      <c r="II205" s="19"/>
      <c r="IJ205" s="19"/>
      <c r="IK205" s="19"/>
      <c r="IM205" s="8"/>
      <c r="IN205" s="7"/>
      <c r="IO205" s="19"/>
      <c r="IP205" s="19"/>
      <c r="IQ205" s="19"/>
      <c r="IR205" s="19"/>
      <c r="IT205" s="8"/>
      <c r="IU205" s="7"/>
      <c r="IV205" s="19"/>
      <c r="IW205" s="19"/>
      <c r="IX205" s="19"/>
      <c r="IY205" s="19"/>
      <c r="JA205" s="8"/>
      <c r="JB205" s="7"/>
      <c r="JC205" s="19"/>
      <c r="JD205" s="19"/>
      <c r="JE205" s="19"/>
      <c r="JF205" s="19"/>
      <c r="JH205" s="8"/>
      <c r="JI205" s="7"/>
      <c r="JJ205" s="19"/>
      <c r="JK205" s="19"/>
      <c r="JL205" s="19"/>
      <c r="JM205" s="19"/>
      <c r="JO205" s="8"/>
      <c r="JP205" s="7"/>
      <c r="JQ205" s="19"/>
      <c r="JR205" s="19"/>
      <c r="JS205" s="19"/>
      <c r="JT205" s="19"/>
      <c r="JV205" s="8"/>
      <c r="JW205" s="7"/>
      <c r="JX205" s="19"/>
      <c r="JY205" s="19"/>
      <c r="JZ205" s="19"/>
      <c r="KA205" s="19"/>
      <c r="KC205" s="8"/>
      <c r="KD205" s="7"/>
      <c r="KE205" s="19"/>
      <c r="KF205" s="19"/>
      <c r="KG205" s="19"/>
      <c r="KH205" s="19"/>
      <c r="KJ205" s="8"/>
      <c r="KK205" s="7"/>
      <c r="KL205" s="19"/>
      <c r="KM205" s="19"/>
      <c r="KN205" s="19"/>
      <c r="KO205" s="19"/>
      <c r="KQ205" s="8"/>
      <c r="KR205" s="7"/>
      <c r="KS205" s="19"/>
      <c r="KT205" s="19"/>
      <c r="KU205" s="19"/>
      <c r="KV205" s="19"/>
      <c r="KX205" s="8"/>
      <c r="KY205" s="7"/>
      <c r="KZ205" s="19"/>
      <c r="LA205" s="19"/>
      <c r="LB205" s="19"/>
      <c r="LC205" s="19"/>
      <c r="LE205" s="8"/>
      <c r="LF205" s="7"/>
      <c r="LG205" s="19"/>
      <c r="LH205" s="19"/>
      <c r="LI205" s="19"/>
      <c r="LJ205" s="19"/>
      <c r="LL205" s="8"/>
      <c r="LM205" s="7"/>
      <c r="LN205" s="19"/>
      <c r="LO205" s="19"/>
      <c r="LP205" s="19"/>
      <c r="LQ205" s="19"/>
      <c r="LS205" s="8"/>
      <c r="LT205" s="7"/>
      <c r="LU205" s="19"/>
      <c r="LV205" s="19"/>
      <c r="LW205" s="19"/>
      <c r="LX205" s="19"/>
      <c r="LZ205" s="8"/>
      <c r="MA205" s="7"/>
      <c r="MB205" s="19"/>
      <c r="MC205" s="19"/>
      <c r="MD205" s="19"/>
      <c r="ME205" s="19"/>
      <c r="MG205" s="8"/>
      <c r="MH205" s="7"/>
      <c r="MI205" s="19"/>
      <c r="MJ205" s="19"/>
      <c r="MK205" s="19"/>
      <c r="ML205" s="19"/>
      <c r="MN205" s="8"/>
      <c r="MO205" s="7"/>
      <c r="MP205" s="19"/>
      <c r="MQ205" s="19"/>
      <c r="MR205" s="19"/>
      <c r="MS205" s="19"/>
      <c r="MU205" s="8"/>
      <c r="MV205" s="7"/>
      <c r="MW205" s="19"/>
      <c r="MX205" s="19"/>
      <c r="MY205" s="19"/>
      <c r="MZ205" s="19"/>
      <c r="NB205" s="8"/>
      <c r="NC205" s="7"/>
      <c r="ND205" s="19"/>
      <c r="NE205" s="19"/>
      <c r="NF205" s="19"/>
      <c r="NG205" s="19"/>
      <c r="NI205" s="8"/>
      <c r="NJ205" s="7"/>
      <c r="NK205" s="19"/>
      <c r="NL205" s="19"/>
      <c r="NM205" s="19"/>
      <c r="NN205" s="19"/>
      <c r="NP205" s="8"/>
      <c r="NQ205" s="7"/>
      <c r="NR205" s="19"/>
      <c r="NS205" s="19"/>
      <c r="NT205" s="19"/>
      <c r="NU205" s="19"/>
      <c r="NW205" s="8"/>
      <c r="NX205" s="7"/>
      <c r="NY205" s="19"/>
      <c r="NZ205" s="19"/>
      <c r="OA205" s="19"/>
      <c r="OB205" s="19"/>
      <c r="OD205" s="8"/>
      <c r="OE205" s="7"/>
      <c r="OF205" s="19"/>
      <c r="OG205" s="19"/>
      <c r="OH205" s="19"/>
      <c r="OI205" s="19"/>
      <c r="OK205" s="8"/>
      <c r="OL205" s="7"/>
      <c r="OM205" s="19"/>
      <c r="ON205" s="19"/>
      <c r="OO205" s="19"/>
      <c r="OP205" s="19"/>
      <c r="OR205" s="8"/>
      <c r="OS205" s="7"/>
      <c r="OT205" s="19"/>
      <c r="OU205" s="19"/>
      <c r="OV205" s="19"/>
      <c r="OW205" s="19"/>
      <c r="OY205" s="8"/>
      <c r="OZ205" s="7"/>
      <c r="PA205" s="19"/>
      <c r="PB205" s="19"/>
      <c r="PC205" s="19"/>
      <c r="PD205" s="19"/>
      <c r="PF205" s="8"/>
      <c r="PG205" s="7"/>
      <c r="PH205" s="19"/>
      <c r="PI205" s="19"/>
      <c r="PJ205" s="19"/>
      <c r="PK205" s="19"/>
      <c r="PM205" s="8"/>
    </row>
    <row r="206" spans="1:429" s="1" customFormat="1" ht="24" outlineLevel="1">
      <c r="B206" s="471"/>
      <c r="C206" s="7"/>
      <c r="D206" s="19"/>
      <c r="E206" s="19"/>
      <c r="F206" s="19"/>
      <c r="G206" s="19"/>
      <c r="I206" s="8"/>
      <c r="J206" s="7"/>
      <c r="K206" s="19"/>
      <c r="L206" s="19"/>
      <c r="M206" s="19"/>
      <c r="N206" s="19"/>
      <c r="P206" s="8"/>
      <c r="Q206" s="7"/>
      <c r="R206" s="19"/>
      <c r="S206" s="19"/>
      <c r="T206" s="19"/>
      <c r="U206" s="19"/>
      <c r="W206" s="8"/>
      <c r="X206" s="7"/>
      <c r="Y206" s="19"/>
      <c r="Z206" s="19"/>
      <c r="AA206" s="19"/>
      <c r="AB206" s="19"/>
      <c r="AD206" s="8"/>
      <c r="AE206" s="7"/>
      <c r="AF206" s="19"/>
      <c r="AG206" s="19"/>
      <c r="AH206" s="19"/>
      <c r="AI206" s="19"/>
      <c r="AK206" s="8"/>
      <c r="AL206" s="7"/>
      <c r="AM206" s="19"/>
      <c r="AN206" s="19"/>
      <c r="AO206" s="19"/>
      <c r="AP206" s="19"/>
      <c r="AR206" s="8"/>
      <c r="AS206" s="7"/>
      <c r="AT206" s="19"/>
      <c r="AU206" s="19"/>
      <c r="AV206" s="19"/>
      <c r="AW206" s="19"/>
      <c r="AY206" s="8"/>
      <c r="AZ206" s="7"/>
      <c r="BA206" s="19"/>
      <c r="BB206" s="19"/>
      <c r="BC206" s="19"/>
      <c r="BD206" s="19"/>
      <c r="BF206" s="8"/>
      <c r="BG206" s="7"/>
      <c r="BH206" s="19"/>
      <c r="BI206" s="19"/>
      <c r="BJ206" s="19"/>
      <c r="BK206" s="19"/>
      <c r="BM206" s="8"/>
      <c r="BN206" s="7"/>
      <c r="BO206" s="19"/>
      <c r="BP206" s="19"/>
      <c r="BQ206" s="19"/>
      <c r="BR206" s="19"/>
      <c r="BT206" s="8"/>
      <c r="BU206" s="7"/>
      <c r="BV206" s="19"/>
      <c r="BW206" s="19"/>
      <c r="BX206" s="19"/>
      <c r="BY206" s="19"/>
      <c r="CA206" s="8"/>
      <c r="CB206" s="7"/>
      <c r="CC206" s="19"/>
      <c r="CD206" s="19"/>
      <c r="CE206" s="19"/>
      <c r="CF206" s="19"/>
      <c r="CH206" s="8"/>
      <c r="CI206" s="7"/>
      <c r="CJ206" s="19"/>
      <c r="CK206" s="19"/>
      <c r="CL206" s="19"/>
      <c r="CM206" s="19"/>
      <c r="CO206" s="8"/>
      <c r="CP206" s="7"/>
      <c r="CQ206" s="19"/>
      <c r="CR206" s="19"/>
      <c r="CS206" s="19"/>
      <c r="CT206" s="19"/>
      <c r="CV206" s="8"/>
      <c r="CW206" s="7"/>
      <c r="CX206" s="19"/>
      <c r="CY206" s="19"/>
      <c r="CZ206" s="19"/>
      <c r="DA206" s="19"/>
      <c r="DC206" s="8"/>
      <c r="DD206" s="7"/>
      <c r="DE206" s="19"/>
      <c r="DF206" s="19"/>
      <c r="DG206" s="19"/>
      <c r="DH206" s="19"/>
      <c r="DJ206" s="8"/>
      <c r="DK206" s="7"/>
      <c r="DL206" s="19"/>
      <c r="DM206" s="19"/>
      <c r="DN206" s="19"/>
      <c r="DO206" s="19"/>
      <c r="DQ206" s="8"/>
      <c r="DR206" s="7"/>
      <c r="DS206" s="19"/>
      <c r="DT206" s="19"/>
      <c r="DU206" s="19"/>
      <c r="DV206" s="19"/>
      <c r="DX206" s="8"/>
      <c r="DY206" s="7"/>
      <c r="DZ206" s="19"/>
      <c r="EA206" s="19"/>
      <c r="EB206" s="19"/>
      <c r="EC206" s="19"/>
      <c r="EE206" s="8"/>
      <c r="EF206" s="7"/>
      <c r="EG206" s="19"/>
      <c r="EH206" s="19"/>
      <c r="EI206" s="19"/>
      <c r="EJ206" s="19"/>
      <c r="EL206" s="8"/>
      <c r="EM206" s="7"/>
      <c r="EN206" s="19"/>
      <c r="EO206" s="19"/>
      <c r="EP206" s="19"/>
      <c r="EQ206" s="19"/>
      <c r="ES206" s="8"/>
      <c r="ET206" s="7"/>
      <c r="EU206" s="19"/>
      <c r="EV206" s="19"/>
      <c r="EW206" s="19"/>
      <c r="EX206" s="19"/>
      <c r="EZ206" s="8"/>
      <c r="FA206" s="7"/>
      <c r="FB206" s="19"/>
      <c r="FC206" s="19"/>
      <c r="FD206" s="19"/>
      <c r="FE206" s="19"/>
      <c r="FG206" s="8"/>
      <c r="FH206" s="7"/>
      <c r="FI206" s="19"/>
      <c r="FJ206" s="19"/>
      <c r="FK206" s="19"/>
      <c r="FL206" s="19"/>
      <c r="FN206" s="8"/>
      <c r="FO206" s="7"/>
      <c r="FP206" s="19"/>
      <c r="FQ206" s="19"/>
      <c r="FR206" s="19"/>
      <c r="FS206" s="19"/>
      <c r="FU206" s="8"/>
      <c r="FV206" s="7"/>
      <c r="FW206" s="19"/>
      <c r="FX206" s="19"/>
      <c r="FY206" s="19"/>
      <c r="FZ206" s="19"/>
      <c r="GB206" s="8"/>
      <c r="GC206" s="7"/>
      <c r="GD206" s="19"/>
      <c r="GE206" s="19"/>
      <c r="GF206" s="19"/>
      <c r="GG206" s="19"/>
      <c r="GI206" s="8"/>
      <c r="GJ206" s="7"/>
      <c r="GK206" s="19"/>
      <c r="GL206" s="19"/>
      <c r="GM206" s="19"/>
      <c r="GN206" s="19"/>
      <c r="GP206" s="8"/>
      <c r="GQ206" s="7"/>
      <c r="GR206" s="19"/>
      <c r="GS206" s="19"/>
      <c r="GT206" s="19"/>
      <c r="GU206" s="19"/>
      <c r="GW206" s="8"/>
      <c r="GX206" s="7"/>
      <c r="GY206" s="19"/>
      <c r="GZ206" s="19"/>
      <c r="HA206" s="19"/>
      <c r="HB206" s="19"/>
      <c r="HD206" s="8"/>
      <c r="HE206" s="7"/>
      <c r="HF206" s="19"/>
      <c r="HG206" s="19"/>
      <c r="HH206" s="19"/>
      <c r="HI206" s="19"/>
      <c r="HK206" s="8"/>
      <c r="HL206" s="7"/>
      <c r="HM206" s="19"/>
      <c r="HN206" s="19"/>
      <c r="HO206" s="19"/>
      <c r="HP206" s="19"/>
      <c r="HR206" s="8"/>
      <c r="HS206" s="7"/>
      <c r="HT206" s="19"/>
      <c r="HU206" s="19"/>
      <c r="HV206" s="19"/>
      <c r="HW206" s="19"/>
      <c r="HY206" s="8"/>
      <c r="HZ206" s="7"/>
      <c r="IA206" s="19"/>
      <c r="IB206" s="19"/>
      <c r="IC206" s="19"/>
      <c r="ID206" s="19"/>
      <c r="IF206" s="8"/>
      <c r="IG206" s="7"/>
      <c r="IH206" s="19"/>
      <c r="II206" s="19"/>
      <c r="IJ206" s="19"/>
      <c r="IK206" s="19"/>
      <c r="IM206" s="8"/>
      <c r="IN206" s="7"/>
      <c r="IO206" s="19"/>
      <c r="IP206" s="19"/>
      <c r="IQ206" s="19"/>
      <c r="IR206" s="19"/>
      <c r="IT206" s="8"/>
      <c r="IU206" s="7"/>
      <c r="IV206" s="19"/>
      <c r="IW206" s="19"/>
      <c r="IX206" s="19"/>
      <c r="IY206" s="19"/>
      <c r="JA206" s="8"/>
      <c r="JB206" s="7"/>
      <c r="JC206" s="19"/>
      <c r="JD206" s="19"/>
      <c r="JE206" s="19"/>
      <c r="JF206" s="19"/>
      <c r="JH206" s="8"/>
      <c r="JI206" s="7"/>
      <c r="JJ206" s="19"/>
      <c r="JK206" s="19"/>
      <c r="JL206" s="19"/>
      <c r="JM206" s="19"/>
      <c r="JO206" s="8"/>
      <c r="JP206" s="7"/>
      <c r="JQ206" s="19"/>
      <c r="JR206" s="19"/>
      <c r="JS206" s="19"/>
      <c r="JT206" s="19"/>
      <c r="JV206" s="8"/>
      <c r="JW206" s="7"/>
      <c r="JX206" s="19"/>
      <c r="JY206" s="19"/>
      <c r="JZ206" s="19"/>
      <c r="KA206" s="19"/>
      <c r="KC206" s="8"/>
      <c r="KD206" s="7"/>
      <c r="KE206" s="19"/>
      <c r="KF206" s="19"/>
      <c r="KG206" s="19"/>
      <c r="KH206" s="19"/>
      <c r="KJ206" s="8"/>
      <c r="KK206" s="7"/>
      <c r="KL206" s="19"/>
      <c r="KM206" s="19"/>
      <c r="KN206" s="19"/>
      <c r="KO206" s="19"/>
      <c r="KQ206" s="8"/>
      <c r="KR206" s="7"/>
      <c r="KS206" s="19"/>
      <c r="KT206" s="19"/>
      <c r="KU206" s="19"/>
      <c r="KV206" s="19"/>
      <c r="KX206" s="8"/>
      <c r="KY206" s="7"/>
      <c r="KZ206" s="19"/>
      <c r="LA206" s="19"/>
      <c r="LB206" s="19"/>
      <c r="LC206" s="19"/>
      <c r="LE206" s="8"/>
      <c r="LF206" s="7"/>
      <c r="LG206" s="19"/>
      <c r="LH206" s="19"/>
      <c r="LI206" s="19"/>
      <c r="LJ206" s="19"/>
      <c r="LL206" s="8"/>
      <c r="LM206" s="7"/>
      <c r="LN206" s="19"/>
      <c r="LO206" s="19"/>
      <c r="LP206" s="19"/>
      <c r="LQ206" s="19"/>
      <c r="LS206" s="8"/>
      <c r="LT206" s="7"/>
      <c r="LU206" s="19"/>
      <c r="LV206" s="19"/>
      <c r="LW206" s="19"/>
      <c r="LX206" s="19"/>
      <c r="LZ206" s="8"/>
      <c r="MA206" s="7"/>
      <c r="MB206" s="19"/>
      <c r="MC206" s="19"/>
      <c r="MD206" s="19"/>
      <c r="ME206" s="19"/>
      <c r="MG206" s="8"/>
      <c r="MH206" s="7"/>
      <c r="MI206" s="19"/>
      <c r="MJ206" s="19"/>
      <c r="MK206" s="19"/>
      <c r="ML206" s="19"/>
      <c r="MN206" s="8"/>
      <c r="MO206" s="7"/>
      <c r="MP206" s="19"/>
      <c r="MQ206" s="19"/>
      <c r="MR206" s="19"/>
      <c r="MS206" s="19"/>
      <c r="MU206" s="8"/>
      <c r="MV206" s="7"/>
      <c r="MW206" s="19"/>
      <c r="MX206" s="19"/>
      <c r="MY206" s="19"/>
      <c r="MZ206" s="19"/>
      <c r="NB206" s="8"/>
      <c r="NC206" s="7"/>
      <c r="ND206" s="19"/>
      <c r="NE206" s="19"/>
      <c r="NF206" s="19"/>
      <c r="NG206" s="19"/>
      <c r="NI206" s="8"/>
      <c r="NJ206" s="7"/>
      <c r="NK206" s="19"/>
      <c r="NL206" s="19"/>
      <c r="NM206" s="19"/>
      <c r="NN206" s="19"/>
      <c r="NP206" s="8"/>
      <c r="NQ206" s="7"/>
      <c r="NR206" s="19"/>
      <c r="NS206" s="19"/>
      <c r="NT206" s="19"/>
      <c r="NU206" s="19"/>
      <c r="NW206" s="8"/>
      <c r="NX206" s="7"/>
      <c r="NY206" s="19"/>
      <c r="NZ206" s="19"/>
      <c r="OA206" s="19"/>
      <c r="OB206" s="19"/>
      <c r="OD206" s="8"/>
      <c r="OE206" s="7"/>
      <c r="OF206" s="19"/>
      <c r="OG206" s="19"/>
      <c r="OH206" s="19"/>
      <c r="OI206" s="19"/>
      <c r="OK206" s="8"/>
      <c r="OL206" s="7"/>
      <c r="OM206" s="19"/>
      <c r="ON206" s="19"/>
      <c r="OO206" s="19"/>
      <c r="OP206" s="19"/>
      <c r="OR206" s="8"/>
      <c r="OS206" s="7"/>
      <c r="OT206" s="19"/>
      <c r="OU206" s="19"/>
      <c r="OV206" s="19"/>
      <c r="OW206" s="19"/>
      <c r="OY206" s="8"/>
      <c r="OZ206" s="7"/>
      <c r="PA206" s="19"/>
      <c r="PB206" s="19"/>
      <c r="PC206" s="19"/>
      <c r="PD206" s="19"/>
      <c r="PF206" s="8"/>
      <c r="PG206" s="7"/>
      <c r="PH206" s="19"/>
      <c r="PI206" s="19"/>
      <c r="PJ206" s="19"/>
      <c r="PK206" s="19"/>
      <c r="PM206" s="8"/>
    </row>
    <row r="207" spans="1:429" s="475" customFormat="1" ht="19" customHeight="1">
      <c r="A207" s="6" t="s">
        <v>410</v>
      </c>
      <c r="B207" s="472"/>
      <c r="C207" s="10"/>
      <c r="D207" s="20"/>
      <c r="E207" s="20"/>
      <c r="F207" s="20"/>
      <c r="G207" s="20"/>
      <c r="H207" s="10"/>
      <c r="I207" s="10"/>
      <c r="J207" s="10"/>
      <c r="K207" s="20"/>
      <c r="L207" s="20"/>
      <c r="M207" s="20"/>
      <c r="N207" s="20"/>
      <c r="O207" s="10"/>
      <c r="P207" s="10"/>
      <c r="Q207" s="10"/>
      <c r="R207" s="20"/>
      <c r="S207" s="20"/>
      <c r="T207" s="20"/>
      <c r="U207" s="20"/>
      <c r="V207" s="10"/>
      <c r="W207" s="10"/>
      <c r="X207" s="10"/>
      <c r="Y207" s="20"/>
      <c r="Z207" s="20"/>
      <c r="AA207" s="20"/>
      <c r="AB207" s="20"/>
      <c r="AC207" s="10"/>
      <c r="AD207" s="10"/>
      <c r="AE207" s="10"/>
      <c r="AF207" s="20"/>
      <c r="AG207" s="20"/>
      <c r="AH207" s="20"/>
      <c r="AI207" s="20"/>
      <c r="AJ207" s="10"/>
      <c r="AK207" s="10"/>
      <c r="AL207" s="10"/>
      <c r="AM207" s="20"/>
      <c r="AN207" s="20"/>
      <c r="AO207" s="20"/>
      <c r="AP207" s="20"/>
      <c r="AQ207" s="10"/>
      <c r="AR207" s="10"/>
      <c r="AS207" s="10"/>
      <c r="AT207" s="20"/>
      <c r="AU207" s="20"/>
      <c r="AV207" s="20"/>
      <c r="AW207" s="20"/>
      <c r="AX207" s="10"/>
      <c r="AY207" s="10"/>
      <c r="AZ207" s="10"/>
      <c r="BA207" s="20"/>
      <c r="BB207" s="20"/>
      <c r="BC207" s="20"/>
      <c r="BD207" s="20"/>
      <c r="BE207" s="10"/>
      <c r="BF207" s="10"/>
      <c r="BG207" s="10"/>
      <c r="BH207" s="20"/>
      <c r="BI207" s="20"/>
      <c r="BJ207" s="20"/>
      <c r="BK207" s="20"/>
      <c r="BL207" s="10"/>
      <c r="BM207" s="10"/>
      <c r="BN207" s="10"/>
      <c r="BO207" s="20"/>
      <c r="BP207" s="20"/>
      <c r="BQ207" s="20"/>
      <c r="BR207" s="20"/>
      <c r="BS207" s="10"/>
      <c r="BT207" s="10"/>
      <c r="BU207" s="10"/>
      <c r="BV207" s="20"/>
      <c r="BW207" s="20"/>
      <c r="BX207" s="20"/>
      <c r="BY207" s="20"/>
      <c r="BZ207" s="10"/>
      <c r="CA207" s="10"/>
      <c r="CB207" s="10"/>
      <c r="CC207" s="20"/>
      <c r="CD207" s="20"/>
      <c r="CE207" s="20"/>
      <c r="CF207" s="20"/>
      <c r="CG207" s="10"/>
      <c r="CH207" s="10"/>
      <c r="CI207" s="10"/>
      <c r="CJ207" s="20"/>
      <c r="CK207" s="20"/>
      <c r="CL207" s="20"/>
      <c r="CM207" s="20"/>
      <c r="CN207" s="10"/>
      <c r="CO207" s="10"/>
      <c r="CP207" s="10"/>
      <c r="CQ207" s="20"/>
      <c r="CR207" s="20"/>
      <c r="CS207" s="20"/>
      <c r="CT207" s="20"/>
      <c r="CU207" s="10"/>
      <c r="CV207" s="10"/>
      <c r="CW207" s="10"/>
      <c r="CX207" s="20"/>
      <c r="CY207" s="20"/>
      <c r="CZ207" s="20"/>
      <c r="DA207" s="20"/>
      <c r="DB207" s="10"/>
      <c r="DC207" s="10"/>
      <c r="DD207" s="10"/>
      <c r="DE207" s="20"/>
      <c r="DF207" s="20"/>
      <c r="DG207" s="20"/>
      <c r="DH207" s="20"/>
      <c r="DI207" s="10"/>
      <c r="DJ207" s="10"/>
      <c r="DK207" s="10"/>
      <c r="DL207" s="20"/>
      <c r="DM207" s="20"/>
      <c r="DN207" s="20"/>
      <c r="DO207" s="20"/>
      <c r="DP207" s="10"/>
      <c r="DQ207" s="10"/>
      <c r="DR207" s="10"/>
      <c r="DS207" s="20"/>
      <c r="DT207" s="20"/>
      <c r="DU207" s="20"/>
      <c r="DV207" s="20"/>
      <c r="DW207" s="10"/>
      <c r="DX207" s="10"/>
      <c r="DY207" s="10"/>
      <c r="DZ207" s="20"/>
      <c r="EA207" s="20"/>
      <c r="EB207" s="20"/>
      <c r="EC207" s="20"/>
      <c r="ED207" s="10"/>
      <c r="EE207" s="10"/>
      <c r="EF207" s="10"/>
      <c r="EG207" s="20"/>
      <c r="EH207" s="20"/>
      <c r="EI207" s="20"/>
      <c r="EJ207" s="20"/>
      <c r="EK207" s="10"/>
      <c r="EL207" s="10"/>
      <c r="EM207" s="10"/>
      <c r="EN207" s="20"/>
      <c r="EO207" s="20"/>
      <c r="EP207" s="20"/>
      <c r="EQ207" s="20"/>
      <c r="ER207" s="10"/>
      <c r="ES207" s="10"/>
      <c r="ET207" s="10"/>
      <c r="EU207" s="20"/>
      <c r="EV207" s="20"/>
      <c r="EW207" s="20"/>
      <c r="EX207" s="20"/>
      <c r="EY207" s="10"/>
      <c r="EZ207" s="10"/>
      <c r="FA207" s="10"/>
      <c r="FB207" s="20"/>
      <c r="FC207" s="20"/>
      <c r="FD207" s="20"/>
      <c r="FE207" s="20"/>
      <c r="FF207" s="10"/>
      <c r="FG207" s="10"/>
      <c r="FH207" s="10"/>
      <c r="FI207" s="20"/>
      <c r="FJ207" s="20"/>
      <c r="FK207" s="20"/>
      <c r="FL207" s="20"/>
      <c r="FM207" s="10"/>
      <c r="FN207" s="10"/>
      <c r="FO207" s="10"/>
      <c r="FP207" s="20"/>
      <c r="FQ207" s="20"/>
      <c r="FR207" s="20"/>
      <c r="FS207" s="20"/>
      <c r="FT207" s="10"/>
      <c r="FU207" s="10"/>
      <c r="FV207" s="10"/>
      <c r="FW207" s="20"/>
      <c r="FX207" s="20"/>
      <c r="FY207" s="20"/>
      <c r="FZ207" s="20"/>
      <c r="GA207" s="10"/>
      <c r="GB207" s="10"/>
      <c r="GC207" s="10"/>
      <c r="GD207" s="20"/>
      <c r="GE207" s="20"/>
      <c r="GF207" s="20"/>
      <c r="GG207" s="20"/>
      <c r="GH207" s="10"/>
      <c r="GI207" s="10"/>
      <c r="GJ207" s="10"/>
      <c r="GK207" s="20"/>
      <c r="GL207" s="20"/>
      <c r="GM207" s="20"/>
      <c r="GN207" s="20"/>
      <c r="GO207" s="10"/>
      <c r="GP207" s="10"/>
      <c r="GQ207" s="10"/>
      <c r="GR207" s="20"/>
      <c r="GS207" s="20"/>
      <c r="GT207" s="20"/>
      <c r="GU207" s="20"/>
      <c r="GV207" s="10"/>
      <c r="GW207" s="10"/>
      <c r="GX207" s="10"/>
      <c r="GY207" s="20"/>
      <c r="GZ207" s="20"/>
      <c r="HA207" s="20"/>
      <c r="HB207" s="20"/>
      <c r="HC207" s="10"/>
      <c r="HD207" s="10"/>
      <c r="HE207" s="10"/>
      <c r="HF207" s="20"/>
      <c r="HG207" s="20"/>
      <c r="HH207" s="20"/>
      <c r="HI207" s="20"/>
      <c r="HJ207" s="10"/>
      <c r="HK207" s="10"/>
      <c r="HL207" s="10"/>
      <c r="HM207" s="20"/>
      <c r="HN207" s="20"/>
      <c r="HO207" s="20"/>
      <c r="HP207" s="20"/>
      <c r="HQ207" s="10"/>
      <c r="HR207" s="10"/>
      <c r="HS207" s="10"/>
      <c r="HT207" s="20"/>
      <c r="HU207" s="20"/>
      <c r="HV207" s="20"/>
      <c r="HW207" s="20"/>
      <c r="HX207" s="10"/>
      <c r="HY207" s="10"/>
      <c r="HZ207" s="10"/>
      <c r="IA207" s="20"/>
      <c r="IB207" s="20"/>
      <c r="IC207" s="20"/>
      <c r="ID207" s="20"/>
      <c r="IE207" s="10"/>
      <c r="IF207" s="10"/>
      <c r="IG207" s="10"/>
      <c r="IH207" s="20"/>
      <c r="II207" s="20"/>
      <c r="IJ207" s="20"/>
      <c r="IK207" s="20"/>
      <c r="IL207" s="10"/>
      <c r="IM207" s="10"/>
      <c r="IN207" s="10"/>
      <c r="IO207" s="20"/>
      <c r="IP207" s="20"/>
      <c r="IQ207" s="20"/>
      <c r="IR207" s="20"/>
      <c r="IS207" s="10"/>
      <c r="IT207" s="10"/>
      <c r="IU207" s="10"/>
      <c r="IV207" s="20"/>
      <c r="IW207" s="20"/>
      <c r="IX207" s="20"/>
      <c r="IY207" s="20"/>
      <c r="IZ207" s="10"/>
      <c r="JA207" s="10"/>
      <c r="JB207" s="10"/>
      <c r="JC207" s="20"/>
      <c r="JD207" s="20"/>
      <c r="JE207" s="20"/>
      <c r="JF207" s="20"/>
      <c r="JG207" s="10"/>
      <c r="JH207" s="10"/>
      <c r="JI207" s="10"/>
      <c r="JJ207" s="20"/>
      <c r="JK207" s="20"/>
      <c r="JL207" s="20"/>
      <c r="JM207" s="20"/>
      <c r="JN207" s="10"/>
      <c r="JO207" s="10"/>
      <c r="JP207" s="10"/>
      <c r="JQ207" s="20"/>
      <c r="JR207" s="20"/>
      <c r="JS207" s="20"/>
      <c r="JT207" s="20"/>
      <c r="JU207" s="10"/>
      <c r="JV207" s="10"/>
      <c r="JW207" s="10"/>
      <c r="JX207" s="20"/>
      <c r="JY207" s="20"/>
      <c r="JZ207" s="20"/>
      <c r="KA207" s="20"/>
      <c r="KB207" s="10"/>
      <c r="KC207" s="10"/>
      <c r="KD207" s="10"/>
      <c r="KE207" s="20"/>
      <c r="KF207" s="20"/>
      <c r="KG207" s="20"/>
      <c r="KH207" s="20"/>
      <c r="KI207" s="10"/>
      <c r="KJ207" s="10"/>
      <c r="KK207" s="10"/>
      <c r="KL207" s="20"/>
      <c r="KM207" s="20"/>
      <c r="KN207" s="20"/>
      <c r="KO207" s="20"/>
      <c r="KP207" s="10"/>
      <c r="KQ207" s="10"/>
      <c r="KR207" s="10"/>
      <c r="KS207" s="20"/>
      <c r="KT207" s="20"/>
      <c r="KU207" s="20"/>
      <c r="KV207" s="20"/>
      <c r="KW207" s="10"/>
      <c r="KX207" s="10"/>
      <c r="KY207" s="10"/>
      <c r="KZ207" s="20"/>
      <c r="LA207" s="20"/>
      <c r="LB207" s="20"/>
      <c r="LC207" s="20"/>
      <c r="LD207" s="10"/>
      <c r="LE207" s="10"/>
      <c r="LF207" s="10"/>
      <c r="LG207" s="20"/>
      <c r="LH207" s="20"/>
      <c r="LI207" s="20"/>
      <c r="LJ207" s="20"/>
      <c r="LK207" s="10"/>
      <c r="LL207" s="10"/>
      <c r="LM207" s="10"/>
      <c r="LN207" s="20"/>
      <c r="LO207" s="20"/>
      <c r="LP207" s="20"/>
      <c r="LQ207" s="20"/>
      <c r="LR207" s="10"/>
      <c r="LS207" s="10"/>
      <c r="LT207" s="10"/>
      <c r="LU207" s="20"/>
      <c r="LV207" s="20"/>
      <c r="LW207" s="20"/>
      <c r="LX207" s="20"/>
      <c r="LY207" s="10"/>
      <c r="LZ207" s="10"/>
      <c r="MA207" s="10"/>
      <c r="MB207" s="20"/>
      <c r="MC207" s="20"/>
      <c r="MD207" s="20"/>
      <c r="ME207" s="20"/>
      <c r="MF207" s="10"/>
      <c r="MG207" s="10"/>
      <c r="MH207" s="10"/>
      <c r="MI207" s="20"/>
      <c r="MJ207" s="20"/>
      <c r="MK207" s="20"/>
      <c r="ML207" s="20"/>
      <c r="MM207" s="10"/>
      <c r="MN207" s="10"/>
      <c r="MO207" s="10"/>
      <c r="MP207" s="20"/>
      <c r="MQ207" s="20"/>
      <c r="MR207" s="20"/>
      <c r="MS207" s="20"/>
      <c r="MT207" s="10"/>
      <c r="MU207" s="10"/>
      <c r="MV207" s="10"/>
      <c r="MW207" s="20"/>
      <c r="MX207" s="20"/>
      <c r="MY207" s="20"/>
      <c r="MZ207" s="20"/>
      <c r="NA207" s="10"/>
      <c r="NB207" s="10"/>
      <c r="NC207" s="10"/>
      <c r="ND207" s="20"/>
      <c r="NE207" s="20"/>
      <c r="NF207" s="20"/>
      <c r="NG207" s="20"/>
      <c r="NH207" s="10"/>
      <c r="NI207" s="10"/>
      <c r="NJ207" s="10"/>
      <c r="NK207" s="20"/>
      <c r="NL207" s="20"/>
      <c r="NM207" s="20"/>
      <c r="NN207" s="20"/>
      <c r="NO207" s="10"/>
      <c r="NP207" s="10"/>
      <c r="NQ207" s="10"/>
      <c r="NR207" s="20"/>
      <c r="NS207" s="20"/>
      <c r="NT207" s="20"/>
      <c r="NU207" s="20"/>
      <c r="NV207" s="10"/>
      <c r="NW207" s="10"/>
      <c r="NX207" s="10"/>
      <c r="NY207" s="20"/>
      <c r="NZ207" s="20"/>
      <c r="OA207" s="20"/>
      <c r="OB207" s="20"/>
      <c r="OC207" s="10"/>
      <c r="OD207" s="10"/>
      <c r="OE207" s="10"/>
      <c r="OF207" s="20"/>
      <c r="OG207" s="20"/>
      <c r="OH207" s="20"/>
      <c r="OI207" s="20"/>
      <c r="OJ207" s="10"/>
      <c r="OK207" s="10"/>
      <c r="OL207" s="10"/>
      <c r="OM207" s="20"/>
      <c r="ON207" s="20"/>
      <c r="OO207" s="20"/>
      <c r="OP207" s="20"/>
      <c r="OQ207" s="10"/>
      <c r="OR207" s="10"/>
      <c r="OS207" s="10"/>
      <c r="OT207" s="20"/>
      <c r="OU207" s="20"/>
      <c r="OV207" s="20"/>
      <c r="OW207" s="20"/>
      <c r="OX207" s="10"/>
      <c r="OY207" s="10"/>
      <c r="OZ207" s="10"/>
      <c r="PA207" s="20"/>
      <c r="PB207" s="20"/>
      <c r="PC207" s="20"/>
      <c r="PD207" s="20"/>
      <c r="PE207" s="10"/>
      <c r="PF207" s="10"/>
      <c r="PG207" s="10"/>
      <c r="PH207" s="20"/>
      <c r="PI207" s="20"/>
      <c r="PJ207" s="20"/>
      <c r="PK207" s="20"/>
      <c r="PL207" s="10"/>
      <c r="PM207" s="10"/>
    </row>
    <row r="208" spans="1:429" s="1" customFormat="1" ht="24" outlineLevel="1">
      <c r="B208" s="471"/>
      <c r="C208" s="7"/>
      <c r="D208" s="19"/>
      <c r="E208" s="19"/>
      <c r="F208" s="19"/>
      <c r="G208" s="19"/>
      <c r="I208" s="8"/>
      <c r="J208" s="7"/>
      <c r="K208" s="19"/>
      <c r="L208" s="19"/>
      <c r="M208" s="19"/>
      <c r="N208" s="19"/>
      <c r="P208" s="8"/>
      <c r="Q208" s="7"/>
      <c r="R208" s="19"/>
      <c r="S208" s="19"/>
      <c r="T208" s="19"/>
      <c r="U208" s="19"/>
      <c r="W208" s="8"/>
      <c r="X208" s="7"/>
      <c r="Y208" s="19"/>
      <c r="Z208" s="19"/>
      <c r="AA208" s="19"/>
      <c r="AB208" s="19"/>
      <c r="AD208" s="8"/>
      <c r="AE208" s="7"/>
      <c r="AF208" s="19"/>
      <c r="AG208" s="19"/>
      <c r="AH208" s="19"/>
      <c r="AI208" s="19"/>
      <c r="AK208" s="8"/>
      <c r="AL208" s="7"/>
      <c r="AM208" s="19"/>
      <c r="AN208" s="19"/>
      <c r="AO208" s="19"/>
      <c r="AP208" s="19"/>
      <c r="AR208" s="8"/>
      <c r="AS208" s="7"/>
      <c r="AT208" s="19"/>
      <c r="AU208" s="19"/>
      <c r="AV208" s="19"/>
      <c r="AW208" s="19"/>
      <c r="AY208" s="8"/>
      <c r="AZ208" s="7"/>
      <c r="BA208" s="19"/>
      <c r="BB208" s="19"/>
      <c r="BC208" s="19"/>
      <c r="BD208" s="19"/>
      <c r="BF208" s="8"/>
      <c r="BG208" s="7"/>
      <c r="BH208" s="19"/>
      <c r="BI208" s="19"/>
      <c r="BJ208" s="19"/>
      <c r="BK208" s="19"/>
      <c r="BM208" s="8"/>
      <c r="BN208" s="7"/>
      <c r="BO208" s="19"/>
      <c r="BP208" s="19"/>
      <c r="BQ208" s="19"/>
      <c r="BR208" s="19"/>
      <c r="BT208" s="8"/>
      <c r="BU208" s="7"/>
      <c r="BV208" s="19"/>
      <c r="BW208" s="19"/>
      <c r="BX208" s="19"/>
      <c r="BY208" s="19"/>
      <c r="CA208" s="8"/>
      <c r="CB208" s="7"/>
      <c r="CC208" s="19"/>
      <c r="CD208" s="19"/>
      <c r="CE208" s="19"/>
      <c r="CF208" s="19"/>
      <c r="CH208" s="8"/>
      <c r="CI208" s="7"/>
      <c r="CJ208" s="19"/>
      <c r="CK208" s="19"/>
      <c r="CL208" s="19"/>
      <c r="CM208" s="19"/>
      <c r="CO208" s="8"/>
      <c r="CP208" s="7"/>
      <c r="CQ208" s="19"/>
      <c r="CR208" s="19"/>
      <c r="CS208" s="19"/>
      <c r="CT208" s="19"/>
      <c r="CV208" s="8"/>
      <c r="CW208" s="7"/>
      <c r="CX208" s="19"/>
      <c r="CY208" s="19"/>
      <c r="CZ208" s="19"/>
      <c r="DA208" s="19"/>
      <c r="DC208" s="8"/>
      <c r="DD208" s="7"/>
      <c r="DE208" s="19"/>
      <c r="DF208" s="19"/>
      <c r="DG208" s="19"/>
      <c r="DH208" s="19"/>
      <c r="DJ208" s="8"/>
      <c r="DK208" s="7"/>
      <c r="DL208" s="19"/>
      <c r="DM208" s="19"/>
      <c r="DN208" s="19"/>
      <c r="DO208" s="19"/>
      <c r="DQ208" s="8"/>
      <c r="DR208" s="7"/>
      <c r="DS208" s="19"/>
      <c r="DT208" s="19"/>
      <c r="DU208" s="19"/>
      <c r="DV208" s="19"/>
      <c r="DX208" s="8"/>
      <c r="DY208" s="7"/>
      <c r="DZ208" s="19"/>
      <c r="EA208" s="19"/>
      <c r="EB208" s="19"/>
      <c r="EC208" s="19"/>
      <c r="EE208" s="8"/>
      <c r="EF208" s="7"/>
      <c r="EG208" s="19"/>
      <c r="EH208" s="19"/>
      <c r="EI208" s="19"/>
      <c r="EJ208" s="19"/>
      <c r="EL208" s="8"/>
      <c r="EM208" s="7"/>
      <c r="EN208" s="19"/>
      <c r="EO208" s="19"/>
      <c r="EP208" s="19"/>
      <c r="EQ208" s="19"/>
      <c r="ES208" s="8"/>
      <c r="ET208" s="7"/>
      <c r="EU208" s="19"/>
      <c r="EV208" s="19"/>
      <c r="EW208" s="19"/>
      <c r="EX208" s="19"/>
      <c r="EZ208" s="8"/>
      <c r="FA208" s="7"/>
      <c r="FB208" s="19"/>
      <c r="FC208" s="19"/>
      <c r="FD208" s="19"/>
      <c r="FE208" s="19"/>
      <c r="FG208" s="8"/>
      <c r="FH208" s="7"/>
      <c r="FI208" s="19"/>
      <c r="FJ208" s="19"/>
      <c r="FK208" s="19"/>
      <c r="FL208" s="19"/>
      <c r="FN208" s="8"/>
      <c r="FO208" s="7"/>
      <c r="FP208" s="19"/>
      <c r="FQ208" s="19"/>
      <c r="FR208" s="19"/>
      <c r="FS208" s="19"/>
      <c r="FU208" s="8"/>
      <c r="FV208" s="7"/>
      <c r="FW208" s="19"/>
      <c r="FX208" s="19"/>
      <c r="FY208" s="19"/>
      <c r="FZ208" s="19"/>
      <c r="GB208" s="8"/>
      <c r="GC208" s="7"/>
      <c r="GD208" s="19"/>
      <c r="GE208" s="19"/>
      <c r="GF208" s="19"/>
      <c r="GG208" s="19"/>
      <c r="GI208" s="8"/>
      <c r="GJ208" s="7"/>
      <c r="GK208" s="19"/>
      <c r="GL208" s="19"/>
      <c r="GM208" s="19"/>
      <c r="GN208" s="19"/>
      <c r="GP208" s="8"/>
      <c r="GQ208" s="7"/>
      <c r="GR208" s="19"/>
      <c r="GS208" s="19"/>
      <c r="GT208" s="19"/>
      <c r="GU208" s="19"/>
      <c r="GW208" s="8"/>
      <c r="GX208" s="7"/>
      <c r="GY208" s="19"/>
      <c r="GZ208" s="19"/>
      <c r="HA208" s="19"/>
      <c r="HB208" s="19"/>
      <c r="HD208" s="8"/>
      <c r="HE208" s="7"/>
      <c r="HF208" s="19"/>
      <c r="HG208" s="19"/>
      <c r="HH208" s="19"/>
      <c r="HI208" s="19"/>
      <c r="HK208" s="8"/>
      <c r="HL208" s="7"/>
      <c r="HM208" s="19"/>
      <c r="HN208" s="19"/>
      <c r="HO208" s="19"/>
      <c r="HP208" s="19"/>
      <c r="HR208" s="8"/>
      <c r="HS208" s="7"/>
      <c r="HT208" s="19"/>
      <c r="HU208" s="19"/>
      <c r="HV208" s="19"/>
      <c r="HW208" s="19"/>
      <c r="HY208" s="8"/>
      <c r="HZ208" s="7"/>
      <c r="IA208" s="19"/>
      <c r="IB208" s="19"/>
      <c r="IC208" s="19"/>
      <c r="ID208" s="19"/>
      <c r="IF208" s="8"/>
      <c r="IG208" s="7"/>
      <c r="IH208" s="19"/>
      <c r="II208" s="19"/>
      <c r="IJ208" s="19"/>
      <c r="IK208" s="19"/>
      <c r="IM208" s="8"/>
      <c r="IN208" s="7"/>
      <c r="IO208" s="19"/>
      <c r="IP208" s="19"/>
      <c r="IQ208" s="19"/>
      <c r="IR208" s="19"/>
      <c r="IT208" s="8"/>
      <c r="IU208" s="7"/>
      <c r="IV208" s="19"/>
      <c r="IW208" s="19"/>
      <c r="IX208" s="19"/>
      <c r="IY208" s="19"/>
      <c r="JA208" s="8"/>
      <c r="JB208" s="7"/>
      <c r="JC208" s="19"/>
      <c r="JD208" s="19"/>
      <c r="JE208" s="19"/>
      <c r="JF208" s="19"/>
      <c r="JH208" s="8"/>
      <c r="JI208" s="7"/>
      <c r="JJ208" s="19"/>
      <c r="JK208" s="19"/>
      <c r="JL208" s="19"/>
      <c r="JM208" s="19"/>
      <c r="JO208" s="8"/>
      <c r="JP208" s="7"/>
      <c r="JQ208" s="19"/>
      <c r="JR208" s="19"/>
      <c r="JS208" s="19"/>
      <c r="JT208" s="19"/>
      <c r="JV208" s="8"/>
      <c r="JW208" s="7"/>
      <c r="JX208" s="19"/>
      <c r="JY208" s="19"/>
      <c r="JZ208" s="19"/>
      <c r="KA208" s="19"/>
      <c r="KC208" s="8"/>
      <c r="KD208" s="7"/>
      <c r="KE208" s="19"/>
      <c r="KF208" s="19"/>
      <c r="KG208" s="19"/>
      <c r="KH208" s="19"/>
      <c r="KJ208" s="8"/>
      <c r="KK208" s="7"/>
      <c r="KL208" s="19"/>
      <c r="KM208" s="19"/>
      <c r="KN208" s="19"/>
      <c r="KO208" s="19"/>
      <c r="KQ208" s="8"/>
      <c r="KR208" s="7"/>
      <c r="KS208" s="19"/>
      <c r="KT208" s="19"/>
      <c r="KU208" s="19"/>
      <c r="KV208" s="19"/>
      <c r="KX208" s="8"/>
      <c r="KY208" s="7"/>
      <c r="KZ208" s="19"/>
      <c r="LA208" s="19"/>
      <c r="LB208" s="19"/>
      <c r="LC208" s="19"/>
      <c r="LE208" s="8"/>
      <c r="LF208" s="7"/>
      <c r="LG208" s="19"/>
      <c r="LH208" s="19"/>
      <c r="LI208" s="19"/>
      <c r="LJ208" s="19"/>
      <c r="LL208" s="8"/>
      <c r="LM208" s="7"/>
      <c r="LN208" s="19"/>
      <c r="LO208" s="19"/>
      <c r="LP208" s="19"/>
      <c r="LQ208" s="19"/>
      <c r="LS208" s="8"/>
      <c r="LT208" s="7"/>
      <c r="LU208" s="19"/>
      <c r="LV208" s="19"/>
      <c r="LW208" s="19"/>
      <c r="LX208" s="19"/>
      <c r="LZ208" s="8"/>
      <c r="MA208" s="7"/>
      <c r="MB208" s="19"/>
      <c r="MC208" s="19"/>
      <c r="MD208" s="19"/>
      <c r="ME208" s="19"/>
      <c r="MG208" s="8"/>
      <c r="MH208" s="7"/>
      <c r="MI208" s="19"/>
      <c r="MJ208" s="19"/>
      <c r="MK208" s="19"/>
      <c r="ML208" s="19"/>
      <c r="MN208" s="8"/>
      <c r="MO208" s="7"/>
      <c r="MP208" s="19"/>
      <c r="MQ208" s="19"/>
      <c r="MR208" s="19"/>
      <c r="MS208" s="19"/>
      <c r="MU208" s="8"/>
      <c r="MV208" s="7"/>
      <c r="MW208" s="19"/>
      <c r="MX208" s="19"/>
      <c r="MY208" s="19"/>
      <c r="MZ208" s="19"/>
      <c r="NB208" s="8"/>
      <c r="NC208" s="7"/>
      <c r="ND208" s="19"/>
      <c r="NE208" s="19"/>
      <c r="NF208" s="19"/>
      <c r="NG208" s="19"/>
      <c r="NI208" s="8"/>
      <c r="NJ208" s="7"/>
      <c r="NK208" s="19"/>
      <c r="NL208" s="19"/>
      <c r="NM208" s="19"/>
      <c r="NN208" s="19"/>
      <c r="NP208" s="8"/>
      <c r="NQ208" s="7"/>
      <c r="NR208" s="19"/>
      <c r="NS208" s="19"/>
      <c r="NT208" s="19"/>
      <c r="NU208" s="19"/>
      <c r="NW208" s="8"/>
      <c r="NX208" s="7"/>
      <c r="NY208" s="19"/>
      <c r="NZ208" s="19"/>
      <c r="OA208" s="19"/>
      <c r="OB208" s="19"/>
      <c r="OD208" s="8"/>
      <c r="OE208" s="7"/>
      <c r="OF208" s="19"/>
      <c r="OG208" s="19"/>
      <c r="OH208" s="19"/>
      <c r="OI208" s="19"/>
      <c r="OK208" s="8"/>
      <c r="OL208" s="7"/>
      <c r="OM208" s="19"/>
      <c r="ON208" s="19"/>
      <c r="OO208" s="19"/>
      <c r="OP208" s="19"/>
      <c r="OR208" s="8"/>
      <c r="OS208" s="7"/>
      <c r="OT208" s="19"/>
      <c r="OU208" s="19"/>
      <c r="OV208" s="19"/>
      <c r="OW208" s="19"/>
      <c r="OY208" s="8"/>
      <c r="OZ208" s="7"/>
      <c r="PA208" s="19"/>
      <c r="PB208" s="19"/>
      <c r="PC208" s="19"/>
      <c r="PD208" s="19"/>
      <c r="PF208" s="8"/>
      <c r="PG208" s="7"/>
      <c r="PH208" s="19"/>
      <c r="PI208" s="19"/>
      <c r="PJ208" s="19"/>
      <c r="PK208" s="19"/>
      <c r="PM208" s="8"/>
    </row>
    <row r="209" spans="1:429" s="1" customFormat="1" ht="24" outlineLevel="1">
      <c r="B209" s="471"/>
      <c r="C209" s="7"/>
      <c r="D209" s="19"/>
      <c r="E209" s="19"/>
      <c r="F209" s="19"/>
      <c r="G209" s="19"/>
      <c r="I209" s="8"/>
      <c r="J209" s="7"/>
      <c r="K209" s="19"/>
      <c r="L209" s="19"/>
      <c r="M209" s="19"/>
      <c r="N209" s="19"/>
      <c r="P209" s="8"/>
      <c r="Q209" s="7"/>
      <c r="R209" s="19"/>
      <c r="S209" s="19"/>
      <c r="T209" s="19"/>
      <c r="U209" s="19"/>
      <c r="W209" s="8"/>
      <c r="X209" s="7"/>
      <c r="Y209" s="19"/>
      <c r="Z209" s="19"/>
      <c r="AA209" s="19"/>
      <c r="AB209" s="19"/>
      <c r="AD209" s="8"/>
      <c r="AE209" s="7"/>
      <c r="AF209" s="19"/>
      <c r="AG209" s="19"/>
      <c r="AH209" s="19"/>
      <c r="AI209" s="19"/>
      <c r="AK209" s="8"/>
      <c r="AL209" s="7"/>
      <c r="AM209" s="19"/>
      <c r="AN209" s="19"/>
      <c r="AO209" s="19"/>
      <c r="AP209" s="19"/>
      <c r="AR209" s="8"/>
      <c r="AS209" s="7"/>
      <c r="AT209" s="19"/>
      <c r="AU209" s="19"/>
      <c r="AV209" s="19"/>
      <c r="AW209" s="19"/>
      <c r="AY209" s="8"/>
      <c r="AZ209" s="7"/>
      <c r="BA209" s="19"/>
      <c r="BB209" s="19"/>
      <c r="BC209" s="19"/>
      <c r="BD209" s="19"/>
      <c r="BF209" s="8"/>
      <c r="BG209" s="7"/>
      <c r="BH209" s="19"/>
      <c r="BI209" s="19"/>
      <c r="BJ209" s="19"/>
      <c r="BK209" s="19"/>
      <c r="BM209" s="8"/>
      <c r="BN209" s="7"/>
      <c r="BO209" s="19"/>
      <c r="BP209" s="19"/>
      <c r="BQ209" s="19"/>
      <c r="BR209" s="19"/>
      <c r="BT209" s="8"/>
      <c r="BU209" s="7"/>
      <c r="BV209" s="19"/>
      <c r="BW209" s="19"/>
      <c r="BX209" s="19"/>
      <c r="BY209" s="19"/>
      <c r="CA209" s="8"/>
      <c r="CB209" s="7"/>
      <c r="CC209" s="19"/>
      <c r="CD209" s="19"/>
      <c r="CE209" s="19"/>
      <c r="CF209" s="19"/>
      <c r="CH209" s="8"/>
      <c r="CI209" s="7"/>
      <c r="CJ209" s="19"/>
      <c r="CK209" s="19"/>
      <c r="CL209" s="19"/>
      <c r="CM209" s="19"/>
      <c r="CO209" s="8"/>
      <c r="CP209" s="7"/>
      <c r="CQ209" s="19"/>
      <c r="CR209" s="19"/>
      <c r="CS209" s="19"/>
      <c r="CT209" s="19"/>
      <c r="CV209" s="8"/>
      <c r="CW209" s="7"/>
      <c r="CX209" s="19"/>
      <c r="CY209" s="19"/>
      <c r="CZ209" s="19"/>
      <c r="DA209" s="19"/>
      <c r="DC209" s="8"/>
      <c r="DD209" s="7"/>
      <c r="DE209" s="19"/>
      <c r="DF209" s="19"/>
      <c r="DG209" s="19"/>
      <c r="DH209" s="19"/>
      <c r="DJ209" s="8"/>
      <c r="DK209" s="7"/>
      <c r="DL209" s="19"/>
      <c r="DM209" s="19"/>
      <c r="DN209" s="19"/>
      <c r="DO209" s="19"/>
      <c r="DQ209" s="8"/>
      <c r="DR209" s="7"/>
      <c r="DS209" s="19"/>
      <c r="DT209" s="19"/>
      <c r="DU209" s="19"/>
      <c r="DV209" s="19"/>
      <c r="DX209" s="8"/>
      <c r="DY209" s="7"/>
      <c r="DZ209" s="19"/>
      <c r="EA209" s="19"/>
      <c r="EB209" s="19"/>
      <c r="EC209" s="19"/>
      <c r="EE209" s="8"/>
      <c r="EF209" s="7"/>
      <c r="EG209" s="19"/>
      <c r="EH209" s="19"/>
      <c r="EI209" s="19"/>
      <c r="EJ209" s="19"/>
      <c r="EL209" s="8"/>
      <c r="EM209" s="7"/>
      <c r="EN209" s="19"/>
      <c r="EO209" s="19"/>
      <c r="EP209" s="19"/>
      <c r="EQ209" s="19"/>
      <c r="ES209" s="8"/>
      <c r="ET209" s="7"/>
      <c r="EU209" s="19"/>
      <c r="EV209" s="19"/>
      <c r="EW209" s="19"/>
      <c r="EX209" s="19"/>
      <c r="EZ209" s="8"/>
      <c r="FA209" s="7"/>
      <c r="FB209" s="19"/>
      <c r="FC209" s="19"/>
      <c r="FD209" s="19"/>
      <c r="FE209" s="19"/>
      <c r="FG209" s="8"/>
      <c r="FH209" s="7"/>
      <c r="FI209" s="19"/>
      <c r="FJ209" s="19"/>
      <c r="FK209" s="19"/>
      <c r="FL209" s="19"/>
      <c r="FN209" s="8"/>
      <c r="FO209" s="7"/>
      <c r="FP209" s="19"/>
      <c r="FQ209" s="19"/>
      <c r="FR209" s="19"/>
      <c r="FS209" s="19"/>
      <c r="FU209" s="8"/>
      <c r="FV209" s="7"/>
      <c r="FW209" s="19"/>
      <c r="FX209" s="19"/>
      <c r="FY209" s="19"/>
      <c r="FZ209" s="19"/>
      <c r="GB209" s="8"/>
      <c r="GC209" s="7"/>
      <c r="GD209" s="19"/>
      <c r="GE209" s="19"/>
      <c r="GF209" s="19"/>
      <c r="GG209" s="19"/>
      <c r="GI209" s="8"/>
      <c r="GJ209" s="7"/>
      <c r="GK209" s="19"/>
      <c r="GL209" s="19"/>
      <c r="GM209" s="19"/>
      <c r="GN209" s="19"/>
      <c r="GP209" s="8"/>
      <c r="GQ209" s="7"/>
      <c r="GR209" s="19"/>
      <c r="GS209" s="19"/>
      <c r="GT209" s="19"/>
      <c r="GU209" s="19"/>
      <c r="GW209" s="8"/>
      <c r="GX209" s="7"/>
      <c r="GY209" s="19"/>
      <c r="GZ209" s="19"/>
      <c r="HA209" s="19"/>
      <c r="HB209" s="19"/>
      <c r="HD209" s="8"/>
      <c r="HE209" s="7"/>
      <c r="HF209" s="19"/>
      <c r="HG209" s="19"/>
      <c r="HH209" s="19"/>
      <c r="HI209" s="19"/>
      <c r="HK209" s="8"/>
      <c r="HL209" s="7"/>
      <c r="HM209" s="19"/>
      <c r="HN209" s="19"/>
      <c r="HO209" s="19"/>
      <c r="HP209" s="19"/>
      <c r="HR209" s="8"/>
      <c r="HS209" s="7"/>
      <c r="HT209" s="19"/>
      <c r="HU209" s="19"/>
      <c r="HV209" s="19"/>
      <c r="HW209" s="19"/>
      <c r="HY209" s="8"/>
      <c r="HZ209" s="7"/>
      <c r="IA209" s="19"/>
      <c r="IB209" s="19"/>
      <c r="IC209" s="19"/>
      <c r="ID209" s="19"/>
      <c r="IF209" s="8"/>
      <c r="IG209" s="7"/>
      <c r="IH209" s="19"/>
      <c r="II209" s="19"/>
      <c r="IJ209" s="19"/>
      <c r="IK209" s="19"/>
      <c r="IM209" s="8"/>
      <c r="IN209" s="7"/>
      <c r="IO209" s="19"/>
      <c r="IP209" s="19"/>
      <c r="IQ209" s="19"/>
      <c r="IR209" s="19"/>
      <c r="IT209" s="8"/>
      <c r="IU209" s="7"/>
      <c r="IV209" s="19"/>
      <c r="IW209" s="19"/>
      <c r="IX209" s="19"/>
      <c r="IY209" s="19"/>
      <c r="JA209" s="8"/>
      <c r="JB209" s="7"/>
      <c r="JC209" s="19"/>
      <c r="JD209" s="19"/>
      <c r="JE209" s="19"/>
      <c r="JF209" s="19"/>
      <c r="JH209" s="8"/>
      <c r="JI209" s="7"/>
      <c r="JJ209" s="19"/>
      <c r="JK209" s="19"/>
      <c r="JL209" s="19"/>
      <c r="JM209" s="19"/>
      <c r="JO209" s="8"/>
      <c r="JP209" s="7"/>
      <c r="JQ209" s="19"/>
      <c r="JR209" s="19"/>
      <c r="JS209" s="19"/>
      <c r="JT209" s="19"/>
      <c r="JV209" s="8"/>
      <c r="JW209" s="7"/>
      <c r="JX209" s="19"/>
      <c r="JY209" s="19"/>
      <c r="JZ209" s="19"/>
      <c r="KA209" s="19"/>
      <c r="KC209" s="8"/>
      <c r="KD209" s="7"/>
      <c r="KE209" s="19"/>
      <c r="KF209" s="19"/>
      <c r="KG209" s="19"/>
      <c r="KH209" s="19"/>
      <c r="KJ209" s="8"/>
      <c r="KK209" s="7"/>
      <c r="KL209" s="19"/>
      <c r="KM209" s="19"/>
      <c r="KN209" s="19"/>
      <c r="KO209" s="19"/>
      <c r="KQ209" s="8"/>
      <c r="KR209" s="7"/>
      <c r="KS209" s="19"/>
      <c r="KT209" s="19"/>
      <c r="KU209" s="19"/>
      <c r="KV209" s="19"/>
      <c r="KX209" s="8"/>
      <c r="KY209" s="7"/>
      <c r="KZ209" s="19"/>
      <c r="LA209" s="19"/>
      <c r="LB209" s="19"/>
      <c r="LC209" s="19"/>
      <c r="LE209" s="8"/>
      <c r="LF209" s="7"/>
      <c r="LG209" s="19"/>
      <c r="LH209" s="19"/>
      <c r="LI209" s="19"/>
      <c r="LJ209" s="19"/>
      <c r="LL209" s="8"/>
      <c r="LM209" s="7"/>
      <c r="LN209" s="19"/>
      <c r="LO209" s="19"/>
      <c r="LP209" s="19"/>
      <c r="LQ209" s="19"/>
      <c r="LS209" s="8"/>
      <c r="LT209" s="7"/>
      <c r="LU209" s="19"/>
      <c r="LV209" s="19"/>
      <c r="LW209" s="19"/>
      <c r="LX209" s="19"/>
      <c r="LZ209" s="8"/>
      <c r="MA209" s="7"/>
      <c r="MB209" s="19"/>
      <c r="MC209" s="19"/>
      <c r="MD209" s="19"/>
      <c r="ME209" s="19"/>
      <c r="MG209" s="8"/>
      <c r="MH209" s="7"/>
      <c r="MI209" s="19"/>
      <c r="MJ209" s="19"/>
      <c r="MK209" s="19"/>
      <c r="ML209" s="19"/>
      <c r="MN209" s="8"/>
      <c r="MO209" s="7"/>
      <c r="MP209" s="19"/>
      <c r="MQ209" s="19"/>
      <c r="MR209" s="19"/>
      <c r="MS209" s="19"/>
      <c r="MU209" s="8"/>
      <c r="MV209" s="7"/>
      <c r="MW209" s="19"/>
      <c r="MX209" s="19"/>
      <c r="MY209" s="19"/>
      <c r="MZ209" s="19"/>
      <c r="NB209" s="8"/>
      <c r="NC209" s="7"/>
      <c r="ND209" s="19"/>
      <c r="NE209" s="19"/>
      <c r="NF209" s="19"/>
      <c r="NG209" s="19"/>
      <c r="NI209" s="8"/>
      <c r="NJ209" s="7"/>
      <c r="NK209" s="19"/>
      <c r="NL209" s="19"/>
      <c r="NM209" s="19"/>
      <c r="NN209" s="19"/>
      <c r="NP209" s="8"/>
      <c r="NQ209" s="7"/>
      <c r="NR209" s="19"/>
      <c r="NS209" s="19"/>
      <c r="NT209" s="19"/>
      <c r="NU209" s="19"/>
      <c r="NW209" s="8"/>
      <c r="NX209" s="7"/>
      <c r="NY209" s="19"/>
      <c r="NZ209" s="19"/>
      <c r="OA209" s="19"/>
      <c r="OB209" s="19"/>
      <c r="OD209" s="8"/>
      <c r="OE209" s="7"/>
      <c r="OF209" s="19"/>
      <c r="OG209" s="19"/>
      <c r="OH209" s="19"/>
      <c r="OI209" s="19"/>
      <c r="OK209" s="8"/>
      <c r="OL209" s="7"/>
      <c r="OM209" s="19"/>
      <c r="ON209" s="19"/>
      <c r="OO209" s="19"/>
      <c r="OP209" s="19"/>
      <c r="OR209" s="8"/>
      <c r="OS209" s="7"/>
      <c r="OT209" s="19"/>
      <c r="OU209" s="19"/>
      <c r="OV209" s="19"/>
      <c r="OW209" s="19"/>
      <c r="OY209" s="8"/>
      <c r="OZ209" s="7"/>
      <c r="PA209" s="19"/>
      <c r="PB209" s="19"/>
      <c r="PC209" s="19"/>
      <c r="PD209" s="19"/>
      <c r="PF209" s="8"/>
      <c r="PG209" s="7"/>
      <c r="PH209" s="19"/>
      <c r="PI209" s="19"/>
      <c r="PJ209" s="19"/>
      <c r="PK209" s="19"/>
      <c r="PM209" s="8"/>
    </row>
    <row r="210" spans="1:429" s="1" customFormat="1" ht="24" outlineLevel="1">
      <c r="B210" s="471"/>
      <c r="C210" s="7"/>
      <c r="D210" s="19"/>
      <c r="E210" s="19"/>
      <c r="F210" s="19"/>
      <c r="G210" s="19"/>
      <c r="I210" s="8"/>
      <c r="J210" s="7"/>
      <c r="K210" s="19"/>
      <c r="L210" s="19"/>
      <c r="M210" s="19"/>
      <c r="N210" s="19"/>
      <c r="P210" s="8"/>
      <c r="Q210" s="7"/>
      <c r="R210" s="19"/>
      <c r="S210" s="19"/>
      <c r="T210" s="19"/>
      <c r="U210" s="19"/>
      <c r="W210" s="8"/>
      <c r="X210" s="7"/>
      <c r="Y210" s="19"/>
      <c r="Z210" s="19"/>
      <c r="AA210" s="19"/>
      <c r="AB210" s="19"/>
      <c r="AD210" s="8"/>
      <c r="AE210" s="7"/>
      <c r="AF210" s="19"/>
      <c r="AG210" s="19"/>
      <c r="AH210" s="19"/>
      <c r="AI210" s="19"/>
      <c r="AK210" s="8"/>
      <c r="AL210" s="7"/>
      <c r="AM210" s="19"/>
      <c r="AN210" s="19"/>
      <c r="AO210" s="19"/>
      <c r="AP210" s="19"/>
      <c r="AR210" s="8"/>
      <c r="AS210" s="7"/>
      <c r="AT210" s="19"/>
      <c r="AU210" s="19"/>
      <c r="AV210" s="19"/>
      <c r="AW210" s="19"/>
      <c r="AY210" s="8"/>
      <c r="AZ210" s="7"/>
      <c r="BA210" s="19"/>
      <c r="BB210" s="19"/>
      <c r="BC210" s="19"/>
      <c r="BD210" s="19"/>
      <c r="BF210" s="8"/>
      <c r="BG210" s="7"/>
      <c r="BH210" s="19"/>
      <c r="BI210" s="19"/>
      <c r="BJ210" s="19"/>
      <c r="BK210" s="19"/>
      <c r="BM210" s="8"/>
      <c r="BN210" s="7"/>
      <c r="BO210" s="19"/>
      <c r="BP210" s="19"/>
      <c r="BQ210" s="19"/>
      <c r="BR210" s="19"/>
      <c r="BT210" s="8"/>
      <c r="BU210" s="7"/>
      <c r="BV210" s="19"/>
      <c r="BW210" s="19"/>
      <c r="BX210" s="19"/>
      <c r="BY210" s="19"/>
      <c r="CA210" s="8"/>
      <c r="CB210" s="7"/>
      <c r="CC210" s="19"/>
      <c r="CD210" s="19"/>
      <c r="CE210" s="19"/>
      <c r="CF210" s="19"/>
      <c r="CH210" s="8"/>
      <c r="CI210" s="7"/>
      <c r="CJ210" s="19"/>
      <c r="CK210" s="19"/>
      <c r="CL210" s="19"/>
      <c r="CM210" s="19"/>
      <c r="CO210" s="8"/>
      <c r="CP210" s="7"/>
      <c r="CQ210" s="19"/>
      <c r="CR210" s="19"/>
      <c r="CS210" s="19"/>
      <c r="CT210" s="19"/>
      <c r="CV210" s="8"/>
      <c r="CW210" s="7"/>
      <c r="CX210" s="19"/>
      <c r="CY210" s="19"/>
      <c r="CZ210" s="19"/>
      <c r="DA210" s="19"/>
      <c r="DC210" s="8"/>
      <c r="DD210" s="7"/>
      <c r="DE210" s="19"/>
      <c r="DF210" s="19"/>
      <c r="DG210" s="19"/>
      <c r="DH210" s="19"/>
      <c r="DJ210" s="8"/>
      <c r="DK210" s="7"/>
      <c r="DL210" s="19"/>
      <c r="DM210" s="19"/>
      <c r="DN210" s="19"/>
      <c r="DO210" s="19"/>
      <c r="DQ210" s="8"/>
      <c r="DR210" s="7"/>
      <c r="DS210" s="19"/>
      <c r="DT210" s="19"/>
      <c r="DU210" s="19"/>
      <c r="DV210" s="19"/>
      <c r="DX210" s="8"/>
      <c r="DY210" s="7"/>
      <c r="DZ210" s="19"/>
      <c r="EA210" s="19"/>
      <c r="EB210" s="19"/>
      <c r="EC210" s="19"/>
      <c r="EE210" s="8"/>
      <c r="EF210" s="7"/>
      <c r="EG210" s="19"/>
      <c r="EH210" s="19"/>
      <c r="EI210" s="19"/>
      <c r="EJ210" s="19"/>
      <c r="EL210" s="8"/>
      <c r="EM210" s="7"/>
      <c r="EN210" s="19"/>
      <c r="EO210" s="19"/>
      <c r="EP210" s="19"/>
      <c r="EQ210" s="19"/>
      <c r="ES210" s="8"/>
      <c r="ET210" s="7"/>
      <c r="EU210" s="19"/>
      <c r="EV210" s="19"/>
      <c r="EW210" s="19"/>
      <c r="EX210" s="19"/>
      <c r="EZ210" s="8"/>
      <c r="FA210" s="7"/>
      <c r="FB210" s="19"/>
      <c r="FC210" s="19"/>
      <c r="FD210" s="19"/>
      <c r="FE210" s="19"/>
      <c r="FG210" s="8"/>
      <c r="FH210" s="7"/>
      <c r="FI210" s="19"/>
      <c r="FJ210" s="19"/>
      <c r="FK210" s="19"/>
      <c r="FL210" s="19"/>
      <c r="FN210" s="8"/>
      <c r="FO210" s="7"/>
      <c r="FP210" s="19"/>
      <c r="FQ210" s="19"/>
      <c r="FR210" s="19"/>
      <c r="FS210" s="19"/>
      <c r="FU210" s="8"/>
      <c r="FV210" s="7"/>
      <c r="FW210" s="19"/>
      <c r="FX210" s="19"/>
      <c r="FY210" s="19"/>
      <c r="FZ210" s="19"/>
      <c r="GB210" s="8"/>
      <c r="GC210" s="7"/>
      <c r="GD210" s="19"/>
      <c r="GE210" s="19"/>
      <c r="GF210" s="19"/>
      <c r="GG210" s="19"/>
      <c r="GI210" s="8"/>
      <c r="GJ210" s="7"/>
      <c r="GK210" s="19"/>
      <c r="GL210" s="19"/>
      <c r="GM210" s="19"/>
      <c r="GN210" s="19"/>
      <c r="GP210" s="8"/>
      <c r="GQ210" s="7"/>
      <c r="GR210" s="19"/>
      <c r="GS210" s="19"/>
      <c r="GT210" s="19"/>
      <c r="GU210" s="19"/>
      <c r="GW210" s="8"/>
      <c r="GX210" s="7"/>
      <c r="GY210" s="19"/>
      <c r="GZ210" s="19"/>
      <c r="HA210" s="19"/>
      <c r="HB210" s="19"/>
      <c r="HD210" s="8"/>
      <c r="HE210" s="7"/>
      <c r="HF210" s="19"/>
      <c r="HG210" s="19"/>
      <c r="HH210" s="19"/>
      <c r="HI210" s="19"/>
      <c r="HK210" s="8"/>
      <c r="HL210" s="7"/>
      <c r="HM210" s="19"/>
      <c r="HN210" s="19"/>
      <c r="HO210" s="19"/>
      <c r="HP210" s="19"/>
      <c r="HR210" s="8"/>
      <c r="HS210" s="7"/>
      <c r="HT210" s="19"/>
      <c r="HU210" s="19"/>
      <c r="HV210" s="19"/>
      <c r="HW210" s="19"/>
      <c r="HY210" s="8"/>
      <c r="HZ210" s="7"/>
      <c r="IA210" s="19"/>
      <c r="IB210" s="19"/>
      <c r="IC210" s="19"/>
      <c r="ID210" s="19"/>
      <c r="IF210" s="8"/>
      <c r="IG210" s="7"/>
      <c r="IH210" s="19"/>
      <c r="II210" s="19"/>
      <c r="IJ210" s="19"/>
      <c r="IK210" s="19"/>
      <c r="IM210" s="8"/>
      <c r="IN210" s="7"/>
      <c r="IO210" s="19"/>
      <c r="IP210" s="19"/>
      <c r="IQ210" s="19"/>
      <c r="IR210" s="19"/>
      <c r="IT210" s="8"/>
      <c r="IU210" s="7"/>
      <c r="IV210" s="19"/>
      <c r="IW210" s="19"/>
      <c r="IX210" s="19"/>
      <c r="IY210" s="19"/>
      <c r="JA210" s="8"/>
      <c r="JB210" s="7"/>
      <c r="JC210" s="19"/>
      <c r="JD210" s="19"/>
      <c r="JE210" s="19"/>
      <c r="JF210" s="19"/>
      <c r="JH210" s="8"/>
      <c r="JI210" s="7"/>
      <c r="JJ210" s="19"/>
      <c r="JK210" s="19"/>
      <c r="JL210" s="19"/>
      <c r="JM210" s="19"/>
      <c r="JO210" s="8"/>
      <c r="JP210" s="7"/>
      <c r="JQ210" s="19"/>
      <c r="JR210" s="19"/>
      <c r="JS210" s="19"/>
      <c r="JT210" s="19"/>
      <c r="JV210" s="8"/>
      <c r="JW210" s="7"/>
      <c r="JX210" s="19"/>
      <c r="JY210" s="19"/>
      <c r="JZ210" s="19"/>
      <c r="KA210" s="19"/>
      <c r="KC210" s="8"/>
      <c r="KD210" s="7"/>
      <c r="KE210" s="19"/>
      <c r="KF210" s="19"/>
      <c r="KG210" s="19"/>
      <c r="KH210" s="19"/>
      <c r="KJ210" s="8"/>
      <c r="KK210" s="7"/>
      <c r="KL210" s="19"/>
      <c r="KM210" s="19"/>
      <c r="KN210" s="19"/>
      <c r="KO210" s="19"/>
      <c r="KQ210" s="8"/>
      <c r="KR210" s="7"/>
      <c r="KS210" s="19"/>
      <c r="KT210" s="19"/>
      <c r="KU210" s="19"/>
      <c r="KV210" s="19"/>
      <c r="KX210" s="8"/>
      <c r="KY210" s="7"/>
      <c r="KZ210" s="19"/>
      <c r="LA210" s="19"/>
      <c r="LB210" s="19"/>
      <c r="LC210" s="19"/>
      <c r="LE210" s="8"/>
      <c r="LF210" s="7"/>
      <c r="LG210" s="19"/>
      <c r="LH210" s="19"/>
      <c r="LI210" s="19"/>
      <c r="LJ210" s="19"/>
      <c r="LL210" s="8"/>
      <c r="LM210" s="7"/>
      <c r="LN210" s="19"/>
      <c r="LO210" s="19"/>
      <c r="LP210" s="19"/>
      <c r="LQ210" s="19"/>
      <c r="LS210" s="8"/>
      <c r="LT210" s="7"/>
      <c r="LU210" s="19"/>
      <c r="LV210" s="19"/>
      <c r="LW210" s="19"/>
      <c r="LX210" s="19"/>
      <c r="LZ210" s="8"/>
      <c r="MA210" s="7"/>
      <c r="MB210" s="19"/>
      <c r="MC210" s="19"/>
      <c r="MD210" s="19"/>
      <c r="ME210" s="19"/>
      <c r="MG210" s="8"/>
      <c r="MH210" s="7"/>
      <c r="MI210" s="19"/>
      <c r="MJ210" s="19"/>
      <c r="MK210" s="19"/>
      <c r="ML210" s="19"/>
      <c r="MN210" s="8"/>
      <c r="MO210" s="7"/>
      <c r="MP210" s="19"/>
      <c r="MQ210" s="19"/>
      <c r="MR210" s="19"/>
      <c r="MS210" s="19"/>
      <c r="MU210" s="8"/>
      <c r="MV210" s="7"/>
      <c r="MW210" s="19"/>
      <c r="MX210" s="19"/>
      <c r="MY210" s="19"/>
      <c r="MZ210" s="19"/>
      <c r="NB210" s="8"/>
      <c r="NC210" s="7"/>
      <c r="ND210" s="19"/>
      <c r="NE210" s="19"/>
      <c r="NF210" s="19"/>
      <c r="NG210" s="19"/>
      <c r="NI210" s="8"/>
      <c r="NJ210" s="7"/>
      <c r="NK210" s="19"/>
      <c r="NL210" s="19"/>
      <c r="NM210" s="19"/>
      <c r="NN210" s="19"/>
      <c r="NP210" s="8"/>
      <c r="NQ210" s="7"/>
      <c r="NR210" s="19"/>
      <c r="NS210" s="19"/>
      <c r="NT210" s="19"/>
      <c r="NU210" s="19"/>
      <c r="NW210" s="8"/>
      <c r="NX210" s="7"/>
      <c r="NY210" s="19"/>
      <c r="NZ210" s="19"/>
      <c r="OA210" s="19"/>
      <c r="OB210" s="19"/>
      <c r="OD210" s="8"/>
      <c r="OE210" s="7"/>
      <c r="OF210" s="19"/>
      <c r="OG210" s="19"/>
      <c r="OH210" s="19"/>
      <c r="OI210" s="19"/>
      <c r="OK210" s="8"/>
      <c r="OL210" s="7"/>
      <c r="OM210" s="19"/>
      <c r="ON210" s="19"/>
      <c r="OO210" s="19"/>
      <c r="OP210" s="19"/>
      <c r="OR210" s="8"/>
      <c r="OS210" s="7"/>
      <c r="OT210" s="19"/>
      <c r="OU210" s="19"/>
      <c r="OV210" s="19"/>
      <c r="OW210" s="19"/>
      <c r="OY210" s="8"/>
      <c r="OZ210" s="7"/>
      <c r="PA210" s="19"/>
      <c r="PB210" s="19"/>
      <c r="PC210" s="19"/>
      <c r="PD210" s="19"/>
      <c r="PF210" s="8"/>
      <c r="PG210" s="7"/>
      <c r="PH210" s="19"/>
      <c r="PI210" s="19"/>
      <c r="PJ210" s="19"/>
      <c r="PK210" s="19"/>
      <c r="PM210" s="8"/>
    </row>
    <row r="211" spans="1:429" s="1" customFormat="1" ht="24" outlineLevel="1">
      <c r="B211" s="471"/>
      <c r="C211" s="7"/>
      <c r="D211" s="19"/>
      <c r="E211" s="19"/>
      <c r="F211" s="19"/>
      <c r="G211" s="19"/>
      <c r="I211" s="8"/>
      <c r="J211" s="7"/>
      <c r="K211" s="19"/>
      <c r="L211" s="19"/>
      <c r="M211" s="19"/>
      <c r="N211" s="19"/>
      <c r="P211" s="8"/>
      <c r="Q211" s="7"/>
      <c r="R211" s="19"/>
      <c r="S211" s="19"/>
      <c r="T211" s="19"/>
      <c r="U211" s="19"/>
      <c r="W211" s="8"/>
      <c r="X211" s="7"/>
      <c r="Y211" s="19"/>
      <c r="Z211" s="19"/>
      <c r="AA211" s="19"/>
      <c r="AB211" s="19"/>
      <c r="AD211" s="8"/>
      <c r="AE211" s="7"/>
      <c r="AF211" s="19"/>
      <c r="AG211" s="19"/>
      <c r="AH211" s="19"/>
      <c r="AI211" s="19"/>
      <c r="AK211" s="8"/>
      <c r="AL211" s="7"/>
      <c r="AM211" s="19"/>
      <c r="AN211" s="19"/>
      <c r="AO211" s="19"/>
      <c r="AP211" s="19"/>
      <c r="AR211" s="8"/>
      <c r="AS211" s="7"/>
      <c r="AT211" s="19"/>
      <c r="AU211" s="19"/>
      <c r="AV211" s="19"/>
      <c r="AW211" s="19"/>
      <c r="AY211" s="8"/>
      <c r="AZ211" s="7"/>
      <c r="BA211" s="19"/>
      <c r="BB211" s="19"/>
      <c r="BC211" s="19"/>
      <c r="BD211" s="19"/>
      <c r="BF211" s="8"/>
      <c r="BG211" s="7"/>
      <c r="BH211" s="19"/>
      <c r="BI211" s="19"/>
      <c r="BJ211" s="19"/>
      <c r="BK211" s="19"/>
      <c r="BM211" s="8"/>
      <c r="BN211" s="7"/>
      <c r="BO211" s="19"/>
      <c r="BP211" s="19"/>
      <c r="BQ211" s="19"/>
      <c r="BR211" s="19"/>
      <c r="BT211" s="8"/>
      <c r="BU211" s="7"/>
      <c r="BV211" s="19"/>
      <c r="BW211" s="19"/>
      <c r="BX211" s="19"/>
      <c r="BY211" s="19"/>
      <c r="CA211" s="8"/>
      <c r="CB211" s="7"/>
      <c r="CC211" s="19"/>
      <c r="CD211" s="19"/>
      <c r="CE211" s="19"/>
      <c r="CF211" s="19"/>
      <c r="CH211" s="8"/>
      <c r="CI211" s="7"/>
      <c r="CJ211" s="19"/>
      <c r="CK211" s="19"/>
      <c r="CL211" s="19"/>
      <c r="CM211" s="19"/>
      <c r="CO211" s="8"/>
      <c r="CP211" s="7"/>
      <c r="CQ211" s="19"/>
      <c r="CR211" s="19"/>
      <c r="CS211" s="19"/>
      <c r="CT211" s="19"/>
      <c r="CV211" s="8"/>
      <c r="CW211" s="7"/>
      <c r="CX211" s="19"/>
      <c r="CY211" s="19"/>
      <c r="CZ211" s="19"/>
      <c r="DA211" s="19"/>
      <c r="DC211" s="8"/>
      <c r="DD211" s="7"/>
      <c r="DE211" s="19"/>
      <c r="DF211" s="19"/>
      <c r="DG211" s="19"/>
      <c r="DH211" s="19"/>
      <c r="DJ211" s="8"/>
      <c r="DK211" s="7"/>
      <c r="DL211" s="19"/>
      <c r="DM211" s="19"/>
      <c r="DN211" s="19"/>
      <c r="DO211" s="19"/>
      <c r="DQ211" s="8"/>
      <c r="DR211" s="7"/>
      <c r="DS211" s="19"/>
      <c r="DT211" s="19"/>
      <c r="DU211" s="19"/>
      <c r="DV211" s="19"/>
      <c r="DX211" s="8"/>
      <c r="DY211" s="7"/>
      <c r="DZ211" s="19"/>
      <c r="EA211" s="19"/>
      <c r="EB211" s="19"/>
      <c r="EC211" s="19"/>
      <c r="EE211" s="8"/>
      <c r="EF211" s="7"/>
      <c r="EG211" s="19"/>
      <c r="EH211" s="19"/>
      <c r="EI211" s="19"/>
      <c r="EJ211" s="19"/>
      <c r="EL211" s="8"/>
      <c r="EM211" s="7"/>
      <c r="EN211" s="19"/>
      <c r="EO211" s="19"/>
      <c r="EP211" s="19"/>
      <c r="EQ211" s="19"/>
      <c r="ES211" s="8"/>
      <c r="ET211" s="7"/>
      <c r="EU211" s="19"/>
      <c r="EV211" s="19"/>
      <c r="EW211" s="19"/>
      <c r="EX211" s="19"/>
      <c r="EZ211" s="8"/>
      <c r="FA211" s="7"/>
      <c r="FB211" s="19"/>
      <c r="FC211" s="19"/>
      <c r="FD211" s="19"/>
      <c r="FE211" s="19"/>
      <c r="FG211" s="8"/>
      <c r="FH211" s="7"/>
      <c r="FI211" s="19"/>
      <c r="FJ211" s="19"/>
      <c r="FK211" s="19"/>
      <c r="FL211" s="19"/>
      <c r="FN211" s="8"/>
      <c r="FO211" s="7"/>
      <c r="FP211" s="19"/>
      <c r="FQ211" s="19"/>
      <c r="FR211" s="19"/>
      <c r="FS211" s="19"/>
      <c r="FU211" s="8"/>
      <c r="FV211" s="7"/>
      <c r="FW211" s="19"/>
      <c r="FX211" s="19"/>
      <c r="FY211" s="19"/>
      <c r="FZ211" s="19"/>
      <c r="GB211" s="8"/>
      <c r="GC211" s="7"/>
      <c r="GD211" s="19"/>
      <c r="GE211" s="19"/>
      <c r="GF211" s="19"/>
      <c r="GG211" s="19"/>
      <c r="GI211" s="8"/>
      <c r="GJ211" s="7"/>
      <c r="GK211" s="19"/>
      <c r="GL211" s="19"/>
      <c r="GM211" s="19"/>
      <c r="GN211" s="19"/>
      <c r="GP211" s="8"/>
      <c r="GQ211" s="7"/>
      <c r="GR211" s="19"/>
      <c r="GS211" s="19"/>
      <c r="GT211" s="19"/>
      <c r="GU211" s="19"/>
      <c r="GW211" s="8"/>
      <c r="GX211" s="7"/>
      <c r="GY211" s="19"/>
      <c r="GZ211" s="19"/>
      <c r="HA211" s="19"/>
      <c r="HB211" s="19"/>
      <c r="HD211" s="8"/>
      <c r="HE211" s="7"/>
      <c r="HF211" s="19"/>
      <c r="HG211" s="19"/>
      <c r="HH211" s="19"/>
      <c r="HI211" s="19"/>
      <c r="HK211" s="8"/>
      <c r="HL211" s="7"/>
      <c r="HM211" s="19"/>
      <c r="HN211" s="19"/>
      <c r="HO211" s="19"/>
      <c r="HP211" s="19"/>
      <c r="HR211" s="8"/>
      <c r="HS211" s="7"/>
      <c r="HT211" s="19"/>
      <c r="HU211" s="19"/>
      <c r="HV211" s="19"/>
      <c r="HW211" s="19"/>
      <c r="HY211" s="8"/>
      <c r="HZ211" s="7"/>
      <c r="IA211" s="19"/>
      <c r="IB211" s="19"/>
      <c r="IC211" s="19"/>
      <c r="ID211" s="19"/>
      <c r="IF211" s="8"/>
      <c r="IG211" s="7"/>
      <c r="IH211" s="19"/>
      <c r="II211" s="19"/>
      <c r="IJ211" s="19"/>
      <c r="IK211" s="19"/>
      <c r="IM211" s="8"/>
      <c r="IN211" s="7"/>
      <c r="IO211" s="19"/>
      <c r="IP211" s="19"/>
      <c r="IQ211" s="19"/>
      <c r="IR211" s="19"/>
      <c r="IT211" s="8"/>
      <c r="IU211" s="7"/>
      <c r="IV211" s="19"/>
      <c r="IW211" s="19"/>
      <c r="IX211" s="19"/>
      <c r="IY211" s="19"/>
      <c r="JA211" s="8"/>
      <c r="JB211" s="7"/>
      <c r="JC211" s="19"/>
      <c r="JD211" s="19"/>
      <c r="JE211" s="19"/>
      <c r="JF211" s="19"/>
      <c r="JH211" s="8"/>
      <c r="JI211" s="7"/>
      <c r="JJ211" s="19"/>
      <c r="JK211" s="19"/>
      <c r="JL211" s="19"/>
      <c r="JM211" s="19"/>
      <c r="JO211" s="8"/>
      <c r="JP211" s="7"/>
      <c r="JQ211" s="19"/>
      <c r="JR211" s="19"/>
      <c r="JS211" s="19"/>
      <c r="JT211" s="19"/>
      <c r="JV211" s="8"/>
      <c r="JW211" s="7"/>
      <c r="JX211" s="19"/>
      <c r="JY211" s="19"/>
      <c r="JZ211" s="19"/>
      <c r="KA211" s="19"/>
      <c r="KC211" s="8"/>
      <c r="KD211" s="7"/>
      <c r="KE211" s="19"/>
      <c r="KF211" s="19"/>
      <c r="KG211" s="19"/>
      <c r="KH211" s="19"/>
      <c r="KJ211" s="8"/>
      <c r="KK211" s="7"/>
      <c r="KL211" s="19"/>
      <c r="KM211" s="19"/>
      <c r="KN211" s="19"/>
      <c r="KO211" s="19"/>
      <c r="KQ211" s="8"/>
      <c r="KR211" s="7"/>
      <c r="KS211" s="19"/>
      <c r="KT211" s="19"/>
      <c r="KU211" s="19"/>
      <c r="KV211" s="19"/>
      <c r="KX211" s="8"/>
      <c r="KY211" s="7"/>
      <c r="KZ211" s="19"/>
      <c r="LA211" s="19"/>
      <c r="LB211" s="19"/>
      <c r="LC211" s="19"/>
      <c r="LE211" s="8"/>
      <c r="LF211" s="7"/>
      <c r="LG211" s="19"/>
      <c r="LH211" s="19"/>
      <c r="LI211" s="19"/>
      <c r="LJ211" s="19"/>
      <c r="LL211" s="8"/>
      <c r="LM211" s="7"/>
      <c r="LN211" s="19"/>
      <c r="LO211" s="19"/>
      <c r="LP211" s="19"/>
      <c r="LQ211" s="19"/>
      <c r="LS211" s="8"/>
      <c r="LT211" s="7"/>
      <c r="LU211" s="19"/>
      <c r="LV211" s="19"/>
      <c r="LW211" s="19"/>
      <c r="LX211" s="19"/>
      <c r="LZ211" s="8"/>
      <c r="MA211" s="7"/>
      <c r="MB211" s="19"/>
      <c r="MC211" s="19"/>
      <c r="MD211" s="19"/>
      <c r="ME211" s="19"/>
      <c r="MG211" s="8"/>
      <c r="MH211" s="7"/>
      <c r="MI211" s="19"/>
      <c r="MJ211" s="19"/>
      <c r="MK211" s="19"/>
      <c r="ML211" s="19"/>
      <c r="MN211" s="8"/>
      <c r="MO211" s="7"/>
      <c r="MP211" s="19"/>
      <c r="MQ211" s="19"/>
      <c r="MR211" s="19"/>
      <c r="MS211" s="19"/>
      <c r="MU211" s="8"/>
      <c r="MV211" s="7"/>
      <c r="MW211" s="19"/>
      <c r="MX211" s="19"/>
      <c r="MY211" s="19"/>
      <c r="MZ211" s="19"/>
      <c r="NB211" s="8"/>
      <c r="NC211" s="7"/>
      <c r="ND211" s="19"/>
      <c r="NE211" s="19"/>
      <c r="NF211" s="19"/>
      <c r="NG211" s="19"/>
      <c r="NI211" s="8"/>
      <c r="NJ211" s="7"/>
      <c r="NK211" s="19"/>
      <c r="NL211" s="19"/>
      <c r="NM211" s="19"/>
      <c r="NN211" s="19"/>
      <c r="NP211" s="8"/>
      <c r="NQ211" s="7"/>
      <c r="NR211" s="19"/>
      <c r="NS211" s="19"/>
      <c r="NT211" s="19"/>
      <c r="NU211" s="19"/>
      <c r="NW211" s="8"/>
      <c r="NX211" s="7"/>
      <c r="NY211" s="19"/>
      <c r="NZ211" s="19"/>
      <c r="OA211" s="19"/>
      <c r="OB211" s="19"/>
      <c r="OD211" s="8"/>
      <c r="OE211" s="7"/>
      <c r="OF211" s="19"/>
      <c r="OG211" s="19"/>
      <c r="OH211" s="19"/>
      <c r="OI211" s="19"/>
      <c r="OK211" s="8"/>
      <c r="OL211" s="7"/>
      <c r="OM211" s="19"/>
      <c r="ON211" s="19"/>
      <c r="OO211" s="19"/>
      <c r="OP211" s="19"/>
      <c r="OR211" s="8"/>
      <c r="OS211" s="7"/>
      <c r="OT211" s="19"/>
      <c r="OU211" s="19"/>
      <c r="OV211" s="19"/>
      <c r="OW211" s="19"/>
      <c r="OY211" s="8"/>
      <c r="OZ211" s="7"/>
      <c r="PA211" s="19"/>
      <c r="PB211" s="19"/>
      <c r="PC211" s="19"/>
      <c r="PD211" s="19"/>
      <c r="PF211" s="8"/>
      <c r="PG211" s="7"/>
      <c r="PH211" s="19"/>
      <c r="PI211" s="19"/>
      <c r="PJ211" s="19"/>
      <c r="PK211" s="19"/>
      <c r="PM211" s="8"/>
    </row>
    <row r="212" spans="1:429" s="475" customFormat="1" ht="19" customHeight="1">
      <c r="A212" s="6" t="s">
        <v>411</v>
      </c>
      <c r="B212" s="472"/>
      <c r="C212" s="10"/>
      <c r="D212" s="20"/>
      <c r="E212" s="20"/>
      <c r="F212" s="20"/>
      <c r="G212" s="20"/>
      <c r="H212" s="10"/>
      <c r="I212" s="10"/>
      <c r="J212" s="10"/>
      <c r="K212" s="20"/>
      <c r="L212" s="20"/>
      <c r="M212" s="20"/>
      <c r="N212" s="20"/>
      <c r="O212" s="10"/>
      <c r="P212" s="10"/>
      <c r="Q212" s="10"/>
      <c r="R212" s="20"/>
      <c r="S212" s="20"/>
      <c r="T212" s="20"/>
      <c r="U212" s="20"/>
      <c r="V212" s="10"/>
      <c r="W212" s="10"/>
      <c r="X212" s="10"/>
      <c r="Y212" s="20"/>
      <c r="Z212" s="20"/>
      <c r="AA212" s="20"/>
      <c r="AB212" s="20"/>
      <c r="AC212" s="10"/>
      <c r="AD212" s="10"/>
      <c r="AE212" s="10"/>
      <c r="AF212" s="20"/>
      <c r="AG212" s="20"/>
      <c r="AH212" s="20"/>
      <c r="AI212" s="20"/>
      <c r="AJ212" s="10"/>
      <c r="AK212" s="10"/>
      <c r="AL212" s="10"/>
      <c r="AM212" s="20"/>
      <c r="AN212" s="20"/>
      <c r="AO212" s="20"/>
      <c r="AP212" s="20"/>
      <c r="AQ212" s="10"/>
      <c r="AR212" s="10"/>
      <c r="AS212" s="10"/>
      <c r="AT212" s="20"/>
      <c r="AU212" s="20"/>
      <c r="AV212" s="20"/>
      <c r="AW212" s="20"/>
      <c r="AX212" s="10"/>
      <c r="AY212" s="10"/>
      <c r="AZ212" s="10"/>
      <c r="BA212" s="20"/>
      <c r="BB212" s="20"/>
      <c r="BC212" s="20"/>
      <c r="BD212" s="20"/>
      <c r="BE212" s="10"/>
      <c r="BF212" s="10"/>
      <c r="BG212" s="10"/>
      <c r="BH212" s="20"/>
      <c r="BI212" s="20"/>
      <c r="BJ212" s="20"/>
      <c r="BK212" s="20"/>
      <c r="BL212" s="10"/>
      <c r="BM212" s="10"/>
      <c r="BN212" s="10"/>
      <c r="BO212" s="20"/>
      <c r="BP212" s="20"/>
      <c r="BQ212" s="20"/>
      <c r="BR212" s="20"/>
      <c r="BS212" s="10"/>
      <c r="BT212" s="10"/>
      <c r="BU212" s="10"/>
      <c r="BV212" s="20"/>
      <c r="BW212" s="20"/>
      <c r="BX212" s="20"/>
      <c r="BY212" s="20"/>
      <c r="BZ212" s="10"/>
      <c r="CA212" s="10"/>
      <c r="CB212" s="10"/>
      <c r="CC212" s="20"/>
      <c r="CD212" s="20"/>
      <c r="CE212" s="20"/>
      <c r="CF212" s="20"/>
      <c r="CG212" s="10"/>
      <c r="CH212" s="10"/>
      <c r="CI212" s="10"/>
      <c r="CJ212" s="20"/>
      <c r="CK212" s="20"/>
      <c r="CL212" s="20"/>
      <c r="CM212" s="20"/>
      <c r="CN212" s="10"/>
      <c r="CO212" s="10"/>
      <c r="CP212" s="10"/>
      <c r="CQ212" s="20"/>
      <c r="CR212" s="20"/>
      <c r="CS212" s="20"/>
      <c r="CT212" s="20"/>
      <c r="CU212" s="10"/>
      <c r="CV212" s="10"/>
      <c r="CW212" s="10"/>
      <c r="CX212" s="20"/>
      <c r="CY212" s="20"/>
      <c r="CZ212" s="20"/>
      <c r="DA212" s="20"/>
      <c r="DB212" s="10"/>
      <c r="DC212" s="10"/>
      <c r="DD212" s="10"/>
      <c r="DE212" s="20"/>
      <c r="DF212" s="20"/>
      <c r="DG212" s="20"/>
      <c r="DH212" s="20"/>
      <c r="DI212" s="10"/>
      <c r="DJ212" s="10"/>
      <c r="DK212" s="10"/>
      <c r="DL212" s="20"/>
      <c r="DM212" s="20"/>
      <c r="DN212" s="20"/>
      <c r="DO212" s="20"/>
      <c r="DP212" s="10"/>
      <c r="DQ212" s="10"/>
      <c r="DR212" s="10"/>
      <c r="DS212" s="20"/>
      <c r="DT212" s="20"/>
      <c r="DU212" s="20"/>
      <c r="DV212" s="20"/>
      <c r="DW212" s="10"/>
      <c r="DX212" s="10"/>
      <c r="DY212" s="10"/>
      <c r="DZ212" s="20"/>
      <c r="EA212" s="20"/>
      <c r="EB212" s="20"/>
      <c r="EC212" s="20"/>
      <c r="ED212" s="10"/>
      <c r="EE212" s="10"/>
      <c r="EF212" s="10"/>
      <c r="EG212" s="20"/>
      <c r="EH212" s="20"/>
      <c r="EI212" s="20"/>
      <c r="EJ212" s="20"/>
      <c r="EK212" s="10"/>
      <c r="EL212" s="10"/>
      <c r="EM212" s="10"/>
      <c r="EN212" s="20"/>
      <c r="EO212" s="20"/>
      <c r="EP212" s="20"/>
      <c r="EQ212" s="20"/>
      <c r="ER212" s="10"/>
      <c r="ES212" s="10"/>
      <c r="ET212" s="10"/>
      <c r="EU212" s="20"/>
      <c r="EV212" s="20"/>
      <c r="EW212" s="20"/>
      <c r="EX212" s="20"/>
      <c r="EY212" s="10"/>
      <c r="EZ212" s="10"/>
      <c r="FA212" s="10"/>
      <c r="FB212" s="20"/>
      <c r="FC212" s="20"/>
      <c r="FD212" s="20"/>
      <c r="FE212" s="20"/>
      <c r="FF212" s="10"/>
      <c r="FG212" s="10"/>
      <c r="FH212" s="10"/>
      <c r="FI212" s="20"/>
      <c r="FJ212" s="20"/>
      <c r="FK212" s="20"/>
      <c r="FL212" s="20"/>
      <c r="FM212" s="10"/>
      <c r="FN212" s="10"/>
      <c r="FO212" s="10"/>
      <c r="FP212" s="20"/>
      <c r="FQ212" s="20"/>
      <c r="FR212" s="20"/>
      <c r="FS212" s="20"/>
      <c r="FT212" s="10"/>
      <c r="FU212" s="10"/>
      <c r="FV212" s="10"/>
      <c r="FW212" s="20"/>
      <c r="FX212" s="20"/>
      <c r="FY212" s="20"/>
      <c r="FZ212" s="20"/>
      <c r="GA212" s="10"/>
      <c r="GB212" s="10"/>
      <c r="GC212" s="10"/>
      <c r="GD212" s="20"/>
      <c r="GE212" s="20"/>
      <c r="GF212" s="20"/>
      <c r="GG212" s="20"/>
      <c r="GH212" s="10"/>
      <c r="GI212" s="10"/>
      <c r="GJ212" s="10"/>
      <c r="GK212" s="20"/>
      <c r="GL212" s="20"/>
      <c r="GM212" s="20"/>
      <c r="GN212" s="20"/>
      <c r="GO212" s="10"/>
      <c r="GP212" s="10"/>
      <c r="GQ212" s="10"/>
      <c r="GR212" s="20"/>
      <c r="GS212" s="20"/>
      <c r="GT212" s="20"/>
      <c r="GU212" s="20"/>
      <c r="GV212" s="10"/>
      <c r="GW212" s="10"/>
      <c r="GX212" s="10"/>
      <c r="GY212" s="20"/>
      <c r="GZ212" s="20"/>
      <c r="HA212" s="20"/>
      <c r="HB212" s="20"/>
      <c r="HC212" s="10"/>
      <c r="HD212" s="10"/>
      <c r="HE212" s="10"/>
      <c r="HF212" s="20"/>
      <c r="HG212" s="20"/>
      <c r="HH212" s="20"/>
      <c r="HI212" s="20"/>
      <c r="HJ212" s="10"/>
      <c r="HK212" s="10"/>
      <c r="HL212" s="10"/>
      <c r="HM212" s="20"/>
      <c r="HN212" s="20"/>
      <c r="HO212" s="20"/>
      <c r="HP212" s="20"/>
      <c r="HQ212" s="10"/>
      <c r="HR212" s="10"/>
      <c r="HS212" s="10"/>
      <c r="HT212" s="20"/>
      <c r="HU212" s="20"/>
      <c r="HV212" s="20"/>
      <c r="HW212" s="20"/>
      <c r="HX212" s="10"/>
      <c r="HY212" s="10"/>
      <c r="HZ212" s="10"/>
      <c r="IA212" s="20"/>
      <c r="IB212" s="20"/>
      <c r="IC212" s="20"/>
      <c r="ID212" s="20"/>
      <c r="IE212" s="10"/>
      <c r="IF212" s="10"/>
      <c r="IG212" s="10"/>
      <c r="IH212" s="20"/>
      <c r="II212" s="20"/>
      <c r="IJ212" s="20"/>
      <c r="IK212" s="20"/>
      <c r="IL212" s="10"/>
      <c r="IM212" s="10"/>
      <c r="IN212" s="10"/>
      <c r="IO212" s="20"/>
      <c r="IP212" s="20"/>
      <c r="IQ212" s="20"/>
      <c r="IR212" s="20"/>
      <c r="IS212" s="10"/>
      <c r="IT212" s="10"/>
      <c r="IU212" s="10"/>
      <c r="IV212" s="20"/>
      <c r="IW212" s="20"/>
      <c r="IX212" s="20"/>
      <c r="IY212" s="20"/>
      <c r="IZ212" s="10"/>
      <c r="JA212" s="10"/>
      <c r="JB212" s="10"/>
      <c r="JC212" s="20"/>
      <c r="JD212" s="20"/>
      <c r="JE212" s="20"/>
      <c r="JF212" s="20"/>
      <c r="JG212" s="10"/>
      <c r="JH212" s="10"/>
      <c r="JI212" s="10"/>
      <c r="JJ212" s="20"/>
      <c r="JK212" s="20"/>
      <c r="JL212" s="20"/>
      <c r="JM212" s="20"/>
      <c r="JN212" s="10"/>
      <c r="JO212" s="10"/>
      <c r="JP212" s="10"/>
      <c r="JQ212" s="20"/>
      <c r="JR212" s="20"/>
      <c r="JS212" s="20"/>
      <c r="JT212" s="20"/>
      <c r="JU212" s="10"/>
      <c r="JV212" s="10"/>
      <c r="JW212" s="10"/>
      <c r="JX212" s="20"/>
      <c r="JY212" s="20"/>
      <c r="JZ212" s="20"/>
      <c r="KA212" s="20"/>
      <c r="KB212" s="10"/>
      <c r="KC212" s="10"/>
      <c r="KD212" s="10"/>
      <c r="KE212" s="20"/>
      <c r="KF212" s="20"/>
      <c r="KG212" s="20"/>
      <c r="KH212" s="20"/>
      <c r="KI212" s="10"/>
      <c r="KJ212" s="10"/>
      <c r="KK212" s="10"/>
      <c r="KL212" s="20"/>
      <c r="KM212" s="20"/>
      <c r="KN212" s="20"/>
      <c r="KO212" s="20"/>
      <c r="KP212" s="10"/>
      <c r="KQ212" s="10"/>
      <c r="KR212" s="10"/>
      <c r="KS212" s="20"/>
      <c r="KT212" s="20"/>
      <c r="KU212" s="20"/>
      <c r="KV212" s="20"/>
      <c r="KW212" s="10"/>
      <c r="KX212" s="10"/>
      <c r="KY212" s="10"/>
      <c r="KZ212" s="20"/>
      <c r="LA212" s="20"/>
      <c r="LB212" s="20"/>
      <c r="LC212" s="20"/>
      <c r="LD212" s="10"/>
      <c r="LE212" s="10"/>
      <c r="LF212" s="10"/>
      <c r="LG212" s="20"/>
      <c r="LH212" s="20"/>
      <c r="LI212" s="20"/>
      <c r="LJ212" s="20"/>
      <c r="LK212" s="10"/>
      <c r="LL212" s="10"/>
      <c r="LM212" s="10"/>
      <c r="LN212" s="20"/>
      <c r="LO212" s="20"/>
      <c r="LP212" s="20"/>
      <c r="LQ212" s="20"/>
      <c r="LR212" s="10"/>
      <c r="LS212" s="10"/>
      <c r="LT212" s="10"/>
      <c r="LU212" s="20"/>
      <c r="LV212" s="20"/>
      <c r="LW212" s="20"/>
      <c r="LX212" s="20"/>
      <c r="LY212" s="10"/>
      <c r="LZ212" s="10"/>
      <c r="MA212" s="10"/>
      <c r="MB212" s="20"/>
      <c r="MC212" s="20"/>
      <c r="MD212" s="20"/>
      <c r="ME212" s="20"/>
      <c r="MF212" s="10"/>
      <c r="MG212" s="10"/>
      <c r="MH212" s="10"/>
      <c r="MI212" s="20"/>
      <c r="MJ212" s="20"/>
      <c r="MK212" s="20"/>
      <c r="ML212" s="20"/>
      <c r="MM212" s="10"/>
      <c r="MN212" s="10"/>
      <c r="MO212" s="10"/>
      <c r="MP212" s="20"/>
      <c r="MQ212" s="20"/>
      <c r="MR212" s="20"/>
      <c r="MS212" s="20"/>
      <c r="MT212" s="10"/>
      <c r="MU212" s="10"/>
      <c r="MV212" s="10"/>
      <c r="MW212" s="20"/>
      <c r="MX212" s="20"/>
      <c r="MY212" s="20"/>
      <c r="MZ212" s="20"/>
      <c r="NA212" s="10"/>
      <c r="NB212" s="10"/>
      <c r="NC212" s="10"/>
      <c r="ND212" s="20"/>
      <c r="NE212" s="20"/>
      <c r="NF212" s="20"/>
      <c r="NG212" s="20"/>
      <c r="NH212" s="10"/>
      <c r="NI212" s="10"/>
      <c r="NJ212" s="10"/>
      <c r="NK212" s="20"/>
      <c r="NL212" s="20"/>
      <c r="NM212" s="20"/>
      <c r="NN212" s="20"/>
      <c r="NO212" s="10"/>
      <c r="NP212" s="10"/>
      <c r="NQ212" s="10"/>
      <c r="NR212" s="20"/>
      <c r="NS212" s="20"/>
      <c r="NT212" s="20"/>
      <c r="NU212" s="20"/>
      <c r="NV212" s="10"/>
      <c r="NW212" s="10"/>
      <c r="NX212" s="10"/>
      <c r="NY212" s="20"/>
      <c r="NZ212" s="20"/>
      <c r="OA212" s="20"/>
      <c r="OB212" s="20"/>
      <c r="OC212" s="10"/>
      <c r="OD212" s="10"/>
      <c r="OE212" s="10"/>
      <c r="OF212" s="20"/>
      <c r="OG212" s="20"/>
      <c r="OH212" s="20"/>
      <c r="OI212" s="20"/>
      <c r="OJ212" s="10"/>
      <c r="OK212" s="10"/>
      <c r="OL212" s="10"/>
      <c r="OM212" s="20"/>
      <c r="ON212" s="20"/>
      <c r="OO212" s="20"/>
      <c r="OP212" s="20"/>
      <c r="OQ212" s="10"/>
      <c r="OR212" s="10"/>
      <c r="OS212" s="10"/>
      <c r="OT212" s="20"/>
      <c r="OU212" s="20"/>
      <c r="OV212" s="20"/>
      <c r="OW212" s="20"/>
      <c r="OX212" s="10"/>
      <c r="OY212" s="10"/>
      <c r="OZ212" s="10"/>
      <c r="PA212" s="20"/>
      <c r="PB212" s="20"/>
      <c r="PC212" s="20"/>
      <c r="PD212" s="20"/>
      <c r="PE212" s="10"/>
      <c r="PF212" s="10"/>
      <c r="PG212" s="10"/>
      <c r="PH212" s="20"/>
      <c r="PI212" s="20"/>
      <c r="PJ212" s="20"/>
      <c r="PK212" s="20"/>
      <c r="PL212" s="10"/>
      <c r="PM212" s="10"/>
    </row>
    <row r="213" spans="1:429" s="1" customFormat="1" ht="24" outlineLevel="1">
      <c r="B213" s="471"/>
      <c r="C213" s="7"/>
      <c r="D213" s="19"/>
      <c r="E213" s="19"/>
      <c r="F213" s="19"/>
      <c r="G213" s="19"/>
      <c r="I213" s="8"/>
      <c r="J213" s="7"/>
      <c r="K213" s="19"/>
      <c r="L213" s="19"/>
      <c r="M213" s="19"/>
      <c r="N213" s="19"/>
      <c r="P213" s="8"/>
      <c r="Q213" s="7"/>
      <c r="R213" s="19"/>
      <c r="S213" s="19"/>
      <c r="T213" s="19"/>
      <c r="U213" s="19"/>
      <c r="W213" s="8"/>
      <c r="X213" s="7"/>
      <c r="Y213" s="19"/>
      <c r="Z213" s="19"/>
      <c r="AA213" s="19"/>
      <c r="AB213" s="19"/>
      <c r="AD213" s="8"/>
      <c r="AE213" s="7"/>
      <c r="AF213" s="19"/>
      <c r="AG213" s="19"/>
      <c r="AH213" s="19"/>
      <c r="AI213" s="19"/>
      <c r="AK213" s="8"/>
      <c r="AL213" s="7"/>
      <c r="AM213" s="19"/>
      <c r="AN213" s="19"/>
      <c r="AO213" s="19"/>
      <c r="AP213" s="19"/>
      <c r="AR213" s="8"/>
      <c r="AS213" s="7"/>
      <c r="AT213" s="19"/>
      <c r="AU213" s="19"/>
      <c r="AV213" s="19"/>
      <c r="AW213" s="19"/>
      <c r="AY213" s="8"/>
      <c r="AZ213" s="7"/>
      <c r="BA213" s="19"/>
      <c r="BB213" s="19"/>
      <c r="BC213" s="19"/>
      <c r="BD213" s="19"/>
      <c r="BF213" s="8"/>
      <c r="BG213" s="7"/>
      <c r="BH213" s="19"/>
      <c r="BI213" s="19"/>
      <c r="BJ213" s="19"/>
      <c r="BK213" s="19"/>
      <c r="BM213" s="8"/>
      <c r="BN213" s="7"/>
      <c r="BO213" s="19"/>
      <c r="BP213" s="19"/>
      <c r="BQ213" s="19"/>
      <c r="BR213" s="19"/>
      <c r="BT213" s="8"/>
      <c r="BU213" s="7"/>
      <c r="BV213" s="19"/>
      <c r="BW213" s="19"/>
      <c r="BX213" s="19"/>
      <c r="BY213" s="19"/>
      <c r="CA213" s="8"/>
      <c r="CB213" s="7"/>
      <c r="CC213" s="19"/>
      <c r="CD213" s="19"/>
      <c r="CE213" s="19"/>
      <c r="CF213" s="19"/>
      <c r="CH213" s="8"/>
      <c r="CI213" s="7"/>
      <c r="CJ213" s="19"/>
      <c r="CK213" s="19"/>
      <c r="CL213" s="19"/>
      <c r="CM213" s="19"/>
      <c r="CO213" s="8"/>
      <c r="CP213" s="7"/>
      <c r="CQ213" s="19"/>
      <c r="CR213" s="19"/>
      <c r="CS213" s="19"/>
      <c r="CT213" s="19"/>
      <c r="CV213" s="8"/>
      <c r="CW213" s="7"/>
      <c r="CX213" s="19"/>
      <c r="CY213" s="19"/>
      <c r="CZ213" s="19"/>
      <c r="DA213" s="19"/>
      <c r="DC213" s="8"/>
      <c r="DD213" s="7"/>
      <c r="DE213" s="19"/>
      <c r="DF213" s="19"/>
      <c r="DG213" s="19"/>
      <c r="DH213" s="19"/>
      <c r="DJ213" s="8"/>
      <c r="DK213" s="7"/>
      <c r="DL213" s="19"/>
      <c r="DM213" s="19"/>
      <c r="DN213" s="19"/>
      <c r="DO213" s="19"/>
      <c r="DQ213" s="8"/>
      <c r="DR213" s="7"/>
      <c r="DS213" s="19"/>
      <c r="DT213" s="19"/>
      <c r="DU213" s="19"/>
      <c r="DV213" s="19"/>
      <c r="DX213" s="8"/>
      <c r="DY213" s="7"/>
      <c r="DZ213" s="19"/>
      <c r="EA213" s="19"/>
      <c r="EB213" s="19"/>
      <c r="EC213" s="19"/>
      <c r="EE213" s="8"/>
      <c r="EF213" s="7"/>
      <c r="EG213" s="19"/>
      <c r="EH213" s="19"/>
      <c r="EI213" s="19"/>
      <c r="EJ213" s="19"/>
      <c r="EL213" s="8"/>
      <c r="EM213" s="7"/>
      <c r="EN213" s="19"/>
      <c r="EO213" s="19"/>
      <c r="EP213" s="19"/>
      <c r="EQ213" s="19"/>
      <c r="ES213" s="8"/>
      <c r="ET213" s="7"/>
      <c r="EU213" s="19"/>
      <c r="EV213" s="19"/>
      <c r="EW213" s="19"/>
      <c r="EX213" s="19"/>
      <c r="EZ213" s="8"/>
      <c r="FA213" s="7"/>
      <c r="FB213" s="19"/>
      <c r="FC213" s="19"/>
      <c r="FD213" s="19"/>
      <c r="FE213" s="19"/>
      <c r="FG213" s="8"/>
      <c r="FH213" s="7"/>
      <c r="FI213" s="19"/>
      <c r="FJ213" s="19"/>
      <c r="FK213" s="19"/>
      <c r="FL213" s="19"/>
      <c r="FN213" s="8"/>
      <c r="FO213" s="7"/>
      <c r="FP213" s="19"/>
      <c r="FQ213" s="19"/>
      <c r="FR213" s="19"/>
      <c r="FS213" s="19"/>
      <c r="FU213" s="8"/>
      <c r="FV213" s="7"/>
      <c r="FW213" s="19"/>
      <c r="FX213" s="19"/>
      <c r="FY213" s="19"/>
      <c r="FZ213" s="19"/>
      <c r="GB213" s="8"/>
      <c r="GC213" s="7"/>
      <c r="GD213" s="19"/>
      <c r="GE213" s="19"/>
      <c r="GF213" s="19"/>
      <c r="GG213" s="19"/>
      <c r="GI213" s="8"/>
      <c r="GJ213" s="7"/>
      <c r="GK213" s="19"/>
      <c r="GL213" s="19"/>
      <c r="GM213" s="19"/>
      <c r="GN213" s="19"/>
      <c r="GP213" s="8"/>
      <c r="GQ213" s="7"/>
      <c r="GR213" s="19"/>
      <c r="GS213" s="19"/>
      <c r="GT213" s="19"/>
      <c r="GU213" s="19"/>
      <c r="GW213" s="8"/>
      <c r="GX213" s="7"/>
      <c r="GY213" s="19"/>
      <c r="GZ213" s="19"/>
      <c r="HA213" s="19"/>
      <c r="HB213" s="19"/>
      <c r="HD213" s="8"/>
      <c r="HE213" s="7"/>
      <c r="HF213" s="19"/>
      <c r="HG213" s="19"/>
      <c r="HH213" s="19"/>
      <c r="HI213" s="19"/>
      <c r="HK213" s="8"/>
      <c r="HL213" s="7"/>
      <c r="HM213" s="19"/>
      <c r="HN213" s="19"/>
      <c r="HO213" s="19"/>
      <c r="HP213" s="19"/>
      <c r="HR213" s="8"/>
      <c r="HS213" s="7"/>
      <c r="HT213" s="19"/>
      <c r="HU213" s="19"/>
      <c r="HV213" s="19"/>
      <c r="HW213" s="19"/>
      <c r="HY213" s="8"/>
      <c r="HZ213" s="7"/>
      <c r="IA213" s="19"/>
      <c r="IB213" s="19"/>
      <c r="IC213" s="19"/>
      <c r="ID213" s="19"/>
      <c r="IF213" s="8"/>
      <c r="IG213" s="7"/>
      <c r="IH213" s="19"/>
      <c r="II213" s="19"/>
      <c r="IJ213" s="19"/>
      <c r="IK213" s="19"/>
      <c r="IM213" s="8"/>
      <c r="IN213" s="7"/>
      <c r="IO213" s="19"/>
      <c r="IP213" s="19"/>
      <c r="IQ213" s="19"/>
      <c r="IR213" s="19"/>
      <c r="IT213" s="8"/>
      <c r="IU213" s="7"/>
      <c r="IV213" s="19"/>
      <c r="IW213" s="19"/>
      <c r="IX213" s="19"/>
      <c r="IY213" s="19"/>
      <c r="JA213" s="8"/>
      <c r="JB213" s="7"/>
      <c r="JC213" s="19"/>
      <c r="JD213" s="19"/>
      <c r="JE213" s="19"/>
      <c r="JF213" s="19"/>
      <c r="JH213" s="8"/>
      <c r="JI213" s="7"/>
      <c r="JJ213" s="19"/>
      <c r="JK213" s="19"/>
      <c r="JL213" s="19"/>
      <c r="JM213" s="19"/>
      <c r="JO213" s="8"/>
      <c r="JP213" s="7"/>
      <c r="JQ213" s="19"/>
      <c r="JR213" s="19"/>
      <c r="JS213" s="19"/>
      <c r="JT213" s="19"/>
      <c r="JV213" s="8"/>
      <c r="JW213" s="7"/>
      <c r="JX213" s="19"/>
      <c r="JY213" s="19"/>
      <c r="JZ213" s="19"/>
      <c r="KA213" s="19"/>
      <c r="KC213" s="8"/>
      <c r="KD213" s="7"/>
      <c r="KE213" s="19"/>
      <c r="KF213" s="19"/>
      <c r="KG213" s="19"/>
      <c r="KH213" s="19"/>
      <c r="KJ213" s="8"/>
      <c r="KK213" s="7"/>
      <c r="KL213" s="19"/>
      <c r="KM213" s="19"/>
      <c r="KN213" s="19"/>
      <c r="KO213" s="19"/>
      <c r="KQ213" s="8"/>
      <c r="KR213" s="7"/>
      <c r="KS213" s="19"/>
      <c r="KT213" s="19"/>
      <c r="KU213" s="19"/>
      <c r="KV213" s="19"/>
      <c r="KX213" s="8"/>
      <c r="KY213" s="7"/>
      <c r="KZ213" s="19"/>
      <c r="LA213" s="19"/>
      <c r="LB213" s="19"/>
      <c r="LC213" s="19"/>
      <c r="LE213" s="8"/>
      <c r="LF213" s="7"/>
      <c r="LG213" s="19"/>
      <c r="LH213" s="19"/>
      <c r="LI213" s="19"/>
      <c r="LJ213" s="19"/>
      <c r="LL213" s="8"/>
      <c r="LM213" s="7"/>
      <c r="LN213" s="19"/>
      <c r="LO213" s="19"/>
      <c r="LP213" s="19"/>
      <c r="LQ213" s="19"/>
      <c r="LS213" s="8"/>
      <c r="LT213" s="7"/>
      <c r="LU213" s="19"/>
      <c r="LV213" s="19"/>
      <c r="LW213" s="19"/>
      <c r="LX213" s="19"/>
      <c r="LZ213" s="8"/>
      <c r="MA213" s="7"/>
      <c r="MB213" s="19"/>
      <c r="MC213" s="19"/>
      <c r="MD213" s="19"/>
      <c r="ME213" s="19"/>
      <c r="MG213" s="8"/>
      <c r="MH213" s="7"/>
      <c r="MI213" s="19"/>
      <c r="MJ213" s="19"/>
      <c r="MK213" s="19"/>
      <c r="ML213" s="19"/>
      <c r="MN213" s="8"/>
      <c r="MO213" s="7"/>
      <c r="MP213" s="19"/>
      <c r="MQ213" s="19"/>
      <c r="MR213" s="19"/>
      <c r="MS213" s="19"/>
      <c r="MU213" s="8"/>
      <c r="MV213" s="7"/>
      <c r="MW213" s="19"/>
      <c r="MX213" s="19"/>
      <c r="MY213" s="19"/>
      <c r="MZ213" s="19"/>
      <c r="NB213" s="8"/>
      <c r="NC213" s="7"/>
      <c r="ND213" s="19"/>
      <c r="NE213" s="19"/>
      <c r="NF213" s="19"/>
      <c r="NG213" s="19"/>
      <c r="NI213" s="8"/>
      <c r="NJ213" s="7"/>
      <c r="NK213" s="19"/>
      <c r="NL213" s="19"/>
      <c r="NM213" s="19"/>
      <c r="NN213" s="19"/>
      <c r="NP213" s="8"/>
      <c r="NQ213" s="7"/>
      <c r="NR213" s="19"/>
      <c r="NS213" s="19"/>
      <c r="NT213" s="19"/>
      <c r="NU213" s="19"/>
      <c r="NW213" s="8"/>
      <c r="NX213" s="7"/>
      <c r="NY213" s="19"/>
      <c r="NZ213" s="19"/>
      <c r="OA213" s="19"/>
      <c r="OB213" s="19"/>
      <c r="OD213" s="8"/>
      <c r="OE213" s="7"/>
      <c r="OF213" s="19"/>
      <c r="OG213" s="19"/>
      <c r="OH213" s="19"/>
      <c r="OI213" s="19"/>
      <c r="OK213" s="8"/>
      <c r="OL213" s="7"/>
      <c r="OM213" s="19"/>
      <c r="ON213" s="19"/>
      <c r="OO213" s="19"/>
      <c r="OP213" s="19"/>
      <c r="OR213" s="8"/>
      <c r="OS213" s="7"/>
      <c r="OT213" s="19"/>
      <c r="OU213" s="19"/>
      <c r="OV213" s="19"/>
      <c r="OW213" s="19"/>
      <c r="OY213" s="8"/>
      <c r="OZ213" s="7"/>
      <c r="PA213" s="19"/>
      <c r="PB213" s="19"/>
      <c r="PC213" s="19"/>
      <c r="PD213" s="19"/>
      <c r="PF213" s="8"/>
      <c r="PG213" s="7"/>
      <c r="PH213" s="19"/>
      <c r="PI213" s="19"/>
      <c r="PJ213" s="19"/>
      <c r="PK213" s="19"/>
      <c r="PM213" s="8"/>
    </row>
    <row r="214" spans="1:429" s="1" customFormat="1" ht="24" outlineLevel="1">
      <c r="B214" s="471"/>
      <c r="C214" s="7"/>
      <c r="D214" s="19"/>
      <c r="E214" s="19"/>
      <c r="F214" s="19"/>
      <c r="G214" s="19"/>
      <c r="I214" s="8"/>
      <c r="J214" s="7"/>
      <c r="K214" s="19"/>
      <c r="L214" s="19"/>
      <c r="M214" s="19"/>
      <c r="N214" s="19"/>
      <c r="P214" s="8"/>
      <c r="Q214" s="7"/>
      <c r="R214" s="19"/>
      <c r="S214" s="19"/>
      <c r="T214" s="19"/>
      <c r="U214" s="19"/>
      <c r="W214" s="8"/>
      <c r="X214" s="7"/>
      <c r="Y214" s="19"/>
      <c r="Z214" s="19"/>
      <c r="AA214" s="19"/>
      <c r="AB214" s="19"/>
      <c r="AD214" s="8"/>
      <c r="AE214" s="7"/>
      <c r="AF214" s="19"/>
      <c r="AG214" s="19"/>
      <c r="AH214" s="19"/>
      <c r="AI214" s="19"/>
      <c r="AK214" s="8"/>
      <c r="AL214" s="7"/>
      <c r="AM214" s="19"/>
      <c r="AN214" s="19"/>
      <c r="AO214" s="19"/>
      <c r="AP214" s="19"/>
      <c r="AR214" s="8"/>
      <c r="AS214" s="7"/>
      <c r="AT214" s="19"/>
      <c r="AU214" s="19"/>
      <c r="AV214" s="19"/>
      <c r="AW214" s="19"/>
      <c r="AY214" s="8"/>
      <c r="AZ214" s="7"/>
      <c r="BA214" s="19"/>
      <c r="BB214" s="19"/>
      <c r="BC214" s="19"/>
      <c r="BD214" s="19"/>
      <c r="BF214" s="8"/>
      <c r="BG214" s="7"/>
      <c r="BH214" s="19"/>
      <c r="BI214" s="19"/>
      <c r="BJ214" s="19"/>
      <c r="BK214" s="19"/>
      <c r="BM214" s="8"/>
      <c r="BN214" s="7"/>
      <c r="BO214" s="19"/>
      <c r="BP214" s="19"/>
      <c r="BQ214" s="19"/>
      <c r="BR214" s="19"/>
      <c r="BT214" s="8"/>
      <c r="BU214" s="7"/>
      <c r="BV214" s="19"/>
      <c r="BW214" s="19"/>
      <c r="BX214" s="19"/>
      <c r="BY214" s="19"/>
      <c r="CA214" s="8"/>
      <c r="CB214" s="7"/>
      <c r="CC214" s="19"/>
      <c r="CD214" s="19"/>
      <c r="CE214" s="19"/>
      <c r="CF214" s="19"/>
      <c r="CH214" s="8"/>
      <c r="CI214" s="7"/>
      <c r="CJ214" s="19"/>
      <c r="CK214" s="19"/>
      <c r="CL214" s="19"/>
      <c r="CM214" s="19"/>
      <c r="CO214" s="8"/>
      <c r="CP214" s="7"/>
      <c r="CQ214" s="19"/>
      <c r="CR214" s="19"/>
      <c r="CS214" s="19"/>
      <c r="CT214" s="19"/>
      <c r="CV214" s="8"/>
      <c r="CW214" s="7"/>
      <c r="CX214" s="19"/>
      <c r="CY214" s="19"/>
      <c r="CZ214" s="19"/>
      <c r="DA214" s="19"/>
      <c r="DC214" s="8"/>
      <c r="DD214" s="7"/>
      <c r="DE214" s="19"/>
      <c r="DF214" s="19"/>
      <c r="DG214" s="19"/>
      <c r="DH214" s="19"/>
      <c r="DJ214" s="8"/>
      <c r="DK214" s="7"/>
      <c r="DL214" s="19"/>
      <c r="DM214" s="19"/>
      <c r="DN214" s="19"/>
      <c r="DO214" s="19"/>
      <c r="DQ214" s="8"/>
      <c r="DR214" s="7"/>
      <c r="DS214" s="19"/>
      <c r="DT214" s="19"/>
      <c r="DU214" s="19"/>
      <c r="DV214" s="19"/>
      <c r="DX214" s="8"/>
      <c r="DY214" s="7"/>
      <c r="DZ214" s="19"/>
      <c r="EA214" s="19"/>
      <c r="EB214" s="19"/>
      <c r="EC214" s="19"/>
      <c r="EE214" s="8"/>
      <c r="EF214" s="7"/>
      <c r="EG214" s="19"/>
      <c r="EH214" s="19"/>
      <c r="EI214" s="19"/>
      <c r="EJ214" s="19"/>
      <c r="EL214" s="8"/>
      <c r="EM214" s="7"/>
      <c r="EN214" s="19"/>
      <c r="EO214" s="19"/>
      <c r="EP214" s="19"/>
      <c r="EQ214" s="19"/>
      <c r="ES214" s="8"/>
      <c r="ET214" s="7"/>
      <c r="EU214" s="19"/>
      <c r="EV214" s="19"/>
      <c r="EW214" s="19"/>
      <c r="EX214" s="19"/>
      <c r="EZ214" s="8"/>
      <c r="FA214" s="7"/>
      <c r="FB214" s="19"/>
      <c r="FC214" s="19"/>
      <c r="FD214" s="19"/>
      <c r="FE214" s="19"/>
      <c r="FG214" s="8"/>
      <c r="FH214" s="7"/>
      <c r="FI214" s="19"/>
      <c r="FJ214" s="19"/>
      <c r="FK214" s="19"/>
      <c r="FL214" s="19"/>
      <c r="FN214" s="8"/>
      <c r="FO214" s="7"/>
      <c r="FP214" s="19"/>
      <c r="FQ214" s="19"/>
      <c r="FR214" s="19"/>
      <c r="FS214" s="19"/>
      <c r="FU214" s="8"/>
      <c r="FV214" s="7"/>
      <c r="FW214" s="19"/>
      <c r="FX214" s="19"/>
      <c r="FY214" s="19"/>
      <c r="FZ214" s="19"/>
      <c r="GB214" s="8"/>
      <c r="GC214" s="7"/>
      <c r="GD214" s="19"/>
      <c r="GE214" s="19"/>
      <c r="GF214" s="19"/>
      <c r="GG214" s="19"/>
      <c r="GI214" s="8"/>
      <c r="GJ214" s="7"/>
      <c r="GK214" s="19"/>
      <c r="GL214" s="19"/>
      <c r="GM214" s="19"/>
      <c r="GN214" s="19"/>
      <c r="GP214" s="8"/>
      <c r="GQ214" s="7"/>
      <c r="GR214" s="19"/>
      <c r="GS214" s="19"/>
      <c r="GT214" s="19"/>
      <c r="GU214" s="19"/>
      <c r="GW214" s="8"/>
      <c r="GX214" s="7"/>
      <c r="GY214" s="19"/>
      <c r="GZ214" s="19"/>
      <c r="HA214" s="19"/>
      <c r="HB214" s="19"/>
      <c r="HD214" s="8"/>
      <c r="HE214" s="7"/>
      <c r="HF214" s="19"/>
      <c r="HG214" s="19"/>
      <c r="HH214" s="19"/>
      <c r="HI214" s="19"/>
      <c r="HK214" s="8"/>
      <c r="HL214" s="7"/>
      <c r="HM214" s="19"/>
      <c r="HN214" s="19"/>
      <c r="HO214" s="19"/>
      <c r="HP214" s="19"/>
      <c r="HR214" s="8"/>
      <c r="HS214" s="7"/>
      <c r="HT214" s="19"/>
      <c r="HU214" s="19"/>
      <c r="HV214" s="19"/>
      <c r="HW214" s="19"/>
      <c r="HY214" s="8"/>
      <c r="HZ214" s="7"/>
      <c r="IA214" s="19"/>
      <c r="IB214" s="19"/>
      <c r="IC214" s="19"/>
      <c r="ID214" s="19"/>
      <c r="IF214" s="8"/>
      <c r="IG214" s="7"/>
      <c r="IH214" s="19"/>
      <c r="II214" s="19"/>
      <c r="IJ214" s="19"/>
      <c r="IK214" s="19"/>
      <c r="IM214" s="8"/>
      <c r="IN214" s="7"/>
      <c r="IO214" s="19"/>
      <c r="IP214" s="19"/>
      <c r="IQ214" s="19"/>
      <c r="IR214" s="19"/>
      <c r="IT214" s="8"/>
      <c r="IU214" s="7"/>
      <c r="IV214" s="19"/>
      <c r="IW214" s="19"/>
      <c r="IX214" s="19"/>
      <c r="IY214" s="19"/>
      <c r="JA214" s="8"/>
      <c r="JB214" s="7"/>
      <c r="JC214" s="19"/>
      <c r="JD214" s="19"/>
      <c r="JE214" s="19"/>
      <c r="JF214" s="19"/>
      <c r="JH214" s="8"/>
      <c r="JI214" s="7"/>
      <c r="JJ214" s="19"/>
      <c r="JK214" s="19"/>
      <c r="JL214" s="19"/>
      <c r="JM214" s="19"/>
      <c r="JO214" s="8"/>
      <c r="JP214" s="7"/>
      <c r="JQ214" s="19"/>
      <c r="JR214" s="19"/>
      <c r="JS214" s="19"/>
      <c r="JT214" s="19"/>
      <c r="JV214" s="8"/>
      <c r="JW214" s="7"/>
      <c r="JX214" s="19"/>
      <c r="JY214" s="19"/>
      <c r="JZ214" s="19"/>
      <c r="KA214" s="19"/>
      <c r="KC214" s="8"/>
      <c r="KD214" s="7"/>
      <c r="KE214" s="19"/>
      <c r="KF214" s="19"/>
      <c r="KG214" s="19"/>
      <c r="KH214" s="19"/>
      <c r="KJ214" s="8"/>
      <c r="KK214" s="7"/>
      <c r="KL214" s="19"/>
      <c r="KM214" s="19"/>
      <c r="KN214" s="19"/>
      <c r="KO214" s="19"/>
      <c r="KQ214" s="8"/>
      <c r="KR214" s="7"/>
      <c r="KS214" s="19"/>
      <c r="KT214" s="19"/>
      <c r="KU214" s="19"/>
      <c r="KV214" s="19"/>
      <c r="KX214" s="8"/>
      <c r="KY214" s="7"/>
      <c r="KZ214" s="19"/>
      <c r="LA214" s="19"/>
      <c r="LB214" s="19"/>
      <c r="LC214" s="19"/>
      <c r="LE214" s="8"/>
      <c r="LF214" s="7"/>
      <c r="LG214" s="19"/>
      <c r="LH214" s="19"/>
      <c r="LI214" s="19"/>
      <c r="LJ214" s="19"/>
      <c r="LL214" s="8"/>
      <c r="LM214" s="7"/>
      <c r="LN214" s="19"/>
      <c r="LO214" s="19"/>
      <c r="LP214" s="19"/>
      <c r="LQ214" s="19"/>
      <c r="LS214" s="8"/>
      <c r="LT214" s="7"/>
      <c r="LU214" s="19"/>
      <c r="LV214" s="19"/>
      <c r="LW214" s="19"/>
      <c r="LX214" s="19"/>
      <c r="LZ214" s="8"/>
      <c r="MA214" s="7"/>
      <c r="MB214" s="19"/>
      <c r="MC214" s="19"/>
      <c r="MD214" s="19"/>
      <c r="ME214" s="19"/>
      <c r="MG214" s="8"/>
      <c r="MH214" s="7"/>
      <c r="MI214" s="19"/>
      <c r="MJ214" s="19"/>
      <c r="MK214" s="19"/>
      <c r="ML214" s="19"/>
      <c r="MN214" s="8"/>
      <c r="MO214" s="7"/>
      <c r="MP214" s="19"/>
      <c r="MQ214" s="19"/>
      <c r="MR214" s="19"/>
      <c r="MS214" s="19"/>
      <c r="MU214" s="8"/>
      <c r="MV214" s="7"/>
      <c r="MW214" s="19"/>
      <c r="MX214" s="19"/>
      <c r="MY214" s="19"/>
      <c r="MZ214" s="19"/>
      <c r="NB214" s="8"/>
      <c r="NC214" s="7"/>
      <c r="ND214" s="19"/>
      <c r="NE214" s="19"/>
      <c r="NF214" s="19"/>
      <c r="NG214" s="19"/>
      <c r="NI214" s="8"/>
      <c r="NJ214" s="7"/>
      <c r="NK214" s="19"/>
      <c r="NL214" s="19"/>
      <c r="NM214" s="19"/>
      <c r="NN214" s="19"/>
      <c r="NP214" s="8"/>
      <c r="NQ214" s="7"/>
      <c r="NR214" s="19"/>
      <c r="NS214" s="19"/>
      <c r="NT214" s="19"/>
      <c r="NU214" s="19"/>
      <c r="NW214" s="8"/>
      <c r="NX214" s="7"/>
      <c r="NY214" s="19"/>
      <c r="NZ214" s="19"/>
      <c r="OA214" s="19"/>
      <c r="OB214" s="19"/>
      <c r="OD214" s="8"/>
      <c r="OE214" s="7"/>
      <c r="OF214" s="19"/>
      <c r="OG214" s="19"/>
      <c r="OH214" s="19"/>
      <c r="OI214" s="19"/>
      <c r="OK214" s="8"/>
      <c r="OL214" s="7"/>
      <c r="OM214" s="19"/>
      <c r="ON214" s="19"/>
      <c r="OO214" s="19"/>
      <c r="OP214" s="19"/>
      <c r="OR214" s="8"/>
      <c r="OS214" s="7"/>
      <c r="OT214" s="19"/>
      <c r="OU214" s="19"/>
      <c r="OV214" s="19"/>
      <c r="OW214" s="19"/>
      <c r="OY214" s="8"/>
      <c r="OZ214" s="7"/>
      <c r="PA214" s="19"/>
      <c r="PB214" s="19"/>
      <c r="PC214" s="19"/>
      <c r="PD214" s="19"/>
      <c r="PF214" s="8"/>
      <c r="PG214" s="7"/>
      <c r="PH214" s="19"/>
      <c r="PI214" s="19"/>
      <c r="PJ214" s="19"/>
      <c r="PK214" s="19"/>
      <c r="PM214" s="8"/>
    </row>
    <row r="215" spans="1:429" s="1" customFormat="1" ht="24" outlineLevel="1">
      <c r="B215" s="471"/>
      <c r="C215" s="7"/>
      <c r="D215" s="19"/>
      <c r="E215" s="19"/>
      <c r="F215" s="19"/>
      <c r="G215" s="19"/>
      <c r="I215" s="8"/>
      <c r="J215" s="7"/>
      <c r="K215" s="19"/>
      <c r="L215" s="19"/>
      <c r="M215" s="19"/>
      <c r="N215" s="19"/>
      <c r="P215" s="8"/>
      <c r="Q215" s="7"/>
      <c r="R215" s="19"/>
      <c r="S215" s="19"/>
      <c r="T215" s="19"/>
      <c r="U215" s="19"/>
      <c r="W215" s="8"/>
      <c r="X215" s="7"/>
      <c r="Y215" s="19"/>
      <c r="Z215" s="19"/>
      <c r="AA215" s="19"/>
      <c r="AB215" s="19"/>
      <c r="AD215" s="8"/>
      <c r="AE215" s="7"/>
      <c r="AF215" s="19"/>
      <c r="AG215" s="19"/>
      <c r="AH215" s="19"/>
      <c r="AI215" s="19"/>
      <c r="AK215" s="8"/>
      <c r="AL215" s="7"/>
      <c r="AM215" s="19"/>
      <c r="AN215" s="19"/>
      <c r="AO215" s="19"/>
      <c r="AP215" s="19"/>
      <c r="AR215" s="8"/>
      <c r="AS215" s="7"/>
      <c r="AT215" s="19"/>
      <c r="AU215" s="19"/>
      <c r="AV215" s="19"/>
      <c r="AW215" s="19"/>
      <c r="AY215" s="8"/>
      <c r="AZ215" s="7"/>
      <c r="BA215" s="19"/>
      <c r="BB215" s="19"/>
      <c r="BC215" s="19"/>
      <c r="BD215" s="19"/>
      <c r="BF215" s="8"/>
      <c r="BG215" s="7"/>
      <c r="BH215" s="19"/>
      <c r="BI215" s="19"/>
      <c r="BJ215" s="19"/>
      <c r="BK215" s="19"/>
      <c r="BM215" s="8"/>
      <c r="BN215" s="7"/>
      <c r="BO215" s="19"/>
      <c r="BP215" s="19"/>
      <c r="BQ215" s="19"/>
      <c r="BR215" s="19"/>
      <c r="BT215" s="8"/>
      <c r="BU215" s="7"/>
      <c r="BV215" s="19"/>
      <c r="BW215" s="19"/>
      <c r="BX215" s="19"/>
      <c r="BY215" s="19"/>
      <c r="CA215" s="8"/>
      <c r="CB215" s="7"/>
      <c r="CC215" s="19"/>
      <c r="CD215" s="19"/>
      <c r="CE215" s="19"/>
      <c r="CF215" s="19"/>
      <c r="CH215" s="8"/>
      <c r="CI215" s="7"/>
      <c r="CJ215" s="19"/>
      <c r="CK215" s="19"/>
      <c r="CL215" s="19"/>
      <c r="CM215" s="19"/>
      <c r="CO215" s="8"/>
      <c r="CP215" s="7"/>
      <c r="CQ215" s="19"/>
      <c r="CR215" s="19"/>
      <c r="CS215" s="19"/>
      <c r="CT215" s="19"/>
      <c r="CV215" s="8"/>
      <c r="CW215" s="7"/>
      <c r="CX215" s="19"/>
      <c r="CY215" s="19"/>
      <c r="CZ215" s="19"/>
      <c r="DA215" s="19"/>
      <c r="DC215" s="8"/>
      <c r="DD215" s="7"/>
      <c r="DE215" s="19"/>
      <c r="DF215" s="19"/>
      <c r="DG215" s="19"/>
      <c r="DH215" s="19"/>
      <c r="DJ215" s="8"/>
      <c r="DK215" s="7"/>
      <c r="DL215" s="19"/>
      <c r="DM215" s="19"/>
      <c r="DN215" s="19"/>
      <c r="DO215" s="19"/>
      <c r="DQ215" s="8"/>
      <c r="DR215" s="7"/>
      <c r="DS215" s="19"/>
      <c r="DT215" s="19"/>
      <c r="DU215" s="19"/>
      <c r="DV215" s="19"/>
      <c r="DX215" s="8"/>
      <c r="DY215" s="7"/>
      <c r="DZ215" s="19"/>
      <c r="EA215" s="19"/>
      <c r="EB215" s="19"/>
      <c r="EC215" s="19"/>
      <c r="EE215" s="8"/>
      <c r="EF215" s="7"/>
      <c r="EG215" s="19"/>
      <c r="EH215" s="19"/>
      <c r="EI215" s="19"/>
      <c r="EJ215" s="19"/>
      <c r="EL215" s="8"/>
      <c r="EM215" s="7"/>
      <c r="EN215" s="19"/>
      <c r="EO215" s="19"/>
      <c r="EP215" s="19"/>
      <c r="EQ215" s="19"/>
      <c r="ES215" s="8"/>
      <c r="ET215" s="7"/>
      <c r="EU215" s="19"/>
      <c r="EV215" s="19"/>
      <c r="EW215" s="19"/>
      <c r="EX215" s="19"/>
      <c r="EZ215" s="8"/>
      <c r="FA215" s="7"/>
      <c r="FB215" s="19"/>
      <c r="FC215" s="19"/>
      <c r="FD215" s="19"/>
      <c r="FE215" s="19"/>
      <c r="FG215" s="8"/>
      <c r="FH215" s="7"/>
      <c r="FI215" s="19"/>
      <c r="FJ215" s="19"/>
      <c r="FK215" s="19"/>
      <c r="FL215" s="19"/>
      <c r="FN215" s="8"/>
      <c r="FO215" s="7"/>
      <c r="FP215" s="19"/>
      <c r="FQ215" s="19"/>
      <c r="FR215" s="19"/>
      <c r="FS215" s="19"/>
      <c r="FU215" s="8"/>
      <c r="FV215" s="7"/>
      <c r="FW215" s="19"/>
      <c r="FX215" s="19"/>
      <c r="FY215" s="19"/>
      <c r="FZ215" s="19"/>
      <c r="GB215" s="8"/>
      <c r="GC215" s="7"/>
      <c r="GD215" s="19"/>
      <c r="GE215" s="19"/>
      <c r="GF215" s="19"/>
      <c r="GG215" s="19"/>
      <c r="GI215" s="8"/>
      <c r="GJ215" s="7"/>
      <c r="GK215" s="19"/>
      <c r="GL215" s="19"/>
      <c r="GM215" s="19"/>
      <c r="GN215" s="19"/>
      <c r="GP215" s="8"/>
      <c r="GQ215" s="7"/>
      <c r="GR215" s="19"/>
      <c r="GS215" s="19"/>
      <c r="GT215" s="19"/>
      <c r="GU215" s="19"/>
      <c r="GW215" s="8"/>
      <c r="GX215" s="7"/>
      <c r="GY215" s="19"/>
      <c r="GZ215" s="19"/>
      <c r="HA215" s="19"/>
      <c r="HB215" s="19"/>
      <c r="HD215" s="8"/>
      <c r="HE215" s="7"/>
      <c r="HF215" s="19"/>
      <c r="HG215" s="19"/>
      <c r="HH215" s="19"/>
      <c r="HI215" s="19"/>
      <c r="HK215" s="8"/>
      <c r="HL215" s="7"/>
      <c r="HM215" s="19"/>
      <c r="HN215" s="19"/>
      <c r="HO215" s="19"/>
      <c r="HP215" s="19"/>
      <c r="HR215" s="8"/>
      <c r="HS215" s="7"/>
      <c r="HT215" s="19"/>
      <c r="HU215" s="19"/>
      <c r="HV215" s="19"/>
      <c r="HW215" s="19"/>
      <c r="HY215" s="8"/>
      <c r="HZ215" s="7"/>
      <c r="IA215" s="19"/>
      <c r="IB215" s="19"/>
      <c r="IC215" s="19"/>
      <c r="ID215" s="19"/>
      <c r="IF215" s="8"/>
      <c r="IG215" s="7"/>
      <c r="IH215" s="19"/>
      <c r="II215" s="19"/>
      <c r="IJ215" s="19"/>
      <c r="IK215" s="19"/>
      <c r="IM215" s="8"/>
      <c r="IN215" s="7"/>
      <c r="IO215" s="19"/>
      <c r="IP215" s="19"/>
      <c r="IQ215" s="19"/>
      <c r="IR215" s="19"/>
      <c r="IT215" s="8"/>
      <c r="IU215" s="7"/>
      <c r="IV215" s="19"/>
      <c r="IW215" s="19"/>
      <c r="IX215" s="19"/>
      <c r="IY215" s="19"/>
      <c r="JA215" s="8"/>
      <c r="JB215" s="7"/>
      <c r="JC215" s="19"/>
      <c r="JD215" s="19"/>
      <c r="JE215" s="19"/>
      <c r="JF215" s="19"/>
      <c r="JH215" s="8"/>
      <c r="JI215" s="7"/>
      <c r="JJ215" s="19"/>
      <c r="JK215" s="19"/>
      <c r="JL215" s="19"/>
      <c r="JM215" s="19"/>
      <c r="JO215" s="8"/>
      <c r="JP215" s="7"/>
      <c r="JQ215" s="19"/>
      <c r="JR215" s="19"/>
      <c r="JS215" s="19"/>
      <c r="JT215" s="19"/>
      <c r="JV215" s="8"/>
      <c r="JW215" s="7"/>
      <c r="JX215" s="19"/>
      <c r="JY215" s="19"/>
      <c r="JZ215" s="19"/>
      <c r="KA215" s="19"/>
      <c r="KC215" s="8"/>
      <c r="KD215" s="7"/>
      <c r="KE215" s="19"/>
      <c r="KF215" s="19"/>
      <c r="KG215" s="19"/>
      <c r="KH215" s="19"/>
      <c r="KJ215" s="8"/>
      <c r="KK215" s="7"/>
      <c r="KL215" s="19"/>
      <c r="KM215" s="19"/>
      <c r="KN215" s="19"/>
      <c r="KO215" s="19"/>
      <c r="KQ215" s="8"/>
      <c r="KR215" s="7"/>
      <c r="KS215" s="19"/>
      <c r="KT215" s="19"/>
      <c r="KU215" s="19"/>
      <c r="KV215" s="19"/>
      <c r="KX215" s="8"/>
      <c r="KY215" s="7"/>
      <c r="KZ215" s="19"/>
      <c r="LA215" s="19"/>
      <c r="LB215" s="19"/>
      <c r="LC215" s="19"/>
      <c r="LE215" s="8"/>
      <c r="LF215" s="7"/>
      <c r="LG215" s="19"/>
      <c r="LH215" s="19"/>
      <c r="LI215" s="19"/>
      <c r="LJ215" s="19"/>
      <c r="LL215" s="8"/>
      <c r="LM215" s="7"/>
      <c r="LN215" s="19"/>
      <c r="LO215" s="19"/>
      <c r="LP215" s="19"/>
      <c r="LQ215" s="19"/>
      <c r="LS215" s="8"/>
      <c r="LT215" s="7"/>
      <c r="LU215" s="19"/>
      <c r="LV215" s="19"/>
      <c r="LW215" s="19"/>
      <c r="LX215" s="19"/>
      <c r="LZ215" s="8"/>
      <c r="MA215" s="7"/>
      <c r="MB215" s="19"/>
      <c r="MC215" s="19"/>
      <c r="MD215" s="19"/>
      <c r="ME215" s="19"/>
      <c r="MG215" s="8"/>
      <c r="MH215" s="7"/>
      <c r="MI215" s="19"/>
      <c r="MJ215" s="19"/>
      <c r="MK215" s="19"/>
      <c r="ML215" s="19"/>
      <c r="MN215" s="8"/>
      <c r="MO215" s="7"/>
      <c r="MP215" s="19"/>
      <c r="MQ215" s="19"/>
      <c r="MR215" s="19"/>
      <c r="MS215" s="19"/>
      <c r="MU215" s="8"/>
      <c r="MV215" s="7"/>
      <c r="MW215" s="19"/>
      <c r="MX215" s="19"/>
      <c r="MY215" s="19"/>
      <c r="MZ215" s="19"/>
      <c r="NB215" s="8"/>
      <c r="NC215" s="7"/>
      <c r="ND215" s="19"/>
      <c r="NE215" s="19"/>
      <c r="NF215" s="19"/>
      <c r="NG215" s="19"/>
      <c r="NI215" s="8"/>
      <c r="NJ215" s="7"/>
      <c r="NK215" s="19"/>
      <c r="NL215" s="19"/>
      <c r="NM215" s="19"/>
      <c r="NN215" s="19"/>
      <c r="NP215" s="8"/>
      <c r="NQ215" s="7"/>
      <c r="NR215" s="19"/>
      <c r="NS215" s="19"/>
      <c r="NT215" s="19"/>
      <c r="NU215" s="19"/>
      <c r="NW215" s="8"/>
      <c r="NX215" s="7"/>
      <c r="NY215" s="19"/>
      <c r="NZ215" s="19"/>
      <c r="OA215" s="19"/>
      <c r="OB215" s="19"/>
      <c r="OD215" s="8"/>
      <c r="OE215" s="7"/>
      <c r="OF215" s="19"/>
      <c r="OG215" s="19"/>
      <c r="OH215" s="19"/>
      <c r="OI215" s="19"/>
      <c r="OK215" s="8"/>
      <c r="OL215" s="7"/>
      <c r="OM215" s="19"/>
      <c r="ON215" s="19"/>
      <c r="OO215" s="19"/>
      <c r="OP215" s="19"/>
      <c r="OR215" s="8"/>
      <c r="OS215" s="7"/>
      <c r="OT215" s="19"/>
      <c r="OU215" s="19"/>
      <c r="OV215" s="19"/>
      <c r="OW215" s="19"/>
      <c r="OY215" s="8"/>
      <c r="OZ215" s="7"/>
      <c r="PA215" s="19"/>
      <c r="PB215" s="19"/>
      <c r="PC215" s="19"/>
      <c r="PD215" s="19"/>
      <c r="PF215" s="8"/>
      <c r="PG215" s="7"/>
      <c r="PH215" s="19"/>
      <c r="PI215" s="19"/>
      <c r="PJ215" s="19"/>
      <c r="PK215" s="19"/>
      <c r="PM215" s="8"/>
    </row>
    <row r="216" spans="1:429" s="1" customFormat="1" ht="24" outlineLevel="1">
      <c r="B216" s="471"/>
      <c r="C216" s="7"/>
      <c r="D216" s="19"/>
      <c r="E216" s="19"/>
      <c r="F216" s="19"/>
      <c r="G216" s="19"/>
      <c r="I216" s="8"/>
      <c r="J216" s="7"/>
      <c r="K216" s="19"/>
      <c r="L216" s="19"/>
      <c r="M216" s="19"/>
      <c r="N216" s="19"/>
      <c r="P216" s="8"/>
      <c r="Q216" s="7"/>
      <c r="R216" s="19"/>
      <c r="S216" s="19"/>
      <c r="T216" s="19"/>
      <c r="U216" s="19"/>
      <c r="W216" s="8"/>
      <c r="X216" s="7"/>
      <c r="Y216" s="19"/>
      <c r="Z216" s="19"/>
      <c r="AA216" s="19"/>
      <c r="AB216" s="19"/>
      <c r="AD216" s="8"/>
      <c r="AE216" s="7"/>
      <c r="AF216" s="19"/>
      <c r="AG216" s="19"/>
      <c r="AH216" s="19"/>
      <c r="AI216" s="19"/>
      <c r="AK216" s="8"/>
      <c r="AL216" s="7"/>
      <c r="AM216" s="19"/>
      <c r="AN216" s="19"/>
      <c r="AO216" s="19"/>
      <c r="AP216" s="19"/>
      <c r="AR216" s="8"/>
      <c r="AS216" s="7"/>
      <c r="AT216" s="19"/>
      <c r="AU216" s="19"/>
      <c r="AV216" s="19"/>
      <c r="AW216" s="19"/>
      <c r="AY216" s="8"/>
      <c r="AZ216" s="7"/>
      <c r="BA216" s="19"/>
      <c r="BB216" s="19"/>
      <c r="BC216" s="19"/>
      <c r="BD216" s="19"/>
      <c r="BF216" s="8"/>
      <c r="BG216" s="7"/>
      <c r="BH216" s="19"/>
      <c r="BI216" s="19"/>
      <c r="BJ216" s="19"/>
      <c r="BK216" s="19"/>
      <c r="BM216" s="8"/>
      <c r="BN216" s="7"/>
      <c r="BO216" s="19"/>
      <c r="BP216" s="19"/>
      <c r="BQ216" s="19"/>
      <c r="BR216" s="19"/>
      <c r="BT216" s="8"/>
      <c r="BU216" s="7"/>
      <c r="BV216" s="19"/>
      <c r="BW216" s="19"/>
      <c r="BX216" s="19"/>
      <c r="BY216" s="19"/>
      <c r="CA216" s="8"/>
      <c r="CB216" s="7"/>
      <c r="CC216" s="19"/>
      <c r="CD216" s="19"/>
      <c r="CE216" s="19"/>
      <c r="CF216" s="19"/>
      <c r="CH216" s="8"/>
      <c r="CI216" s="7"/>
      <c r="CJ216" s="19"/>
      <c r="CK216" s="19"/>
      <c r="CL216" s="19"/>
      <c r="CM216" s="19"/>
      <c r="CO216" s="8"/>
      <c r="CP216" s="7"/>
      <c r="CQ216" s="19"/>
      <c r="CR216" s="19"/>
      <c r="CS216" s="19"/>
      <c r="CT216" s="19"/>
      <c r="CV216" s="8"/>
      <c r="CW216" s="7"/>
      <c r="CX216" s="19"/>
      <c r="CY216" s="19"/>
      <c r="CZ216" s="19"/>
      <c r="DA216" s="19"/>
      <c r="DC216" s="8"/>
      <c r="DD216" s="7"/>
      <c r="DE216" s="19"/>
      <c r="DF216" s="19"/>
      <c r="DG216" s="19"/>
      <c r="DH216" s="19"/>
      <c r="DJ216" s="8"/>
      <c r="DK216" s="7"/>
      <c r="DL216" s="19"/>
      <c r="DM216" s="19"/>
      <c r="DN216" s="19"/>
      <c r="DO216" s="19"/>
      <c r="DQ216" s="8"/>
      <c r="DR216" s="7"/>
      <c r="DS216" s="19"/>
      <c r="DT216" s="19"/>
      <c r="DU216" s="19"/>
      <c r="DV216" s="19"/>
      <c r="DX216" s="8"/>
      <c r="DY216" s="7"/>
      <c r="DZ216" s="19"/>
      <c r="EA216" s="19"/>
      <c r="EB216" s="19"/>
      <c r="EC216" s="19"/>
      <c r="EE216" s="8"/>
      <c r="EF216" s="7"/>
      <c r="EG216" s="19"/>
      <c r="EH216" s="19"/>
      <c r="EI216" s="19"/>
      <c r="EJ216" s="19"/>
      <c r="EL216" s="8"/>
      <c r="EM216" s="7"/>
      <c r="EN216" s="19"/>
      <c r="EO216" s="19"/>
      <c r="EP216" s="19"/>
      <c r="EQ216" s="19"/>
      <c r="ES216" s="8"/>
      <c r="ET216" s="7"/>
      <c r="EU216" s="19"/>
      <c r="EV216" s="19"/>
      <c r="EW216" s="19"/>
      <c r="EX216" s="19"/>
      <c r="EZ216" s="8"/>
      <c r="FA216" s="7"/>
      <c r="FB216" s="19"/>
      <c r="FC216" s="19"/>
      <c r="FD216" s="19"/>
      <c r="FE216" s="19"/>
      <c r="FG216" s="8"/>
      <c r="FH216" s="7"/>
      <c r="FI216" s="19"/>
      <c r="FJ216" s="19"/>
      <c r="FK216" s="19"/>
      <c r="FL216" s="19"/>
      <c r="FN216" s="8"/>
      <c r="FO216" s="7"/>
      <c r="FP216" s="19"/>
      <c r="FQ216" s="19"/>
      <c r="FR216" s="19"/>
      <c r="FS216" s="19"/>
      <c r="FU216" s="8"/>
      <c r="FV216" s="7"/>
      <c r="FW216" s="19"/>
      <c r="FX216" s="19"/>
      <c r="FY216" s="19"/>
      <c r="FZ216" s="19"/>
      <c r="GB216" s="8"/>
      <c r="GC216" s="7"/>
      <c r="GD216" s="19"/>
      <c r="GE216" s="19"/>
      <c r="GF216" s="19"/>
      <c r="GG216" s="19"/>
      <c r="GI216" s="8"/>
      <c r="GJ216" s="7"/>
      <c r="GK216" s="19"/>
      <c r="GL216" s="19"/>
      <c r="GM216" s="19"/>
      <c r="GN216" s="19"/>
      <c r="GP216" s="8"/>
      <c r="GQ216" s="7"/>
      <c r="GR216" s="19"/>
      <c r="GS216" s="19"/>
      <c r="GT216" s="19"/>
      <c r="GU216" s="19"/>
      <c r="GW216" s="8"/>
      <c r="GX216" s="7"/>
      <c r="GY216" s="19"/>
      <c r="GZ216" s="19"/>
      <c r="HA216" s="19"/>
      <c r="HB216" s="19"/>
      <c r="HD216" s="8"/>
      <c r="HE216" s="7"/>
      <c r="HF216" s="19"/>
      <c r="HG216" s="19"/>
      <c r="HH216" s="19"/>
      <c r="HI216" s="19"/>
      <c r="HK216" s="8"/>
      <c r="HL216" s="7"/>
      <c r="HM216" s="19"/>
      <c r="HN216" s="19"/>
      <c r="HO216" s="19"/>
      <c r="HP216" s="19"/>
      <c r="HR216" s="8"/>
      <c r="HS216" s="7"/>
      <c r="HT216" s="19"/>
      <c r="HU216" s="19"/>
      <c r="HV216" s="19"/>
      <c r="HW216" s="19"/>
      <c r="HY216" s="8"/>
      <c r="HZ216" s="7"/>
      <c r="IA216" s="19"/>
      <c r="IB216" s="19"/>
      <c r="IC216" s="19"/>
      <c r="ID216" s="19"/>
      <c r="IF216" s="8"/>
      <c r="IG216" s="7"/>
      <c r="IH216" s="19"/>
      <c r="II216" s="19"/>
      <c r="IJ216" s="19"/>
      <c r="IK216" s="19"/>
      <c r="IM216" s="8"/>
      <c r="IN216" s="7"/>
      <c r="IO216" s="19"/>
      <c r="IP216" s="19"/>
      <c r="IQ216" s="19"/>
      <c r="IR216" s="19"/>
      <c r="IT216" s="8"/>
      <c r="IU216" s="7"/>
      <c r="IV216" s="19"/>
      <c r="IW216" s="19"/>
      <c r="IX216" s="19"/>
      <c r="IY216" s="19"/>
      <c r="JA216" s="8"/>
      <c r="JB216" s="7"/>
      <c r="JC216" s="19"/>
      <c r="JD216" s="19"/>
      <c r="JE216" s="19"/>
      <c r="JF216" s="19"/>
      <c r="JH216" s="8"/>
      <c r="JI216" s="7"/>
      <c r="JJ216" s="19"/>
      <c r="JK216" s="19"/>
      <c r="JL216" s="19"/>
      <c r="JM216" s="19"/>
      <c r="JO216" s="8"/>
      <c r="JP216" s="7"/>
      <c r="JQ216" s="19"/>
      <c r="JR216" s="19"/>
      <c r="JS216" s="19"/>
      <c r="JT216" s="19"/>
      <c r="JV216" s="8"/>
      <c r="JW216" s="7"/>
      <c r="JX216" s="19"/>
      <c r="JY216" s="19"/>
      <c r="JZ216" s="19"/>
      <c r="KA216" s="19"/>
      <c r="KC216" s="8"/>
      <c r="KD216" s="7"/>
      <c r="KE216" s="19"/>
      <c r="KF216" s="19"/>
      <c r="KG216" s="19"/>
      <c r="KH216" s="19"/>
      <c r="KJ216" s="8"/>
      <c r="KK216" s="7"/>
      <c r="KL216" s="19"/>
      <c r="KM216" s="19"/>
      <c r="KN216" s="19"/>
      <c r="KO216" s="19"/>
      <c r="KQ216" s="8"/>
      <c r="KR216" s="7"/>
      <c r="KS216" s="19"/>
      <c r="KT216" s="19"/>
      <c r="KU216" s="19"/>
      <c r="KV216" s="19"/>
      <c r="KX216" s="8"/>
      <c r="KY216" s="7"/>
      <c r="KZ216" s="19"/>
      <c r="LA216" s="19"/>
      <c r="LB216" s="19"/>
      <c r="LC216" s="19"/>
      <c r="LE216" s="8"/>
      <c r="LF216" s="7"/>
      <c r="LG216" s="19"/>
      <c r="LH216" s="19"/>
      <c r="LI216" s="19"/>
      <c r="LJ216" s="19"/>
      <c r="LL216" s="8"/>
      <c r="LM216" s="7"/>
      <c r="LN216" s="19"/>
      <c r="LO216" s="19"/>
      <c r="LP216" s="19"/>
      <c r="LQ216" s="19"/>
      <c r="LS216" s="8"/>
      <c r="LT216" s="7"/>
      <c r="LU216" s="19"/>
      <c r="LV216" s="19"/>
      <c r="LW216" s="19"/>
      <c r="LX216" s="19"/>
      <c r="LZ216" s="8"/>
      <c r="MA216" s="7"/>
      <c r="MB216" s="19"/>
      <c r="MC216" s="19"/>
      <c r="MD216" s="19"/>
      <c r="ME216" s="19"/>
      <c r="MG216" s="8"/>
      <c r="MH216" s="7"/>
      <c r="MI216" s="19"/>
      <c r="MJ216" s="19"/>
      <c r="MK216" s="19"/>
      <c r="ML216" s="19"/>
      <c r="MN216" s="8"/>
      <c r="MO216" s="7"/>
      <c r="MP216" s="19"/>
      <c r="MQ216" s="19"/>
      <c r="MR216" s="19"/>
      <c r="MS216" s="19"/>
      <c r="MU216" s="8"/>
      <c r="MV216" s="7"/>
      <c r="MW216" s="19"/>
      <c r="MX216" s="19"/>
      <c r="MY216" s="19"/>
      <c r="MZ216" s="19"/>
      <c r="NB216" s="8"/>
      <c r="NC216" s="7"/>
      <c r="ND216" s="19"/>
      <c r="NE216" s="19"/>
      <c r="NF216" s="19"/>
      <c r="NG216" s="19"/>
      <c r="NI216" s="8"/>
      <c r="NJ216" s="7"/>
      <c r="NK216" s="19"/>
      <c r="NL216" s="19"/>
      <c r="NM216" s="19"/>
      <c r="NN216" s="19"/>
      <c r="NP216" s="8"/>
      <c r="NQ216" s="7"/>
      <c r="NR216" s="19"/>
      <c r="NS216" s="19"/>
      <c r="NT216" s="19"/>
      <c r="NU216" s="19"/>
      <c r="NW216" s="8"/>
      <c r="NX216" s="7"/>
      <c r="NY216" s="19"/>
      <c r="NZ216" s="19"/>
      <c r="OA216" s="19"/>
      <c r="OB216" s="19"/>
      <c r="OD216" s="8"/>
      <c r="OE216" s="7"/>
      <c r="OF216" s="19"/>
      <c r="OG216" s="19"/>
      <c r="OH216" s="19"/>
      <c r="OI216" s="19"/>
      <c r="OK216" s="8"/>
      <c r="OL216" s="7"/>
      <c r="OM216" s="19"/>
      <c r="ON216" s="19"/>
      <c r="OO216" s="19"/>
      <c r="OP216" s="19"/>
      <c r="OR216" s="8"/>
      <c r="OS216" s="7"/>
      <c r="OT216" s="19"/>
      <c r="OU216" s="19"/>
      <c r="OV216" s="19"/>
      <c r="OW216" s="19"/>
      <c r="OY216" s="8"/>
      <c r="OZ216" s="7"/>
      <c r="PA216" s="19"/>
      <c r="PB216" s="19"/>
      <c r="PC216" s="19"/>
      <c r="PD216" s="19"/>
      <c r="PF216" s="8"/>
      <c r="PG216" s="7"/>
      <c r="PH216" s="19"/>
      <c r="PI216" s="19"/>
      <c r="PJ216" s="19"/>
      <c r="PK216" s="19"/>
      <c r="PM216" s="8"/>
    </row>
    <row r="217" spans="1:429"/>
    <row r="218" spans="1:429"/>
    <row r="219" spans="1:429"/>
    <row r="220" spans="1:429"/>
    <row r="221" spans="1:429"/>
    <row r="222" spans="1:429"/>
    <row r="223" spans="1:429"/>
    <row r="224" spans="1:429"/>
    <row r="225" s="473" customFormat="1"/>
    <row r="226" s="473" customFormat="1"/>
    <row r="227" s="473" customFormat="1"/>
    <row r="228" s="473" customFormat="1"/>
    <row r="229" s="473" customFormat="1"/>
    <row r="230" s="473" customFormat="1"/>
    <row r="231" s="473" customFormat="1"/>
    <row r="232" s="473" customFormat="1"/>
    <row r="233" s="473" customFormat="1"/>
    <row r="234" s="473" customFormat="1"/>
    <row r="235" s="473" customFormat="1"/>
    <row r="236" s="473" customFormat="1"/>
    <row r="237" s="473" customFormat="1"/>
    <row r="238" s="473" customFormat="1"/>
    <row r="239" s="473" customFormat="1" ht="15" customHeight="1"/>
    <row r="240" s="473" customFormat="1" ht="15" customHeight="1"/>
    <row r="241" s="473" customFormat="1" ht="15" customHeight="1"/>
    <row r="242" s="473" customFormat="1" ht="15" customHeight="1"/>
    <row r="243" s="473" customFormat="1" ht="15" customHeight="1"/>
    <row r="244" s="473" customFormat="1" ht="15" customHeight="1"/>
    <row r="245" s="473" customFormat="1" ht="15" customHeight="1"/>
    <row r="246" s="473" customFormat="1" ht="15" customHeight="1"/>
    <row r="247" s="473" customFormat="1" ht="15" customHeight="1"/>
    <row r="248" s="473" customFormat="1" ht="15" customHeight="1"/>
    <row r="249" s="473" customFormat="1" ht="15" customHeight="1"/>
    <row r="250" s="473" customFormat="1" ht="15" customHeight="1"/>
    <row r="251" s="473" customFormat="1" ht="15" customHeight="1"/>
    <row r="252" s="473" customFormat="1" ht="15" customHeight="1"/>
    <row r="253" s="473" customFormat="1" ht="15" customHeight="1"/>
    <row r="254" s="473" customFormat="1" ht="15" customHeight="1"/>
    <row r="255" s="473" customFormat="1" ht="15" customHeight="1"/>
    <row r="256" s="473" customFormat="1" ht="15" customHeight="1"/>
    <row r="257" s="473" customFormat="1" ht="15" customHeight="1"/>
    <row r="258" s="473" customFormat="1" ht="15" customHeight="1"/>
    <row r="259" s="473" customFormat="1" ht="15" customHeight="1"/>
    <row r="260" s="473" customFormat="1" ht="15" customHeight="1"/>
    <row r="261" s="473" customFormat="1" ht="15" customHeight="1"/>
    <row r="262" s="473" customFormat="1" ht="15" customHeight="1"/>
    <row r="263" s="473" customFormat="1" ht="15" customHeight="1"/>
    <row r="264" s="473" customFormat="1" ht="15" customHeight="1"/>
    <row r="265" s="473" customFormat="1" ht="15" customHeight="1"/>
    <row r="266" s="473" customFormat="1" ht="15" customHeight="1"/>
    <row r="267" s="473" customFormat="1" ht="15" customHeight="1"/>
    <row r="268" s="473" customFormat="1" ht="15" customHeight="1"/>
    <row r="269" s="473" customFormat="1" ht="15" customHeight="1"/>
    <row r="270" s="473" customFormat="1" ht="15" customHeight="1"/>
    <row r="271" s="473" customFormat="1" ht="15" customHeight="1"/>
    <row r="272" s="473" customFormat="1" ht="15" customHeight="1"/>
    <row r="273" s="473" customFormat="1" ht="15" customHeight="1"/>
    <row r="274" s="473" customFormat="1" ht="15" customHeight="1"/>
    <row r="275" s="473" customFormat="1" ht="15" customHeight="1"/>
    <row r="276" s="473" customFormat="1" ht="15" customHeight="1"/>
    <row r="277" s="473" customFormat="1" ht="15" customHeight="1"/>
    <row r="278" s="473" customFormat="1" ht="15" customHeight="1"/>
    <row r="279" s="473" customFormat="1" ht="15" customHeight="1"/>
    <row r="280" s="473" customFormat="1" ht="15" customHeight="1"/>
    <row r="281" s="473" customFormat="1" ht="15" customHeight="1"/>
    <row r="282" s="473" customFormat="1" ht="15" customHeight="1"/>
    <row r="283" s="473" customFormat="1" ht="15" customHeight="1"/>
    <row r="284" s="473" customFormat="1" ht="15" customHeight="1"/>
    <row r="285" s="473" customFormat="1" ht="15" customHeight="1"/>
    <row r="286" s="473" customFormat="1" ht="15" customHeight="1"/>
    <row r="287" s="473" customFormat="1" ht="15" customHeight="1"/>
    <row r="288" s="473" customFormat="1" ht="15" customHeight="1"/>
    <row r="289" s="473" customFormat="1" ht="15" customHeight="1"/>
    <row r="290" s="473" customFormat="1" ht="15" customHeight="1"/>
    <row r="291" s="473" customFormat="1" ht="15" customHeight="1"/>
    <row r="292" s="473" customFormat="1" ht="15" customHeight="1"/>
    <row r="293" s="473" customFormat="1" ht="15" customHeight="1"/>
    <row r="294" s="473" customFormat="1" ht="15" customHeight="1"/>
    <row r="295" s="473" customFormat="1" ht="15" customHeight="1"/>
    <row r="296" s="473" customFormat="1" ht="15" customHeight="1"/>
    <row r="297" s="473" customFormat="1" ht="15" customHeight="1"/>
    <row r="298" s="473" customFormat="1" ht="15" customHeight="1"/>
    <row r="299" s="473" customFormat="1" ht="15" customHeight="1"/>
    <row r="300" s="473" customFormat="1" ht="15" customHeight="1"/>
    <row r="301" s="473" customFormat="1" ht="15" customHeight="1"/>
    <row r="302" s="473" customFormat="1" ht="15" customHeight="1"/>
    <row r="303" s="473" customFormat="1" ht="15" customHeight="1"/>
    <row r="304" s="473" customFormat="1" ht="15" customHeight="1"/>
    <row r="305" s="473" customFormat="1" ht="15" customHeight="1"/>
    <row r="306" s="473" customFormat="1" ht="15" customHeight="1"/>
    <row r="307" s="473" customFormat="1" ht="15" customHeight="1"/>
    <row r="308" s="473" customFormat="1" ht="15" customHeight="1"/>
    <row r="309" s="473" customFormat="1" ht="15" customHeight="1"/>
    <row r="310" s="473" customFormat="1" ht="15" customHeight="1"/>
    <row r="311" s="473" customFormat="1" ht="15" customHeight="1"/>
    <row r="312" s="473" customFormat="1" ht="15" customHeight="1"/>
    <row r="313" s="473" customFormat="1" ht="15" customHeight="1"/>
    <row r="314" s="473" customFormat="1" ht="15" customHeight="1"/>
    <row r="315" s="473" customFormat="1" ht="15" customHeight="1"/>
    <row r="316" s="473" customFormat="1" ht="15" customHeight="1"/>
    <row r="317" s="473" customFormat="1" ht="15" customHeight="1"/>
    <row r="318" s="473" customFormat="1" ht="15" customHeight="1"/>
    <row r="319" s="473" customFormat="1" ht="15" customHeight="1"/>
    <row r="320" s="473" customFormat="1" ht="15" customHeight="1"/>
    <row r="321" s="473" customFormat="1" ht="15" customHeight="1"/>
    <row r="322" s="473" customFormat="1" ht="15" customHeight="1"/>
    <row r="323" s="473" customFormat="1" ht="15" customHeight="1"/>
    <row r="324" s="473" customFormat="1" ht="15" customHeight="1"/>
    <row r="325" s="473" customFormat="1" ht="15" customHeight="1"/>
    <row r="326" s="473" customFormat="1" ht="15" customHeight="1"/>
    <row r="327" s="473" customFormat="1" ht="15" customHeight="1"/>
    <row r="328" s="473" customFormat="1" ht="15" customHeight="1"/>
    <row r="329" s="473" customFormat="1" ht="15" customHeight="1"/>
    <row r="330" s="473" customFormat="1" ht="15" customHeight="1"/>
    <row r="331" s="473" customFormat="1" ht="15" customHeight="1"/>
    <row r="332" s="473" customFormat="1" ht="15" customHeight="1"/>
    <row r="333" s="473" customFormat="1" ht="15" customHeight="1"/>
    <row r="334" s="473" customFormat="1" ht="15" customHeight="1"/>
    <row r="335" s="473" customFormat="1" ht="15" customHeight="1"/>
    <row r="336" s="473" customFormat="1" ht="15" customHeight="1"/>
    <row r="337" s="473" customFormat="1" ht="15" customHeight="1"/>
    <row r="338" s="473" customFormat="1" ht="15" customHeight="1"/>
    <row r="339" s="473" customFormat="1" ht="15" customHeight="1"/>
    <row r="340" s="473" customFormat="1" ht="15" customHeight="1"/>
    <row r="341" s="473" customFormat="1" ht="15" customHeight="1"/>
    <row r="342" s="473" customFormat="1" ht="15" customHeight="1"/>
    <row r="343" s="473" customFormat="1" ht="15" customHeight="1"/>
    <row r="344" s="473" customFormat="1" ht="15" customHeight="1"/>
    <row r="345" s="473" customFormat="1" ht="15" customHeight="1"/>
    <row r="346" s="473" customFormat="1" ht="15" customHeight="1"/>
    <row r="347" s="473" customFormat="1" ht="15" customHeight="1"/>
    <row r="348" s="473" customFormat="1" ht="15" customHeight="1"/>
    <row r="349" s="473" customFormat="1" ht="15" customHeight="1"/>
    <row r="350" s="473" customFormat="1" ht="15" customHeight="1"/>
  </sheetData>
  <mergeCells count="12931">
    <mergeCell ref="KE53:KH53"/>
    <mergeCell ref="KL53:KO53"/>
    <mergeCell ref="KS53:KV53"/>
    <mergeCell ref="KZ53:LC53"/>
    <mergeCell ref="LG53:LJ53"/>
    <mergeCell ref="LN53:LQ53"/>
    <mergeCell ref="LU53:LX53"/>
    <mergeCell ref="MB53:ME53"/>
    <mergeCell ref="MI53:ML53"/>
    <mergeCell ref="MP53:MS53"/>
    <mergeCell ref="MW53:MZ53"/>
    <mergeCell ref="ND53:NG53"/>
    <mergeCell ref="NK53:NN53"/>
    <mergeCell ref="NR53:NU53"/>
    <mergeCell ref="NY53:OB53"/>
    <mergeCell ref="OF53:OI53"/>
    <mergeCell ref="OM53:OP53"/>
    <mergeCell ref="OT53:OW53"/>
    <mergeCell ref="PA53:PD53"/>
    <mergeCell ref="PH53:PK53"/>
    <mergeCell ref="DL32:DO32"/>
    <mergeCell ref="DS32:DV32"/>
    <mergeCell ref="EF43:EL43"/>
    <mergeCell ref="EM43:ES43"/>
    <mergeCell ref="ET43:EZ43"/>
    <mergeCell ref="JJ52:JM52"/>
    <mergeCell ref="JQ52:JT52"/>
    <mergeCell ref="JX52:KA52"/>
    <mergeCell ref="KE52:KH52"/>
    <mergeCell ref="KL52:KO52"/>
    <mergeCell ref="KS52:KV52"/>
    <mergeCell ref="KZ52:LC52"/>
    <mergeCell ref="LG52:LJ52"/>
    <mergeCell ref="LN52:LQ52"/>
    <mergeCell ref="LU52:LX52"/>
    <mergeCell ref="MB52:ME52"/>
    <mergeCell ref="MI52:ML52"/>
    <mergeCell ref="MP52:MS52"/>
    <mergeCell ref="MW52:MZ52"/>
    <mergeCell ref="ND52:NG52"/>
    <mergeCell ref="NK52:NN52"/>
    <mergeCell ref="NR52:NU52"/>
    <mergeCell ref="NY52:OB52"/>
    <mergeCell ref="OF52:OI52"/>
    <mergeCell ref="OM52:OP52"/>
    <mergeCell ref="OT52:OW52"/>
    <mergeCell ref="PA52:PD52"/>
    <mergeCell ref="PH52:PK52"/>
    <mergeCell ref="D53:G53"/>
    <mergeCell ref="K53:N53"/>
    <mergeCell ref="R53:U53"/>
    <mergeCell ref="Y53:AB53"/>
    <mergeCell ref="AF53:AI53"/>
    <mergeCell ref="AM53:AP53"/>
    <mergeCell ref="AT53:AW53"/>
    <mergeCell ref="BA53:BD53"/>
    <mergeCell ref="BH53:BK53"/>
    <mergeCell ref="BO53:BR53"/>
    <mergeCell ref="BV53:BY53"/>
    <mergeCell ref="CC53:CF53"/>
    <mergeCell ref="CJ53:CM53"/>
    <mergeCell ref="CQ53:CT53"/>
    <mergeCell ref="CX53:DA53"/>
    <mergeCell ref="DE53:DH53"/>
    <mergeCell ref="DL53:DO53"/>
    <mergeCell ref="DS53:DV53"/>
    <mergeCell ref="DZ53:EC53"/>
    <mergeCell ref="EG53:EJ53"/>
    <mergeCell ref="EN53:EQ53"/>
    <mergeCell ref="EU53:EX53"/>
    <mergeCell ref="FB53:FE53"/>
    <mergeCell ref="FI53:FL53"/>
    <mergeCell ref="FP53:FS53"/>
    <mergeCell ref="FW53:FZ53"/>
    <mergeCell ref="GD53:GG53"/>
    <mergeCell ref="GK53:GN53"/>
    <mergeCell ref="GR53:GU53"/>
    <mergeCell ref="GY53:HB53"/>
    <mergeCell ref="HF53:HI53"/>
    <mergeCell ref="HM53:HP53"/>
    <mergeCell ref="HT53:HW53"/>
    <mergeCell ref="IA53:ID53"/>
    <mergeCell ref="IH53:IK53"/>
    <mergeCell ref="IO53:IR53"/>
    <mergeCell ref="IV53:IY53"/>
    <mergeCell ref="JC53:JF53"/>
    <mergeCell ref="JJ53:JM53"/>
    <mergeCell ref="JQ53:JT53"/>
    <mergeCell ref="JX53:KA53"/>
    <mergeCell ref="K52:N52"/>
    <mergeCell ref="R52:U52"/>
    <mergeCell ref="Y52:AB52"/>
    <mergeCell ref="AF52:AI52"/>
    <mergeCell ref="AM52:AP52"/>
    <mergeCell ref="AT52:AW52"/>
    <mergeCell ref="BA52:BD52"/>
    <mergeCell ref="BH52:BK52"/>
    <mergeCell ref="BO52:BR52"/>
    <mergeCell ref="BV52:BY52"/>
    <mergeCell ref="CC52:CF52"/>
    <mergeCell ref="CJ52:CM52"/>
    <mergeCell ref="CQ52:CT52"/>
    <mergeCell ref="CX52:DA52"/>
    <mergeCell ref="DE52:DH52"/>
    <mergeCell ref="DL52:DO52"/>
    <mergeCell ref="DS52:DV52"/>
    <mergeCell ref="DZ52:EC52"/>
    <mergeCell ref="EG52:EJ52"/>
    <mergeCell ref="EN52:EQ52"/>
    <mergeCell ref="EU52:EX52"/>
    <mergeCell ref="FB52:FE52"/>
    <mergeCell ref="FI52:FL52"/>
    <mergeCell ref="FP52:FS52"/>
    <mergeCell ref="FW52:FZ52"/>
    <mergeCell ref="GD52:GG52"/>
    <mergeCell ref="GK52:GN52"/>
    <mergeCell ref="GR52:GU52"/>
    <mergeCell ref="GY52:HB52"/>
    <mergeCell ref="HF52:HI52"/>
    <mergeCell ref="HM52:HP52"/>
    <mergeCell ref="HT52:HW52"/>
    <mergeCell ref="IA52:ID52"/>
    <mergeCell ref="KE50:KH50"/>
    <mergeCell ref="KL50:KO50"/>
    <mergeCell ref="KS50:KV50"/>
    <mergeCell ref="KZ50:LC50"/>
    <mergeCell ref="LG50:LJ50"/>
    <mergeCell ref="LN50:LQ50"/>
    <mergeCell ref="LU50:LX50"/>
    <mergeCell ref="MB50:ME50"/>
    <mergeCell ref="MI50:ML50"/>
    <mergeCell ref="MP50:MS50"/>
    <mergeCell ref="MW50:MZ50"/>
    <mergeCell ref="ND50:NG50"/>
    <mergeCell ref="NK50:NN50"/>
    <mergeCell ref="NR50:NU50"/>
    <mergeCell ref="NY50:OB50"/>
    <mergeCell ref="OF50:OI50"/>
    <mergeCell ref="OM50:OP50"/>
    <mergeCell ref="OT50:OW50"/>
    <mergeCell ref="PA50:PD50"/>
    <mergeCell ref="PH50:PK50"/>
    <mergeCell ref="D51:G51"/>
    <mergeCell ref="K51:N51"/>
    <mergeCell ref="R51:U51"/>
    <mergeCell ref="Y51:AB51"/>
    <mergeCell ref="AF51:AI51"/>
    <mergeCell ref="AM51:AP51"/>
    <mergeCell ref="AT51:AW51"/>
    <mergeCell ref="BA51:BD51"/>
    <mergeCell ref="BH51:BK51"/>
    <mergeCell ref="BO51:BR51"/>
    <mergeCell ref="BV51:BY51"/>
    <mergeCell ref="CC51:CF51"/>
    <mergeCell ref="CJ51:CM51"/>
    <mergeCell ref="CQ51:CT51"/>
    <mergeCell ref="CX51:DA51"/>
    <mergeCell ref="DE51:DH51"/>
    <mergeCell ref="DL51:DO51"/>
    <mergeCell ref="DS51:DV51"/>
    <mergeCell ref="DZ51:EC51"/>
    <mergeCell ref="EG51:EJ51"/>
    <mergeCell ref="EN51:EQ51"/>
    <mergeCell ref="EU51:EX51"/>
    <mergeCell ref="FB51:FE51"/>
    <mergeCell ref="FI51:FL51"/>
    <mergeCell ref="FP51:FS51"/>
    <mergeCell ref="FW51:FZ51"/>
    <mergeCell ref="GD51:GG51"/>
    <mergeCell ref="GK51:GN51"/>
    <mergeCell ref="GR51:GU51"/>
    <mergeCell ref="GY51:HB51"/>
    <mergeCell ref="HF51:HI51"/>
    <mergeCell ref="HM51:HP51"/>
    <mergeCell ref="HT51:HW51"/>
    <mergeCell ref="IA51:ID51"/>
    <mergeCell ref="IH51:IK51"/>
    <mergeCell ref="IO51:IR51"/>
    <mergeCell ref="IV51:IY51"/>
    <mergeCell ref="JC51:JF51"/>
    <mergeCell ref="JJ51:JM51"/>
    <mergeCell ref="JQ51:JT51"/>
    <mergeCell ref="JX51:KA51"/>
    <mergeCell ref="KE51:KH51"/>
    <mergeCell ref="KL51:KO51"/>
    <mergeCell ref="KS51:KV51"/>
    <mergeCell ref="JJ49:JM49"/>
    <mergeCell ref="JQ49:JT49"/>
    <mergeCell ref="JX49:KA49"/>
    <mergeCell ref="KE49:KH49"/>
    <mergeCell ref="KL49:KO49"/>
    <mergeCell ref="KS49:KV49"/>
    <mergeCell ref="KZ49:LC49"/>
    <mergeCell ref="LG49:LJ49"/>
    <mergeCell ref="LN49:LQ49"/>
    <mergeCell ref="LU49:LX49"/>
    <mergeCell ref="MB49:ME49"/>
    <mergeCell ref="MI49:ML49"/>
    <mergeCell ref="MP49:MS49"/>
    <mergeCell ref="MW49:MZ49"/>
    <mergeCell ref="ND49:NG49"/>
    <mergeCell ref="NK49:NN49"/>
    <mergeCell ref="NR49:NU49"/>
    <mergeCell ref="NY49:OB49"/>
    <mergeCell ref="OF49:OI49"/>
    <mergeCell ref="OM49:OP49"/>
    <mergeCell ref="OT49:OW49"/>
    <mergeCell ref="PA49:PD49"/>
    <mergeCell ref="PH49:PK49"/>
    <mergeCell ref="D50:G50"/>
    <mergeCell ref="K50:N50"/>
    <mergeCell ref="R50:U50"/>
    <mergeCell ref="Y50:AB50"/>
    <mergeCell ref="AF50:AI50"/>
    <mergeCell ref="AM50:AP50"/>
    <mergeCell ref="AT50:AW50"/>
    <mergeCell ref="BA50:BD50"/>
    <mergeCell ref="BH50:BK50"/>
    <mergeCell ref="BO50:BR50"/>
    <mergeCell ref="BV50:BY50"/>
    <mergeCell ref="CC50:CF50"/>
    <mergeCell ref="CJ50:CM50"/>
    <mergeCell ref="CQ50:CT50"/>
    <mergeCell ref="CX50:DA50"/>
    <mergeCell ref="DE50:DH50"/>
    <mergeCell ref="DL50:DO50"/>
    <mergeCell ref="DS50:DV50"/>
    <mergeCell ref="DZ50:EC50"/>
    <mergeCell ref="EG50:EJ50"/>
    <mergeCell ref="EN50:EQ50"/>
    <mergeCell ref="EU50:EX50"/>
    <mergeCell ref="FB50:FE50"/>
    <mergeCell ref="FI50:FL50"/>
    <mergeCell ref="FP50:FS50"/>
    <mergeCell ref="FW50:FZ50"/>
    <mergeCell ref="GD50:GG50"/>
    <mergeCell ref="GK50:GN50"/>
    <mergeCell ref="GR50:GU50"/>
    <mergeCell ref="GY50:HB50"/>
    <mergeCell ref="HF50:HI50"/>
    <mergeCell ref="HM50:HP50"/>
    <mergeCell ref="HT50:HW50"/>
    <mergeCell ref="IA50:ID50"/>
    <mergeCell ref="IH50:IK50"/>
    <mergeCell ref="IO50:IR50"/>
    <mergeCell ref="IV50:IY50"/>
    <mergeCell ref="JC50:JF50"/>
    <mergeCell ref="JJ50:JM50"/>
    <mergeCell ref="JQ50:JT50"/>
    <mergeCell ref="JX50:KA50"/>
    <mergeCell ref="K49:N49"/>
    <mergeCell ref="R49:U49"/>
    <mergeCell ref="Y49:AB49"/>
    <mergeCell ref="AF49:AI49"/>
    <mergeCell ref="AM49:AP49"/>
    <mergeCell ref="AT49:AW49"/>
    <mergeCell ref="BA49:BD49"/>
    <mergeCell ref="BH49:BK49"/>
    <mergeCell ref="BO49:BR49"/>
    <mergeCell ref="BV49:BY49"/>
    <mergeCell ref="CC49:CF49"/>
    <mergeCell ref="CJ49:CM49"/>
    <mergeCell ref="CQ49:CT49"/>
    <mergeCell ref="CX49:DA49"/>
    <mergeCell ref="DE49:DH49"/>
    <mergeCell ref="DL49:DO49"/>
    <mergeCell ref="DS49:DV49"/>
    <mergeCell ref="DZ49:EC49"/>
    <mergeCell ref="EG49:EJ49"/>
    <mergeCell ref="EN49:EQ49"/>
    <mergeCell ref="EU49:EX49"/>
    <mergeCell ref="FB49:FE49"/>
    <mergeCell ref="FI49:FL49"/>
    <mergeCell ref="FP49:FS49"/>
    <mergeCell ref="FW49:FZ49"/>
    <mergeCell ref="GD49:GG49"/>
    <mergeCell ref="GK49:GN49"/>
    <mergeCell ref="GR49:GU49"/>
    <mergeCell ref="GY49:HB49"/>
    <mergeCell ref="HF49:HI49"/>
    <mergeCell ref="HM49:HP49"/>
    <mergeCell ref="HT49:HW49"/>
    <mergeCell ref="IA49:ID49"/>
    <mergeCell ref="KE47:KH47"/>
    <mergeCell ref="KL47:KO47"/>
    <mergeCell ref="KS47:KV47"/>
    <mergeCell ref="KZ47:LC47"/>
    <mergeCell ref="LG47:LJ47"/>
    <mergeCell ref="LN47:LQ47"/>
    <mergeCell ref="LU47:LX47"/>
    <mergeCell ref="MB47:ME47"/>
    <mergeCell ref="MI47:ML47"/>
    <mergeCell ref="MP47:MS47"/>
    <mergeCell ref="MW47:MZ47"/>
    <mergeCell ref="ND47:NG47"/>
    <mergeCell ref="NK47:NN47"/>
    <mergeCell ref="NR47:NU47"/>
    <mergeCell ref="NY47:OB47"/>
    <mergeCell ref="OF47:OI47"/>
    <mergeCell ref="OM47:OP47"/>
    <mergeCell ref="OT47:OW47"/>
    <mergeCell ref="PA47:PD47"/>
    <mergeCell ref="PH47:PK47"/>
    <mergeCell ref="D48:G48"/>
    <mergeCell ref="K48:N48"/>
    <mergeCell ref="R48:U48"/>
    <mergeCell ref="Y48:AB48"/>
    <mergeCell ref="AF48:AI48"/>
    <mergeCell ref="AM48:AP48"/>
    <mergeCell ref="AT48:AW48"/>
    <mergeCell ref="BA48:BD48"/>
    <mergeCell ref="BH48:BK48"/>
    <mergeCell ref="BO48:BR48"/>
    <mergeCell ref="BV48:BY48"/>
    <mergeCell ref="CC48:CF48"/>
    <mergeCell ref="CJ48:CM48"/>
    <mergeCell ref="CQ48:CT48"/>
    <mergeCell ref="CX48:DA48"/>
    <mergeCell ref="DE48:DH48"/>
    <mergeCell ref="DL48:DO48"/>
    <mergeCell ref="DS48:DV48"/>
    <mergeCell ref="DZ48:EC48"/>
    <mergeCell ref="EG48:EJ48"/>
    <mergeCell ref="EN48:EQ48"/>
    <mergeCell ref="EU48:EX48"/>
    <mergeCell ref="FB48:FE48"/>
    <mergeCell ref="FI48:FL48"/>
    <mergeCell ref="FP48:FS48"/>
    <mergeCell ref="FW48:FZ48"/>
    <mergeCell ref="GD48:GG48"/>
    <mergeCell ref="GK48:GN48"/>
    <mergeCell ref="GR48:GU48"/>
    <mergeCell ref="GY48:HB48"/>
    <mergeCell ref="HF48:HI48"/>
    <mergeCell ref="HM48:HP48"/>
    <mergeCell ref="HT48:HW48"/>
    <mergeCell ref="IA48:ID48"/>
    <mergeCell ref="IH48:IK48"/>
    <mergeCell ref="IO48:IR48"/>
    <mergeCell ref="IV48:IY48"/>
    <mergeCell ref="JC48:JF48"/>
    <mergeCell ref="JJ48:JM48"/>
    <mergeCell ref="JQ48:JT48"/>
    <mergeCell ref="JX48:KA48"/>
    <mergeCell ref="KE48:KH48"/>
    <mergeCell ref="KL48:KO48"/>
    <mergeCell ref="KS48:KV48"/>
    <mergeCell ref="JJ46:JM46"/>
    <mergeCell ref="JQ46:JT46"/>
    <mergeCell ref="JX46:KA46"/>
    <mergeCell ref="KE46:KH46"/>
    <mergeCell ref="KL46:KO46"/>
    <mergeCell ref="KS46:KV46"/>
    <mergeCell ref="KZ46:LC46"/>
    <mergeCell ref="LG46:LJ46"/>
    <mergeCell ref="LN46:LQ46"/>
    <mergeCell ref="LU46:LX46"/>
    <mergeCell ref="MB46:ME46"/>
    <mergeCell ref="MI46:ML46"/>
    <mergeCell ref="MP46:MS46"/>
    <mergeCell ref="MW46:MZ46"/>
    <mergeCell ref="ND46:NG46"/>
    <mergeCell ref="NK46:NN46"/>
    <mergeCell ref="NR46:NU46"/>
    <mergeCell ref="NY46:OB46"/>
    <mergeCell ref="OF46:OI46"/>
    <mergeCell ref="OM46:OP46"/>
    <mergeCell ref="OT46:OW46"/>
    <mergeCell ref="PA46:PD46"/>
    <mergeCell ref="PH46:PK46"/>
    <mergeCell ref="D47:G47"/>
    <mergeCell ref="K47:N47"/>
    <mergeCell ref="R47:U47"/>
    <mergeCell ref="Y47:AB47"/>
    <mergeCell ref="AF47:AI47"/>
    <mergeCell ref="AM47:AP47"/>
    <mergeCell ref="AT47:AW47"/>
    <mergeCell ref="BA47:BD47"/>
    <mergeCell ref="BH47:BK47"/>
    <mergeCell ref="BO47:BR47"/>
    <mergeCell ref="BV47:BY47"/>
    <mergeCell ref="CC47:CF47"/>
    <mergeCell ref="CJ47:CM47"/>
    <mergeCell ref="CQ47:CT47"/>
    <mergeCell ref="CX47:DA47"/>
    <mergeCell ref="DE47:DH47"/>
    <mergeCell ref="DL47:DO47"/>
    <mergeCell ref="DS47:DV47"/>
    <mergeCell ref="DZ47:EC47"/>
    <mergeCell ref="EG47:EJ47"/>
    <mergeCell ref="EN47:EQ47"/>
    <mergeCell ref="EU47:EX47"/>
    <mergeCell ref="FB47:FE47"/>
    <mergeCell ref="FI47:FL47"/>
    <mergeCell ref="FP47:FS47"/>
    <mergeCell ref="FW47:FZ47"/>
    <mergeCell ref="GD47:GG47"/>
    <mergeCell ref="GK47:GN47"/>
    <mergeCell ref="GR47:GU47"/>
    <mergeCell ref="GY47:HB47"/>
    <mergeCell ref="HF47:HI47"/>
    <mergeCell ref="HM47:HP47"/>
    <mergeCell ref="HT47:HW47"/>
    <mergeCell ref="IA47:ID47"/>
    <mergeCell ref="IH47:IK47"/>
    <mergeCell ref="IO47:IR47"/>
    <mergeCell ref="IV47:IY47"/>
    <mergeCell ref="JC47:JF47"/>
    <mergeCell ref="JJ47:JM47"/>
    <mergeCell ref="JQ47:JT47"/>
    <mergeCell ref="JX47:KA47"/>
    <mergeCell ref="KE44:KH44"/>
    <mergeCell ref="KL44:KO44"/>
    <mergeCell ref="KS44:KV44"/>
    <mergeCell ref="KZ44:LC44"/>
    <mergeCell ref="LG44:LJ44"/>
    <mergeCell ref="LN44:LQ44"/>
    <mergeCell ref="LU44:LX44"/>
    <mergeCell ref="MB44:ME44"/>
    <mergeCell ref="MI44:ML44"/>
    <mergeCell ref="MP44:MS44"/>
    <mergeCell ref="MW44:MZ44"/>
    <mergeCell ref="ND44:NG44"/>
    <mergeCell ref="NK44:NN44"/>
    <mergeCell ref="NR44:NU44"/>
    <mergeCell ref="NY44:OB44"/>
    <mergeCell ref="OF44:OI44"/>
    <mergeCell ref="OM44:OP44"/>
    <mergeCell ref="OT44:OW44"/>
    <mergeCell ref="PA44:PD44"/>
    <mergeCell ref="PH44:PK44"/>
    <mergeCell ref="D45:G45"/>
    <mergeCell ref="K45:N45"/>
    <mergeCell ref="R45:U45"/>
    <mergeCell ref="Y45:AB45"/>
    <mergeCell ref="AF45:AI45"/>
    <mergeCell ref="AM45:AP45"/>
    <mergeCell ref="AT45:AW45"/>
    <mergeCell ref="BA45:BD45"/>
    <mergeCell ref="BH45:BK45"/>
    <mergeCell ref="BO45:BR45"/>
    <mergeCell ref="BV45:BY45"/>
    <mergeCell ref="CC45:CF45"/>
    <mergeCell ref="CJ45:CM45"/>
    <mergeCell ref="CQ45:CT45"/>
    <mergeCell ref="CX45:DA45"/>
    <mergeCell ref="DE45:DH45"/>
    <mergeCell ref="DL45:DO45"/>
    <mergeCell ref="DS45:DV45"/>
    <mergeCell ref="DZ45:EC45"/>
    <mergeCell ref="EG45:EJ45"/>
    <mergeCell ref="EN45:EQ45"/>
    <mergeCell ref="EU45:EX45"/>
    <mergeCell ref="FB45:FE45"/>
    <mergeCell ref="FI45:FL45"/>
    <mergeCell ref="FP45:FS45"/>
    <mergeCell ref="FW45:FZ45"/>
    <mergeCell ref="GD45:GG45"/>
    <mergeCell ref="GK45:GN45"/>
    <mergeCell ref="GR45:GU45"/>
    <mergeCell ref="GY45:HB45"/>
    <mergeCell ref="HF45:HI45"/>
    <mergeCell ref="HM45:HP45"/>
    <mergeCell ref="HT45:HW45"/>
    <mergeCell ref="IA45:ID45"/>
    <mergeCell ref="IH45:IK45"/>
    <mergeCell ref="IO45:IR45"/>
    <mergeCell ref="IV45:IY45"/>
    <mergeCell ref="JC45:JF45"/>
    <mergeCell ref="JJ45:JM45"/>
    <mergeCell ref="JQ45:JT45"/>
    <mergeCell ref="JX45:KA45"/>
    <mergeCell ref="KE45:KH45"/>
    <mergeCell ref="KL45:KO45"/>
    <mergeCell ref="KS45:KV45"/>
    <mergeCell ref="JJ43:JM43"/>
    <mergeCell ref="JQ43:JT43"/>
    <mergeCell ref="JX43:KA43"/>
    <mergeCell ref="KE43:KH43"/>
    <mergeCell ref="KL43:KO43"/>
    <mergeCell ref="KS43:KV43"/>
    <mergeCell ref="KZ43:LC43"/>
    <mergeCell ref="LG43:LJ43"/>
    <mergeCell ref="LN43:LQ43"/>
    <mergeCell ref="LU43:LX43"/>
    <mergeCell ref="MB43:ME43"/>
    <mergeCell ref="MI43:ML43"/>
    <mergeCell ref="MP43:MS43"/>
    <mergeCell ref="MW43:MZ43"/>
    <mergeCell ref="ND43:NG43"/>
    <mergeCell ref="NK43:NN43"/>
    <mergeCell ref="NR43:NU43"/>
    <mergeCell ref="NY43:OB43"/>
    <mergeCell ref="OF43:OI43"/>
    <mergeCell ref="OM43:OP43"/>
    <mergeCell ref="OT43:OW43"/>
    <mergeCell ref="PA43:PD43"/>
    <mergeCell ref="PH43:PK43"/>
    <mergeCell ref="D44:G44"/>
    <mergeCell ref="K44:N44"/>
    <mergeCell ref="R44:U44"/>
    <mergeCell ref="Y44:AB44"/>
    <mergeCell ref="AF44:AI44"/>
    <mergeCell ref="AM44:AP44"/>
    <mergeCell ref="AT44:AW44"/>
    <mergeCell ref="BA44:BD44"/>
    <mergeCell ref="BH44:BK44"/>
    <mergeCell ref="BO44:BR44"/>
    <mergeCell ref="BV44:BY44"/>
    <mergeCell ref="CC44:CF44"/>
    <mergeCell ref="CJ44:CM44"/>
    <mergeCell ref="CQ44:CT44"/>
    <mergeCell ref="CX44:DA44"/>
    <mergeCell ref="DE44:DH44"/>
    <mergeCell ref="DL44:DO44"/>
    <mergeCell ref="DS44:DV44"/>
    <mergeCell ref="DZ44:EC44"/>
    <mergeCell ref="EG44:EJ44"/>
    <mergeCell ref="EN44:EQ44"/>
    <mergeCell ref="EU44:EX44"/>
    <mergeCell ref="FB44:FE44"/>
    <mergeCell ref="FI44:FL44"/>
    <mergeCell ref="FP44:FS44"/>
    <mergeCell ref="FW44:FZ44"/>
    <mergeCell ref="GD44:GG44"/>
    <mergeCell ref="GK44:GN44"/>
    <mergeCell ref="GR44:GU44"/>
    <mergeCell ref="GY44:HB44"/>
    <mergeCell ref="HF44:HI44"/>
    <mergeCell ref="HM44:HP44"/>
    <mergeCell ref="HT44:HW44"/>
    <mergeCell ref="IA44:ID44"/>
    <mergeCell ref="IH44:IK44"/>
    <mergeCell ref="IO44:IR44"/>
    <mergeCell ref="IV44:IY44"/>
    <mergeCell ref="JC44:JF44"/>
    <mergeCell ref="JJ44:JM44"/>
    <mergeCell ref="JQ44:JT44"/>
    <mergeCell ref="JX44:KA44"/>
    <mergeCell ref="DS207:DV207"/>
    <mergeCell ref="D43:G43"/>
    <mergeCell ref="K43:N43"/>
    <mergeCell ref="R43:U43"/>
    <mergeCell ref="Y43:AB43"/>
    <mergeCell ref="AF43:AI43"/>
    <mergeCell ref="AM43:AP43"/>
    <mergeCell ref="AT43:AW43"/>
    <mergeCell ref="BA43:BD43"/>
    <mergeCell ref="BH43:BK43"/>
    <mergeCell ref="BO43:BR43"/>
    <mergeCell ref="BU43:CA43"/>
    <mergeCell ref="CC43:CF43"/>
    <mergeCell ref="CJ43:CM43"/>
    <mergeCell ref="CQ43:CT43"/>
    <mergeCell ref="CX43:DA43"/>
    <mergeCell ref="DE43:DH43"/>
    <mergeCell ref="DK43:DQ43"/>
    <mergeCell ref="DR43:DX43"/>
    <mergeCell ref="DZ43:EC43"/>
    <mergeCell ref="FB43:FE43"/>
    <mergeCell ref="FI43:FL43"/>
    <mergeCell ref="FP43:FS43"/>
    <mergeCell ref="FW43:FZ43"/>
    <mergeCell ref="GD43:GG43"/>
    <mergeCell ref="GK43:GN43"/>
    <mergeCell ref="GR43:GU43"/>
    <mergeCell ref="GY43:HB43"/>
    <mergeCell ref="HF43:HI43"/>
    <mergeCell ref="HM43:HP43"/>
    <mergeCell ref="D46:G46"/>
    <mergeCell ref="K46:N46"/>
    <mergeCell ref="R46:U46"/>
    <mergeCell ref="Y46:AB46"/>
    <mergeCell ref="AF46:AI46"/>
    <mergeCell ref="AM46:AP46"/>
    <mergeCell ref="AT46:AW46"/>
    <mergeCell ref="BA46:BD46"/>
    <mergeCell ref="BH46:BK46"/>
    <mergeCell ref="BO46:BR46"/>
    <mergeCell ref="BV46:BY46"/>
    <mergeCell ref="CC46:CF46"/>
    <mergeCell ref="CJ46:CM46"/>
    <mergeCell ref="CQ46:CT46"/>
    <mergeCell ref="CX46:DA46"/>
    <mergeCell ref="DE46:DH46"/>
    <mergeCell ref="DL46:DO46"/>
    <mergeCell ref="DS46:DV46"/>
    <mergeCell ref="DZ46:EC46"/>
    <mergeCell ref="EG46:EJ46"/>
    <mergeCell ref="EN46:EQ46"/>
    <mergeCell ref="EU46:EX46"/>
    <mergeCell ref="FB46:FE46"/>
    <mergeCell ref="FI46:FL46"/>
    <mergeCell ref="FP46:FS46"/>
    <mergeCell ref="FW46:FZ46"/>
    <mergeCell ref="GD46:GG46"/>
    <mergeCell ref="GK46:GN46"/>
    <mergeCell ref="GR46:GU46"/>
    <mergeCell ref="GY46:HB46"/>
    <mergeCell ref="HF46:HI46"/>
    <mergeCell ref="DS146:DV146"/>
    <mergeCell ref="DS147:DV147"/>
    <mergeCell ref="DS148:DV148"/>
    <mergeCell ref="DS149:DV149"/>
    <mergeCell ref="DS150:DV150"/>
    <mergeCell ref="DS151:DV151"/>
    <mergeCell ref="DS152:DV152"/>
    <mergeCell ref="DS153:DV153"/>
    <mergeCell ref="DS154:DV154"/>
    <mergeCell ref="DS155:DV155"/>
    <mergeCell ref="DS156:DV156"/>
    <mergeCell ref="DS157:DV157"/>
    <mergeCell ref="DS158:DV158"/>
    <mergeCell ref="DS159:DV159"/>
    <mergeCell ref="DS160:DV160"/>
    <mergeCell ref="DS161:DV161"/>
    <mergeCell ref="DS162:DV162"/>
    <mergeCell ref="DS163:DV163"/>
    <mergeCell ref="DS164:DV164"/>
    <mergeCell ref="DS165:DV165"/>
    <mergeCell ref="DS166:DV166"/>
    <mergeCell ref="DS167:DV167"/>
    <mergeCell ref="DS168:DV168"/>
    <mergeCell ref="DS169:DV169"/>
    <mergeCell ref="DS170:DV170"/>
    <mergeCell ref="DS171:DV171"/>
    <mergeCell ref="DS212:DV212"/>
    <mergeCell ref="DS213:DV213"/>
    <mergeCell ref="DS214:DV214"/>
    <mergeCell ref="DS215:DV215"/>
    <mergeCell ref="DS216:DV216"/>
    <mergeCell ref="DS174:DV174"/>
    <mergeCell ref="DS175:DV175"/>
    <mergeCell ref="DS176:DV176"/>
    <mergeCell ref="DS177:DV177"/>
    <mergeCell ref="DS178:DV178"/>
    <mergeCell ref="DS179:DV179"/>
    <mergeCell ref="DS180:DV180"/>
    <mergeCell ref="DS181:DV181"/>
    <mergeCell ref="DS182:DV182"/>
    <mergeCell ref="DS183:DV183"/>
    <mergeCell ref="DS184:DV184"/>
    <mergeCell ref="DS185:DV185"/>
    <mergeCell ref="DS186:DV186"/>
    <mergeCell ref="DS187:DV187"/>
    <mergeCell ref="DS188:DV188"/>
    <mergeCell ref="DS189:DV189"/>
    <mergeCell ref="DS190:DV190"/>
    <mergeCell ref="DS191:DV191"/>
    <mergeCell ref="DS192:DV192"/>
    <mergeCell ref="DS193:DV193"/>
    <mergeCell ref="DS194:DV194"/>
    <mergeCell ref="DS195:DV195"/>
    <mergeCell ref="DS196:DV196"/>
    <mergeCell ref="DS197:DV197"/>
    <mergeCell ref="DS198:DV198"/>
    <mergeCell ref="DS199:DV199"/>
    <mergeCell ref="DS200:DV200"/>
    <mergeCell ref="DS201:DV201"/>
    <mergeCell ref="DS202:DV202"/>
    <mergeCell ref="DS203:DV203"/>
    <mergeCell ref="DS204:DV204"/>
    <mergeCell ref="DS205:DV205"/>
    <mergeCell ref="DS206:DV206"/>
    <mergeCell ref="DS108:DV108"/>
    <mergeCell ref="DS109:DV109"/>
    <mergeCell ref="DS110:DV110"/>
    <mergeCell ref="DS111:DV111"/>
    <mergeCell ref="DS112:DV112"/>
    <mergeCell ref="DS113:DV113"/>
    <mergeCell ref="DS114:DV114"/>
    <mergeCell ref="DS115:DV115"/>
    <mergeCell ref="DS116:DV116"/>
    <mergeCell ref="DS117:DV117"/>
    <mergeCell ref="DS118:DV118"/>
    <mergeCell ref="DS119:DV119"/>
    <mergeCell ref="DS120:DV120"/>
    <mergeCell ref="DS121:DV121"/>
    <mergeCell ref="DS122:DV122"/>
    <mergeCell ref="DS123:DV123"/>
    <mergeCell ref="DS124:DV124"/>
    <mergeCell ref="DS125:DV125"/>
    <mergeCell ref="DS126:DV126"/>
    <mergeCell ref="DS127:DV127"/>
    <mergeCell ref="DS128:DV128"/>
    <mergeCell ref="DS129:DV129"/>
    <mergeCell ref="DS130:DV130"/>
    <mergeCell ref="DS131:DV131"/>
    <mergeCell ref="DS132:DV132"/>
    <mergeCell ref="DS133:DV133"/>
    <mergeCell ref="DS134:DV134"/>
    <mergeCell ref="DS135:DV135"/>
    <mergeCell ref="DS136:DV136"/>
    <mergeCell ref="DS137:DV137"/>
    <mergeCell ref="DS139:DV139"/>
    <mergeCell ref="DS140:DV140"/>
    <mergeCell ref="DS141:DV141"/>
    <mergeCell ref="DL203:DO203"/>
    <mergeCell ref="DL204:DO204"/>
    <mergeCell ref="DL205:DO205"/>
    <mergeCell ref="DL206:DO206"/>
    <mergeCell ref="DL207:DO207"/>
    <mergeCell ref="DL208:DO208"/>
    <mergeCell ref="DL209:DO209"/>
    <mergeCell ref="DL210:DO210"/>
    <mergeCell ref="DL211:DO211"/>
    <mergeCell ref="DL212:DO212"/>
    <mergeCell ref="DL213:DO213"/>
    <mergeCell ref="DL214:DO214"/>
    <mergeCell ref="DL215:DO215"/>
    <mergeCell ref="DL216:DO216"/>
    <mergeCell ref="DS55:DV55"/>
    <mergeCell ref="DS56:DV56"/>
    <mergeCell ref="DS57:DV57"/>
    <mergeCell ref="DS58:DV58"/>
    <mergeCell ref="DS59:DV59"/>
    <mergeCell ref="DS60:DV60"/>
    <mergeCell ref="DS61:DV61"/>
    <mergeCell ref="DS62:DV62"/>
    <mergeCell ref="DS63:DV63"/>
    <mergeCell ref="DS64:DV64"/>
    <mergeCell ref="DS65:DV65"/>
    <mergeCell ref="DS66:DV66"/>
    <mergeCell ref="DS67:DV67"/>
    <mergeCell ref="DS68:DV68"/>
    <mergeCell ref="DS69:DV69"/>
    <mergeCell ref="DS70:DV70"/>
    <mergeCell ref="DS71:DV71"/>
    <mergeCell ref="DS72:DV72"/>
    <mergeCell ref="DS73:DV73"/>
    <mergeCell ref="DS74:DV74"/>
    <mergeCell ref="DS75:DV75"/>
    <mergeCell ref="DS76:DV76"/>
    <mergeCell ref="DS77:DV77"/>
    <mergeCell ref="DS78:DV78"/>
    <mergeCell ref="DS79:DV79"/>
    <mergeCell ref="DS80:DV80"/>
    <mergeCell ref="DS81:DV81"/>
    <mergeCell ref="DS82:DV82"/>
    <mergeCell ref="DS83:DV83"/>
    <mergeCell ref="DS84:DV84"/>
    <mergeCell ref="DS85:DV85"/>
    <mergeCell ref="DS86:DV86"/>
    <mergeCell ref="DS87:DV87"/>
    <mergeCell ref="DS88:DV88"/>
    <mergeCell ref="DS89:DV89"/>
    <mergeCell ref="DS90:DV90"/>
    <mergeCell ref="DS91:DV91"/>
    <mergeCell ref="DS92:DV92"/>
    <mergeCell ref="DS93:DV93"/>
    <mergeCell ref="DS94:DV94"/>
    <mergeCell ref="DS95:DV95"/>
    <mergeCell ref="DS96:DV96"/>
    <mergeCell ref="DS97:DV97"/>
    <mergeCell ref="DS98:DV98"/>
    <mergeCell ref="DS99:DV99"/>
    <mergeCell ref="DS100:DV100"/>
    <mergeCell ref="DS101:DV101"/>
    <mergeCell ref="DS102:DV102"/>
    <mergeCell ref="DS103:DV103"/>
    <mergeCell ref="DS105:DV105"/>
    <mergeCell ref="DL168:DO168"/>
    <mergeCell ref="DL169:DO169"/>
    <mergeCell ref="DL170:DO170"/>
    <mergeCell ref="DL171:DO171"/>
    <mergeCell ref="DL172:DO172"/>
    <mergeCell ref="DL173:DO173"/>
    <mergeCell ref="DL174:DO174"/>
    <mergeCell ref="DL175:DO175"/>
    <mergeCell ref="DL176:DO176"/>
    <mergeCell ref="DL177:DO177"/>
    <mergeCell ref="DL178:DO178"/>
    <mergeCell ref="DL179:DO179"/>
    <mergeCell ref="DL180:DO180"/>
    <mergeCell ref="DL181:DO181"/>
    <mergeCell ref="DL182:DO182"/>
    <mergeCell ref="DL183:DO183"/>
    <mergeCell ref="DL184:DO184"/>
    <mergeCell ref="DL185:DO185"/>
    <mergeCell ref="DL186:DO186"/>
    <mergeCell ref="DL187:DO187"/>
    <mergeCell ref="DL188:DO188"/>
    <mergeCell ref="DL189:DO189"/>
    <mergeCell ref="DL190:DO190"/>
    <mergeCell ref="DL191:DO191"/>
    <mergeCell ref="DL192:DO192"/>
    <mergeCell ref="DL193:DO193"/>
    <mergeCell ref="DL194:DO194"/>
    <mergeCell ref="DL195:DO195"/>
    <mergeCell ref="DL196:DO196"/>
    <mergeCell ref="DL197:DO197"/>
    <mergeCell ref="DL198:DO198"/>
    <mergeCell ref="DL199:DO199"/>
    <mergeCell ref="DL202:DO202"/>
    <mergeCell ref="DL131:DO131"/>
    <mergeCell ref="DL132:DO132"/>
    <mergeCell ref="DL133:DO133"/>
    <mergeCell ref="DL134:DO134"/>
    <mergeCell ref="DL135:DO135"/>
    <mergeCell ref="DL136:DO136"/>
    <mergeCell ref="DL137:DO137"/>
    <mergeCell ref="DL138:DO138"/>
    <mergeCell ref="DL139:DO139"/>
    <mergeCell ref="DL140:DO140"/>
    <mergeCell ref="DL141:DO141"/>
    <mergeCell ref="DL142:DO142"/>
    <mergeCell ref="DL143:DO143"/>
    <mergeCell ref="DL144:DO144"/>
    <mergeCell ref="DL145:DO145"/>
    <mergeCell ref="DL146:DO146"/>
    <mergeCell ref="DL147:DO147"/>
    <mergeCell ref="DL148:DO148"/>
    <mergeCell ref="DL149:DO149"/>
    <mergeCell ref="DL150:DO150"/>
    <mergeCell ref="DL151:DO151"/>
    <mergeCell ref="DL152:DO152"/>
    <mergeCell ref="DL153:DO153"/>
    <mergeCell ref="DL154:DO154"/>
    <mergeCell ref="DL155:DO155"/>
    <mergeCell ref="DL156:DO156"/>
    <mergeCell ref="DL157:DO157"/>
    <mergeCell ref="DL158:DO158"/>
    <mergeCell ref="DL159:DO159"/>
    <mergeCell ref="DL160:DO160"/>
    <mergeCell ref="DL161:DO161"/>
    <mergeCell ref="DL162:DO162"/>
    <mergeCell ref="DL167:DO167"/>
    <mergeCell ref="DL98:DO98"/>
    <mergeCell ref="DL99:DO99"/>
    <mergeCell ref="DL100:DO100"/>
    <mergeCell ref="DL101:DO101"/>
    <mergeCell ref="DL102:DO102"/>
    <mergeCell ref="DL103:DO103"/>
    <mergeCell ref="DL104:DO104"/>
    <mergeCell ref="DL105:DO105"/>
    <mergeCell ref="DL106:DO106"/>
    <mergeCell ref="DL107:DO107"/>
    <mergeCell ref="DL108:DO108"/>
    <mergeCell ref="DL109:DO109"/>
    <mergeCell ref="DL110:DO110"/>
    <mergeCell ref="DL111:DO111"/>
    <mergeCell ref="DL112:DO112"/>
    <mergeCell ref="DL113:DO113"/>
    <mergeCell ref="DL114:DO114"/>
    <mergeCell ref="DL115:DO115"/>
    <mergeCell ref="DL116:DO116"/>
    <mergeCell ref="DL117:DO117"/>
    <mergeCell ref="DL118:DO118"/>
    <mergeCell ref="DL119:DO119"/>
    <mergeCell ref="DL120:DO120"/>
    <mergeCell ref="DL121:DO121"/>
    <mergeCell ref="DL122:DO122"/>
    <mergeCell ref="DL123:DO123"/>
    <mergeCell ref="DL124:DO124"/>
    <mergeCell ref="DL125:DO125"/>
    <mergeCell ref="DL126:DO126"/>
    <mergeCell ref="DL127:DO127"/>
    <mergeCell ref="DL128:DO128"/>
    <mergeCell ref="DL129:DO129"/>
    <mergeCell ref="DL130:DO130"/>
    <mergeCell ref="OT212:OW212"/>
    <mergeCell ref="PA212:PD212"/>
    <mergeCell ref="PH212:PK212"/>
    <mergeCell ref="OT213:OW213"/>
    <mergeCell ref="PA213:PD213"/>
    <mergeCell ref="PH213:PK213"/>
    <mergeCell ref="OT214:OW214"/>
    <mergeCell ref="PA214:PD214"/>
    <mergeCell ref="PH214:PK214"/>
    <mergeCell ref="OT215:OW215"/>
    <mergeCell ref="PA215:PD215"/>
    <mergeCell ref="PH215:PK215"/>
    <mergeCell ref="OT216:OW216"/>
    <mergeCell ref="PA216:PD216"/>
    <mergeCell ref="PH216:PK216"/>
    <mergeCell ref="DL33:DO33"/>
    <mergeCell ref="DL34:DO34"/>
    <mergeCell ref="DL35:DO35"/>
    <mergeCell ref="DL36:DO36"/>
    <mergeCell ref="DL37:DO37"/>
    <mergeCell ref="DL38:DO38"/>
    <mergeCell ref="DL39:DO39"/>
    <mergeCell ref="DL40:DO40"/>
    <mergeCell ref="DL41:DO41"/>
    <mergeCell ref="DL42:DO42"/>
    <mergeCell ref="DL55:DO55"/>
    <mergeCell ref="DL56:DO56"/>
    <mergeCell ref="DL57:DO57"/>
    <mergeCell ref="DL58:DO58"/>
    <mergeCell ref="DL59:DO59"/>
    <mergeCell ref="DL60:DO60"/>
    <mergeCell ref="DL61:DO61"/>
    <mergeCell ref="DL62:DO62"/>
    <mergeCell ref="DL63:DO63"/>
    <mergeCell ref="DL64:DO64"/>
    <mergeCell ref="DL65:DO65"/>
    <mergeCell ref="DL66:DO66"/>
    <mergeCell ref="DL67:DO67"/>
    <mergeCell ref="DL68:DO68"/>
    <mergeCell ref="DL69:DO69"/>
    <mergeCell ref="DL70:DO70"/>
    <mergeCell ref="DL71:DO71"/>
    <mergeCell ref="DL72:DO72"/>
    <mergeCell ref="DL73:DO73"/>
    <mergeCell ref="DL74:DO74"/>
    <mergeCell ref="DL75:DO75"/>
    <mergeCell ref="DL76:DO76"/>
    <mergeCell ref="DL77:DO77"/>
    <mergeCell ref="DL78:DO78"/>
    <mergeCell ref="DL79:DO79"/>
    <mergeCell ref="DL80:DO80"/>
    <mergeCell ref="DL81:DO81"/>
    <mergeCell ref="DL82:DO82"/>
    <mergeCell ref="DL83:DO83"/>
    <mergeCell ref="DL84:DO84"/>
    <mergeCell ref="DL85:DO85"/>
    <mergeCell ref="DL86:DO86"/>
    <mergeCell ref="DL87:DO87"/>
    <mergeCell ref="DL88:DO88"/>
    <mergeCell ref="DL89:DO89"/>
    <mergeCell ref="DL90:DO90"/>
    <mergeCell ref="DL91:DO91"/>
    <mergeCell ref="DL92:DO92"/>
    <mergeCell ref="DL93:DO93"/>
    <mergeCell ref="OT197:OW197"/>
    <mergeCell ref="PA197:PD197"/>
    <mergeCell ref="PH197:PK197"/>
    <mergeCell ref="OT202:OW202"/>
    <mergeCell ref="PA202:PD202"/>
    <mergeCell ref="PH202:PK202"/>
    <mergeCell ref="OT203:OW203"/>
    <mergeCell ref="PA203:PD203"/>
    <mergeCell ref="PH203:PK203"/>
    <mergeCell ref="OT204:OW204"/>
    <mergeCell ref="PA204:PD204"/>
    <mergeCell ref="PH204:PK204"/>
    <mergeCell ref="OT205:OW205"/>
    <mergeCell ref="PA205:PD205"/>
    <mergeCell ref="PH205:PK205"/>
    <mergeCell ref="OT206:OW206"/>
    <mergeCell ref="PA206:PD206"/>
    <mergeCell ref="PH206:PK206"/>
    <mergeCell ref="OT207:OW207"/>
    <mergeCell ref="PA207:PD207"/>
    <mergeCell ref="PH207:PK207"/>
    <mergeCell ref="OT208:OW208"/>
    <mergeCell ref="PA208:PD208"/>
    <mergeCell ref="PH208:PK208"/>
    <mergeCell ref="OT209:OW209"/>
    <mergeCell ref="PA209:PD209"/>
    <mergeCell ref="PH209:PK209"/>
    <mergeCell ref="OT210:OW210"/>
    <mergeCell ref="PA210:PD210"/>
    <mergeCell ref="PH210:PK210"/>
    <mergeCell ref="OT211:OW211"/>
    <mergeCell ref="PA211:PD211"/>
    <mergeCell ref="PH211:PK211"/>
    <mergeCell ref="OT184:OW184"/>
    <mergeCell ref="PA184:PD184"/>
    <mergeCell ref="PH184:PK184"/>
    <mergeCell ref="OT187:OW187"/>
    <mergeCell ref="PA187:PD187"/>
    <mergeCell ref="PH187:PK187"/>
    <mergeCell ref="OT188:OW188"/>
    <mergeCell ref="PA188:PD188"/>
    <mergeCell ref="PH188:PK188"/>
    <mergeCell ref="OT189:OW189"/>
    <mergeCell ref="PA189:PD189"/>
    <mergeCell ref="PH189:PK189"/>
    <mergeCell ref="OT190:OW190"/>
    <mergeCell ref="PA190:PD190"/>
    <mergeCell ref="PH190:PK190"/>
    <mergeCell ref="OT191:OW191"/>
    <mergeCell ref="PA191:PD191"/>
    <mergeCell ref="PH191:PK191"/>
    <mergeCell ref="OT192:OW192"/>
    <mergeCell ref="PA192:PD192"/>
    <mergeCell ref="PH192:PK192"/>
    <mergeCell ref="OT193:OW193"/>
    <mergeCell ref="PA193:PD193"/>
    <mergeCell ref="PH193:PK193"/>
    <mergeCell ref="OT194:OW194"/>
    <mergeCell ref="PA194:PD194"/>
    <mergeCell ref="PH194:PK194"/>
    <mergeCell ref="OT195:OW195"/>
    <mergeCell ref="PA195:PD195"/>
    <mergeCell ref="PH195:PK195"/>
    <mergeCell ref="OT196:OW196"/>
    <mergeCell ref="PA196:PD196"/>
    <mergeCell ref="PH196:PK196"/>
    <mergeCell ref="OT170:OW170"/>
    <mergeCell ref="PA170:PD170"/>
    <mergeCell ref="PH170:PK170"/>
    <mergeCell ref="OT174:OW174"/>
    <mergeCell ref="PA174:PD174"/>
    <mergeCell ref="PH174:PK174"/>
    <mergeCell ref="OT175:OW175"/>
    <mergeCell ref="PA175:PD175"/>
    <mergeCell ref="PH175:PK175"/>
    <mergeCell ref="OT176:OW176"/>
    <mergeCell ref="PA176:PD176"/>
    <mergeCell ref="PH176:PK176"/>
    <mergeCell ref="OT177:OW177"/>
    <mergeCell ref="PA177:PD177"/>
    <mergeCell ref="PH177:PK177"/>
    <mergeCell ref="OT178:OW178"/>
    <mergeCell ref="PA178:PD178"/>
    <mergeCell ref="PH178:PK178"/>
    <mergeCell ref="OT179:OW179"/>
    <mergeCell ref="PA179:PD179"/>
    <mergeCell ref="PH179:PK179"/>
    <mergeCell ref="OT180:OW180"/>
    <mergeCell ref="PA180:PD180"/>
    <mergeCell ref="PH180:PK180"/>
    <mergeCell ref="OT181:OW181"/>
    <mergeCell ref="PA181:PD181"/>
    <mergeCell ref="PH181:PK181"/>
    <mergeCell ref="OT182:OW182"/>
    <mergeCell ref="PA182:PD182"/>
    <mergeCell ref="PH182:PK182"/>
    <mergeCell ref="OT183:OW183"/>
    <mergeCell ref="PA183:PD183"/>
    <mergeCell ref="PH183:PK183"/>
    <mergeCell ref="OT159:OW159"/>
    <mergeCell ref="PA159:PD159"/>
    <mergeCell ref="PH159:PK159"/>
    <mergeCell ref="OT160:OW160"/>
    <mergeCell ref="PA160:PD160"/>
    <mergeCell ref="PH160:PK160"/>
    <mergeCell ref="OT161:OW161"/>
    <mergeCell ref="PA161:PD161"/>
    <mergeCell ref="PH161:PK161"/>
    <mergeCell ref="OT162:OW162"/>
    <mergeCell ref="PA162:PD162"/>
    <mergeCell ref="PH162:PK162"/>
    <mergeCell ref="OT163:OW163"/>
    <mergeCell ref="PA163:PD163"/>
    <mergeCell ref="PH163:PK163"/>
    <mergeCell ref="OT164:OW164"/>
    <mergeCell ref="PA164:PD164"/>
    <mergeCell ref="PH164:PK164"/>
    <mergeCell ref="OT165:OW165"/>
    <mergeCell ref="PA165:PD165"/>
    <mergeCell ref="PH165:PK165"/>
    <mergeCell ref="OT166:OW166"/>
    <mergeCell ref="PA166:PD166"/>
    <mergeCell ref="PH166:PK166"/>
    <mergeCell ref="OT167:OW167"/>
    <mergeCell ref="PA167:PD167"/>
    <mergeCell ref="PH167:PK167"/>
    <mergeCell ref="OT168:OW168"/>
    <mergeCell ref="PA168:PD168"/>
    <mergeCell ref="PH168:PK168"/>
    <mergeCell ref="OT169:OW169"/>
    <mergeCell ref="PA169:PD169"/>
    <mergeCell ref="PH169:PK169"/>
    <mergeCell ref="OT148:OW148"/>
    <mergeCell ref="PA148:PD148"/>
    <mergeCell ref="PH148:PK148"/>
    <mergeCell ref="OT149:OW149"/>
    <mergeCell ref="PA149:PD149"/>
    <mergeCell ref="PH149:PK149"/>
    <mergeCell ref="OT150:OW150"/>
    <mergeCell ref="PA150:PD150"/>
    <mergeCell ref="PH150:PK150"/>
    <mergeCell ref="OT151:OW151"/>
    <mergeCell ref="PA151:PD151"/>
    <mergeCell ref="PH151:PK151"/>
    <mergeCell ref="OT152:OW152"/>
    <mergeCell ref="PA152:PD152"/>
    <mergeCell ref="PH152:PK152"/>
    <mergeCell ref="OT153:OW153"/>
    <mergeCell ref="PA153:PD153"/>
    <mergeCell ref="PH153:PK153"/>
    <mergeCell ref="OT154:OW154"/>
    <mergeCell ref="PA154:PD154"/>
    <mergeCell ref="PH154:PK154"/>
    <mergeCell ref="OT155:OW155"/>
    <mergeCell ref="PA155:PD155"/>
    <mergeCell ref="PH155:PK155"/>
    <mergeCell ref="OT156:OW156"/>
    <mergeCell ref="PA156:PD156"/>
    <mergeCell ref="PH156:PK156"/>
    <mergeCell ref="OT157:OW157"/>
    <mergeCell ref="PA157:PD157"/>
    <mergeCell ref="PH157:PK157"/>
    <mergeCell ref="OT158:OW158"/>
    <mergeCell ref="PA158:PD158"/>
    <mergeCell ref="PH158:PK158"/>
    <mergeCell ref="OT137:OW137"/>
    <mergeCell ref="PA137:PD137"/>
    <mergeCell ref="PH137:PK137"/>
    <mergeCell ref="OT138:OW138"/>
    <mergeCell ref="PA138:PD138"/>
    <mergeCell ref="PH138:PK138"/>
    <mergeCell ref="OT139:OW139"/>
    <mergeCell ref="PA139:PD139"/>
    <mergeCell ref="PH139:PK139"/>
    <mergeCell ref="OT140:OW140"/>
    <mergeCell ref="PA140:PD140"/>
    <mergeCell ref="PH140:PK140"/>
    <mergeCell ref="OT141:OW141"/>
    <mergeCell ref="PA141:PD141"/>
    <mergeCell ref="PH141:PK141"/>
    <mergeCell ref="OT142:OW142"/>
    <mergeCell ref="PA142:PD142"/>
    <mergeCell ref="PH142:PK142"/>
    <mergeCell ref="OT143:OW143"/>
    <mergeCell ref="PA143:PD143"/>
    <mergeCell ref="PH143:PK143"/>
    <mergeCell ref="OT144:OW144"/>
    <mergeCell ref="PA144:PD144"/>
    <mergeCell ref="PH144:PK144"/>
    <mergeCell ref="OT145:OW145"/>
    <mergeCell ref="PA145:PD145"/>
    <mergeCell ref="PH145:PK145"/>
    <mergeCell ref="OT146:OW146"/>
    <mergeCell ref="PA146:PD146"/>
    <mergeCell ref="PH146:PK146"/>
    <mergeCell ref="OT147:OW147"/>
    <mergeCell ref="PA147:PD147"/>
    <mergeCell ref="PH147:PK147"/>
    <mergeCell ref="OT126:OW126"/>
    <mergeCell ref="PA126:PD126"/>
    <mergeCell ref="PH126:PK126"/>
    <mergeCell ref="OT127:OW127"/>
    <mergeCell ref="PA127:PD127"/>
    <mergeCell ref="PH127:PK127"/>
    <mergeCell ref="OT128:OW128"/>
    <mergeCell ref="PA128:PD128"/>
    <mergeCell ref="PH128:PK128"/>
    <mergeCell ref="OT129:OW129"/>
    <mergeCell ref="PA129:PD129"/>
    <mergeCell ref="PH129:PK129"/>
    <mergeCell ref="OT130:OW130"/>
    <mergeCell ref="PA130:PD130"/>
    <mergeCell ref="PH130:PK130"/>
    <mergeCell ref="OT131:OW131"/>
    <mergeCell ref="PA131:PD131"/>
    <mergeCell ref="PH131:PK131"/>
    <mergeCell ref="OT132:OW132"/>
    <mergeCell ref="PA132:PD132"/>
    <mergeCell ref="PH132:PK132"/>
    <mergeCell ref="OT133:OW133"/>
    <mergeCell ref="PA133:PD133"/>
    <mergeCell ref="PH133:PK133"/>
    <mergeCell ref="OT134:OW134"/>
    <mergeCell ref="PA134:PD134"/>
    <mergeCell ref="PH134:PK134"/>
    <mergeCell ref="OT135:OW135"/>
    <mergeCell ref="PA135:PD135"/>
    <mergeCell ref="PH135:PK135"/>
    <mergeCell ref="OT136:OW136"/>
    <mergeCell ref="PA136:PD136"/>
    <mergeCell ref="PH136:PK136"/>
    <mergeCell ref="OT115:OW115"/>
    <mergeCell ref="PA115:PD115"/>
    <mergeCell ref="PH115:PK115"/>
    <mergeCell ref="OT116:OW116"/>
    <mergeCell ref="PA116:PD116"/>
    <mergeCell ref="PH116:PK116"/>
    <mergeCell ref="OT117:OW117"/>
    <mergeCell ref="PA117:PD117"/>
    <mergeCell ref="PH117:PK117"/>
    <mergeCell ref="OT118:OW118"/>
    <mergeCell ref="PA118:PD118"/>
    <mergeCell ref="PH118:PK118"/>
    <mergeCell ref="OT119:OW119"/>
    <mergeCell ref="PA119:PD119"/>
    <mergeCell ref="PH119:PK119"/>
    <mergeCell ref="OT120:OW120"/>
    <mergeCell ref="PA120:PD120"/>
    <mergeCell ref="PH120:PK120"/>
    <mergeCell ref="OT121:OW121"/>
    <mergeCell ref="PA121:PD121"/>
    <mergeCell ref="PH121:PK121"/>
    <mergeCell ref="OT122:OW122"/>
    <mergeCell ref="PA122:PD122"/>
    <mergeCell ref="PH122:PK122"/>
    <mergeCell ref="OT123:OW123"/>
    <mergeCell ref="PA123:PD123"/>
    <mergeCell ref="PH123:PK123"/>
    <mergeCell ref="OT124:OW124"/>
    <mergeCell ref="PA124:PD124"/>
    <mergeCell ref="PH124:PK124"/>
    <mergeCell ref="OT125:OW125"/>
    <mergeCell ref="PA125:PD125"/>
    <mergeCell ref="PH125:PK125"/>
    <mergeCell ref="OT104:OW104"/>
    <mergeCell ref="PA104:PD104"/>
    <mergeCell ref="PH104:PK104"/>
    <mergeCell ref="OT105:OW105"/>
    <mergeCell ref="PA105:PD105"/>
    <mergeCell ref="PH105:PK105"/>
    <mergeCell ref="OT106:OW106"/>
    <mergeCell ref="PA106:PD106"/>
    <mergeCell ref="PH106:PK106"/>
    <mergeCell ref="OT107:OW107"/>
    <mergeCell ref="PA107:PD107"/>
    <mergeCell ref="PH107:PK107"/>
    <mergeCell ref="OT108:OW108"/>
    <mergeCell ref="PA108:PD108"/>
    <mergeCell ref="PH108:PK108"/>
    <mergeCell ref="OT109:OW109"/>
    <mergeCell ref="PA109:PD109"/>
    <mergeCell ref="PH109:PK109"/>
    <mergeCell ref="OT110:OW110"/>
    <mergeCell ref="PA110:PD110"/>
    <mergeCell ref="PH110:PK110"/>
    <mergeCell ref="OT111:OW111"/>
    <mergeCell ref="PA111:PD111"/>
    <mergeCell ref="PH111:PK111"/>
    <mergeCell ref="OT112:OW112"/>
    <mergeCell ref="PA112:PD112"/>
    <mergeCell ref="PH112:PK112"/>
    <mergeCell ref="OT113:OW113"/>
    <mergeCell ref="PA113:PD113"/>
    <mergeCell ref="PH113:PK113"/>
    <mergeCell ref="OT114:OW114"/>
    <mergeCell ref="PA114:PD114"/>
    <mergeCell ref="PH114:PK114"/>
    <mergeCell ref="OT93:OW93"/>
    <mergeCell ref="PA93:PD93"/>
    <mergeCell ref="PH93:PK93"/>
    <mergeCell ref="OT94:OW94"/>
    <mergeCell ref="PA94:PD94"/>
    <mergeCell ref="PH94:PK94"/>
    <mergeCell ref="OT95:OW95"/>
    <mergeCell ref="PA95:PD95"/>
    <mergeCell ref="PH95:PK95"/>
    <mergeCell ref="OT96:OW96"/>
    <mergeCell ref="PA96:PD96"/>
    <mergeCell ref="PH96:PK96"/>
    <mergeCell ref="OT97:OW97"/>
    <mergeCell ref="PA97:PD97"/>
    <mergeCell ref="PH97:PK97"/>
    <mergeCell ref="OT98:OW98"/>
    <mergeCell ref="PA98:PD98"/>
    <mergeCell ref="PH98:PK98"/>
    <mergeCell ref="OT99:OW99"/>
    <mergeCell ref="PA99:PD99"/>
    <mergeCell ref="PH99:PK99"/>
    <mergeCell ref="OT100:OW100"/>
    <mergeCell ref="PA100:PD100"/>
    <mergeCell ref="PH100:PK100"/>
    <mergeCell ref="OT101:OW101"/>
    <mergeCell ref="PA101:PD101"/>
    <mergeCell ref="PH101:PK101"/>
    <mergeCell ref="OT102:OW102"/>
    <mergeCell ref="PA102:PD102"/>
    <mergeCell ref="PH102:PK102"/>
    <mergeCell ref="OT103:OW103"/>
    <mergeCell ref="PA103:PD103"/>
    <mergeCell ref="PH103:PK103"/>
    <mergeCell ref="OT82:OW82"/>
    <mergeCell ref="PA82:PD82"/>
    <mergeCell ref="PH82:PK82"/>
    <mergeCell ref="OT83:OW83"/>
    <mergeCell ref="PA83:PD83"/>
    <mergeCell ref="PH83:PK83"/>
    <mergeCell ref="OT84:OW84"/>
    <mergeCell ref="PA84:PD84"/>
    <mergeCell ref="PH84:PK84"/>
    <mergeCell ref="OT85:OW85"/>
    <mergeCell ref="PA85:PD85"/>
    <mergeCell ref="PH85:PK85"/>
    <mergeCell ref="OT86:OW86"/>
    <mergeCell ref="PA86:PD86"/>
    <mergeCell ref="PH86:PK86"/>
    <mergeCell ref="OT87:OW87"/>
    <mergeCell ref="PA87:PD87"/>
    <mergeCell ref="PH87:PK87"/>
    <mergeCell ref="OT88:OW88"/>
    <mergeCell ref="PA88:PD88"/>
    <mergeCell ref="PH88:PK88"/>
    <mergeCell ref="OT89:OW89"/>
    <mergeCell ref="PA89:PD89"/>
    <mergeCell ref="PH89:PK89"/>
    <mergeCell ref="OT90:OW90"/>
    <mergeCell ref="PA90:PD90"/>
    <mergeCell ref="PH90:PK90"/>
    <mergeCell ref="OT91:OW91"/>
    <mergeCell ref="PA91:PD91"/>
    <mergeCell ref="PH91:PK91"/>
    <mergeCell ref="OT92:OW92"/>
    <mergeCell ref="PA92:PD92"/>
    <mergeCell ref="PH92:PK92"/>
    <mergeCell ref="OT71:OW71"/>
    <mergeCell ref="PA71:PD71"/>
    <mergeCell ref="PH71:PK71"/>
    <mergeCell ref="OT72:OW72"/>
    <mergeCell ref="PA72:PD72"/>
    <mergeCell ref="PH72:PK72"/>
    <mergeCell ref="OT73:OW73"/>
    <mergeCell ref="PA73:PD73"/>
    <mergeCell ref="PH73:PK73"/>
    <mergeCell ref="OT74:OW74"/>
    <mergeCell ref="PA74:PD74"/>
    <mergeCell ref="PH74:PK74"/>
    <mergeCell ref="OT75:OW75"/>
    <mergeCell ref="PA75:PD75"/>
    <mergeCell ref="PH75:PK75"/>
    <mergeCell ref="OT76:OW76"/>
    <mergeCell ref="PA76:PD76"/>
    <mergeCell ref="PH76:PK76"/>
    <mergeCell ref="OT77:OW77"/>
    <mergeCell ref="PA77:PD77"/>
    <mergeCell ref="PH77:PK77"/>
    <mergeCell ref="OT78:OW78"/>
    <mergeCell ref="PA78:PD78"/>
    <mergeCell ref="PH78:PK78"/>
    <mergeCell ref="OT79:OW79"/>
    <mergeCell ref="PA79:PD79"/>
    <mergeCell ref="PH79:PK79"/>
    <mergeCell ref="OT80:OW80"/>
    <mergeCell ref="PA80:PD80"/>
    <mergeCell ref="PH80:PK80"/>
    <mergeCell ref="OT81:OW81"/>
    <mergeCell ref="PA81:PD81"/>
    <mergeCell ref="PH81:PK81"/>
    <mergeCell ref="OT58:OW58"/>
    <mergeCell ref="PA58:PD58"/>
    <mergeCell ref="PH58:PK58"/>
    <mergeCell ref="PA60:PD60"/>
    <mergeCell ref="PH60:PK60"/>
    <mergeCell ref="OT61:OW61"/>
    <mergeCell ref="PA61:PD61"/>
    <mergeCell ref="PH61:PK61"/>
    <mergeCell ref="OT62:OW62"/>
    <mergeCell ref="PA62:PD62"/>
    <mergeCell ref="PH62:PK62"/>
    <mergeCell ref="OT63:OW63"/>
    <mergeCell ref="PA63:PD63"/>
    <mergeCell ref="PH63:PK63"/>
    <mergeCell ref="OT64:OW64"/>
    <mergeCell ref="PA64:PD64"/>
    <mergeCell ref="PH64:PK64"/>
    <mergeCell ref="OT65:OW65"/>
    <mergeCell ref="PA65:PD65"/>
    <mergeCell ref="PH65:PK65"/>
    <mergeCell ref="OT66:OW66"/>
    <mergeCell ref="PA66:PD66"/>
    <mergeCell ref="PH66:PK66"/>
    <mergeCell ref="OT67:OW67"/>
    <mergeCell ref="PA67:PD67"/>
    <mergeCell ref="PH67:PK67"/>
    <mergeCell ref="OT68:OW68"/>
    <mergeCell ref="PA68:PD68"/>
    <mergeCell ref="PH68:PK68"/>
    <mergeCell ref="OT69:OW69"/>
    <mergeCell ref="PA69:PD69"/>
    <mergeCell ref="PH69:PK69"/>
    <mergeCell ref="OT70:OW70"/>
    <mergeCell ref="PA70:PD70"/>
    <mergeCell ref="PH70:PK70"/>
    <mergeCell ref="OT36:OW36"/>
    <mergeCell ref="PA36:PD36"/>
    <mergeCell ref="PH36:PK36"/>
    <mergeCell ref="OT37:OW37"/>
    <mergeCell ref="PA37:PD37"/>
    <mergeCell ref="PH37:PK37"/>
    <mergeCell ref="OT38:OW38"/>
    <mergeCell ref="PA38:PD38"/>
    <mergeCell ref="PH38:PK38"/>
    <mergeCell ref="OT39:OW39"/>
    <mergeCell ref="PA39:PD39"/>
    <mergeCell ref="PH39:PK39"/>
    <mergeCell ref="OT40:OW40"/>
    <mergeCell ref="PA40:PD40"/>
    <mergeCell ref="PH40:PK40"/>
    <mergeCell ref="OT41:OW41"/>
    <mergeCell ref="PA41:PD41"/>
    <mergeCell ref="PH41:PK41"/>
    <mergeCell ref="OT42:OW42"/>
    <mergeCell ref="PA42:PD42"/>
    <mergeCell ref="PH42:PK42"/>
    <mergeCell ref="OT54:OW54"/>
    <mergeCell ref="PA54:PD54"/>
    <mergeCell ref="PH54:PK54"/>
    <mergeCell ref="OT55:OW55"/>
    <mergeCell ref="PA55:PD55"/>
    <mergeCell ref="PH55:PK55"/>
    <mergeCell ref="OT56:OW56"/>
    <mergeCell ref="PA56:PD56"/>
    <mergeCell ref="PH56:PK56"/>
    <mergeCell ref="OT57:OW57"/>
    <mergeCell ref="PA57:PD57"/>
    <mergeCell ref="PH57:PK57"/>
    <mergeCell ref="OT45:OW45"/>
    <mergeCell ref="PA45:PD45"/>
    <mergeCell ref="PH45:PK45"/>
    <mergeCell ref="OT48:OW48"/>
    <mergeCell ref="PA48:PD48"/>
    <mergeCell ref="PH48:PK48"/>
    <mergeCell ref="OT51:OW51"/>
    <mergeCell ref="PA51:PD51"/>
    <mergeCell ref="PH51:PK51"/>
    <mergeCell ref="PA22:PD22"/>
    <mergeCell ref="PH22:PK22"/>
    <mergeCell ref="OT23:OW23"/>
    <mergeCell ref="PA23:PD23"/>
    <mergeCell ref="PH23:PK23"/>
    <mergeCell ref="OT26:OW26"/>
    <mergeCell ref="PA26:PD26"/>
    <mergeCell ref="PH26:PK26"/>
    <mergeCell ref="OT27:OW27"/>
    <mergeCell ref="PA27:PD27"/>
    <mergeCell ref="PH27:PK27"/>
    <mergeCell ref="OT28:OW28"/>
    <mergeCell ref="PA28:PD28"/>
    <mergeCell ref="PH28:PK28"/>
    <mergeCell ref="OT29:OW29"/>
    <mergeCell ref="PA29:PD29"/>
    <mergeCell ref="PH29:PK29"/>
    <mergeCell ref="OT30:OW30"/>
    <mergeCell ref="PA30:PD30"/>
    <mergeCell ref="PH30:PK30"/>
    <mergeCell ref="OT31:OW31"/>
    <mergeCell ref="PA31:PD31"/>
    <mergeCell ref="PH31:PK31"/>
    <mergeCell ref="OT32:OW32"/>
    <mergeCell ref="PA32:PD32"/>
    <mergeCell ref="PH32:PK32"/>
    <mergeCell ref="OT33:OW33"/>
    <mergeCell ref="PA33:PD33"/>
    <mergeCell ref="PH33:PK33"/>
    <mergeCell ref="OT34:OW34"/>
    <mergeCell ref="PA34:PD34"/>
    <mergeCell ref="PH34:PK34"/>
    <mergeCell ref="OT35:OW35"/>
    <mergeCell ref="PA35:PD35"/>
    <mergeCell ref="PH35:PK35"/>
    <mergeCell ref="NK208:NN208"/>
    <mergeCell ref="NR208:NU208"/>
    <mergeCell ref="NY208:OB208"/>
    <mergeCell ref="OF208:OI208"/>
    <mergeCell ref="OM208:OP208"/>
    <mergeCell ref="NK212:NN212"/>
    <mergeCell ref="NR212:NU212"/>
    <mergeCell ref="NY212:OB212"/>
    <mergeCell ref="OF212:OI212"/>
    <mergeCell ref="OM212:OP212"/>
    <mergeCell ref="NK213:NN213"/>
    <mergeCell ref="NR213:NU213"/>
    <mergeCell ref="NY213:OB213"/>
    <mergeCell ref="OF213:OI213"/>
    <mergeCell ref="OM213:OP213"/>
    <mergeCell ref="NK214:NN214"/>
    <mergeCell ref="NR214:NU214"/>
    <mergeCell ref="NY214:OB214"/>
    <mergeCell ref="OF214:OI214"/>
    <mergeCell ref="OM214:OP214"/>
    <mergeCell ref="NK215:NN215"/>
    <mergeCell ref="NR215:NU215"/>
    <mergeCell ref="NY215:OB215"/>
    <mergeCell ref="OF215:OI215"/>
    <mergeCell ref="OM215:OP215"/>
    <mergeCell ref="NK216:NN216"/>
    <mergeCell ref="NR216:NU216"/>
    <mergeCell ref="NY216:OB216"/>
    <mergeCell ref="OF216:OI216"/>
    <mergeCell ref="OM216:OP216"/>
    <mergeCell ref="OT11:OW11"/>
    <mergeCell ref="PA11:PD11"/>
    <mergeCell ref="PH11:PK11"/>
    <mergeCell ref="OT12:OW12"/>
    <mergeCell ref="PA12:PD12"/>
    <mergeCell ref="PH12:PK12"/>
    <mergeCell ref="OT13:OW13"/>
    <mergeCell ref="PA13:PD13"/>
    <mergeCell ref="PH13:PK13"/>
    <mergeCell ref="OT14:OW14"/>
    <mergeCell ref="PA14:PD14"/>
    <mergeCell ref="PH14:PK14"/>
    <mergeCell ref="OT15:OW15"/>
    <mergeCell ref="PA15:PD15"/>
    <mergeCell ref="PH15:PK15"/>
    <mergeCell ref="OT16:OW16"/>
    <mergeCell ref="PA16:PD16"/>
    <mergeCell ref="PH16:PK16"/>
    <mergeCell ref="OT17:OW17"/>
    <mergeCell ref="PA17:PD17"/>
    <mergeCell ref="PH17:PK17"/>
    <mergeCell ref="OT18:OW18"/>
    <mergeCell ref="PA18:PD18"/>
    <mergeCell ref="PH18:PK18"/>
    <mergeCell ref="OT19:OW19"/>
    <mergeCell ref="PA19:PD19"/>
    <mergeCell ref="PH19:PK19"/>
    <mergeCell ref="OT20:OW20"/>
    <mergeCell ref="PA20:PD20"/>
    <mergeCell ref="PH20:PK20"/>
    <mergeCell ref="OT21:OW21"/>
    <mergeCell ref="PA21:PD21"/>
    <mergeCell ref="PH21:PK21"/>
    <mergeCell ref="OT22:OW22"/>
    <mergeCell ref="NK201:NN201"/>
    <mergeCell ref="NR201:NU201"/>
    <mergeCell ref="NY201:OB201"/>
    <mergeCell ref="OF201:OI201"/>
    <mergeCell ref="OM201:OP201"/>
    <mergeCell ref="NK202:NN202"/>
    <mergeCell ref="NR202:NU202"/>
    <mergeCell ref="NY202:OB202"/>
    <mergeCell ref="OF202:OI202"/>
    <mergeCell ref="OM202:OP202"/>
    <mergeCell ref="NK203:NN203"/>
    <mergeCell ref="NR203:NU203"/>
    <mergeCell ref="NY203:OB203"/>
    <mergeCell ref="OF203:OI203"/>
    <mergeCell ref="OM203:OP203"/>
    <mergeCell ref="NK204:NN204"/>
    <mergeCell ref="NR204:NU204"/>
    <mergeCell ref="NY204:OB204"/>
    <mergeCell ref="OF204:OI204"/>
    <mergeCell ref="OM204:OP204"/>
    <mergeCell ref="NK205:NN205"/>
    <mergeCell ref="NR205:NU205"/>
    <mergeCell ref="NY205:OB205"/>
    <mergeCell ref="OF205:OI205"/>
    <mergeCell ref="OM205:OP205"/>
    <mergeCell ref="NK206:NN206"/>
    <mergeCell ref="NR206:NU206"/>
    <mergeCell ref="NY206:OB206"/>
    <mergeCell ref="OF206:OI206"/>
    <mergeCell ref="OM206:OP206"/>
    <mergeCell ref="NK207:NN207"/>
    <mergeCell ref="NR207:NU207"/>
    <mergeCell ref="NY207:OB207"/>
    <mergeCell ref="OF207:OI207"/>
    <mergeCell ref="OM207:OP207"/>
    <mergeCell ref="NK194:NN194"/>
    <mergeCell ref="NR194:NU194"/>
    <mergeCell ref="NY194:OB194"/>
    <mergeCell ref="OF194:OI194"/>
    <mergeCell ref="OM194:OP194"/>
    <mergeCell ref="NK195:NN195"/>
    <mergeCell ref="NR195:NU195"/>
    <mergeCell ref="NY195:OB195"/>
    <mergeCell ref="OF195:OI195"/>
    <mergeCell ref="OM195:OP195"/>
    <mergeCell ref="NK196:NN196"/>
    <mergeCell ref="NR196:NU196"/>
    <mergeCell ref="NY196:OB196"/>
    <mergeCell ref="OF196:OI196"/>
    <mergeCell ref="OM196:OP196"/>
    <mergeCell ref="NK197:NN197"/>
    <mergeCell ref="NR197:NU197"/>
    <mergeCell ref="NY197:OB197"/>
    <mergeCell ref="OF197:OI197"/>
    <mergeCell ref="OM197:OP197"/>
    <mergeCell ref="NK198:NN198"/>
    <mergeCell ref="NR198:NU198"/>
    <mergeCell ref="NY198:OB198"/>
    <mergeCell ref="OF198:OI198"/>
    <mergeCell ref="OM198:OP198"/>
    <mergeCell ref="NK199:NN199"/>
    <mergeCell ref="NR199:NU199"/>
    <mergeCell ref="NY199:OB199"/>
    <mergeCell ref="OF199:OI199"/>
    <mergeCell ref="OM199:OP199"/>
    <mergeCell ref="NK200:NN200"/>
    <mergeCell ref="NR200:NU200"/>
    <mergeCell ref="NY200:OB200"/>
    <mergeCell ref="OF200:OI200"/>
    <mergeCell ref="OM200:OP200"/>
    <mergeCell ref="NK187:NN187"/>
    <mergeCell ref="NR187:NU187"/>
    <mergeCell ref="NY187:OB187"/>
    <mergeCell ref="OF187:OI187"/>
    <mergeCell ref="OM187:OP187"/>
    <mergeCell ref="NK188:NN188"/>
    <mergeCell ref="NR188:NU188"/>
    <mergeCell ref="NY188:OB188"/>
    <mergeCell ref="OF188:OI188"/>
    <mergeCell ref="OM188:OP188"/>
    <mergeCell ref="NK189:NN189"/>
    <mergeCell ref="NR189:NU189"/>
    <mergeCell ref="NY189:OB189"/>
    <mergeCell ref="OF189:OI189"/>
    <mergeCell ref="OM189:OP189"/>
    <mergeCell ref="NK190:NN190"/>
    <mergeCell ref="NR190:NU190"/>
    <mergeCell ref="NY190:OB190"/>
    <mergeCell ref="OF190:OI190"/>
    <mergeCell ref="OM190:OP190"/>
    <mergeCell ref="NK191:NN191"/>
    <mergeCell ref="NR191:NU191"/>
    <mergeCell ref="NY191:OB191"/>
    <mergeCell ref="OF191:OI191"/>
    <mergeCell ref="OM191:OP191"/>
    <mergeCell ref="NK192:NN192"/>
    <mergeCell ref="NR192:NU192"/>
    <mergeCell ref="NY192:OB192"/>
    <mergeCell ref="OF192:OI192"/>
    <mergeCell ref="OM192:OP192"/>
    <mergeCell ref="NK193:NN193"/>
    <mergeCell ref="NR193:NU193"/>
    <mergeCell ref="NY193:OB193"/>
    <mergeCell ref="OF193:OI193"/>
    <mergeCell ref="OM193:OP193"/>
    <mergeCell ref="NK180:NN180"/>
    <mergeCell ref="NR180:NU180"/>
    <mergeCell ref="NY180:OB180"/>
    <mergeCell ref="OF180:OI180"/>
    <mergeCell ref="OM180:OP180"/>
    <mergeCell ref="NK181:NN181"/>
    <mergeCell ref="NR181:NU181"/>
    <mergeCell ref="NY181:OB181"/>
    <mergeCell ref="OF181:OI181"/>
    <mergeCell ref="OM181:OP181"/>
    <mergeCell ref="NK182:NN182"/>
    <mergeCell ref="NR182:NU182"/>
    <mergeCell ref="NY182:OB182"/>
    <mergeCell ref="OF182:OI182"/>
    <mergeCell ref="OM182:OP182"/>
    <mergeCell ref="NK183:NN183"/>
    <mergeCell ref="NR183:NU183"/>
    <mergeCell ref="NY183:OB183"/>
    <mergeCell ref="OF183:OI183"/>
    <mergeCell ref="OM183:OP183"/>
    <mergeCell ref="NK184:NN184"/>
    <mergeCell ref="NR184:NU184"/>
    <mergeCell ref="NY184:OB184"/>
    <mergeCell ref="OF184:OI184"/>
    <mergeCell ref="OM184:OP184"/>
    <mergeCell ref="NK185:NN185"/>
    <mergeCell ref="NR185:NU185"/>
    <mergeCell ref="NY185:OB185"/>
    <mergeCell ref="OF185:OI185"/>
    <mergeCell ref="OM185:OP185"/>
    <mergeCell ref="NK186:NN186"/>
    <mergeCell ref="NR186:NU186"/>
    <mergeCell ref="NY186:OB186"/>
    <mergeCell ref="OF186:OI186"/>
    <mergeCell ref="OM186:OP186"/>
    <mergeCell ref="NK173:NN173"/>
    <mergeCell ref="NR173:NU173"/>
    <mergeCell ref="NY173:OB173"/>
    <mergeCell ref="OF173:OI173"/>
    <mergeCell ref="OM173:OP173"/>
    <mergeCell ref="NK174:NN174"/>
    <mergeCell ref="NR174:NU174"/>
    <mergeCell ref="NY174:OB174"/>
    <mergeCell ref="OF174:OI174"/>
    <mergeCell ref="OM174:OP174"/>
    <mergeCell ref="NK175:NN175"/>
    <mergeCell ref="NR175:NU175"/>
    <mergeCell ref="NY175:OB175"/>
    <mergeCell ref="OF175:OI175"/>
    <mergeCell ref="OM175:OP175"/>
    <mergeCell ref="NK176:NN176"/>
    <mergeCell ref="NR176:NU176"/>
    <mergeCell ref="NY176:OB176"/>
    <mergeCell ref="OF176:OI176"/>
    <mergeCell ref="OM176:OP176"/>
    <mergeCell ref="NK177:NN177"/>
    <mergeCell ref="NR177:NU177"/>
    <mergeCell ref="NY177:OB177"/>
    <mergeCell ref="OF177:OI177"/>
    <mergeCell ref="OM177:OP177"/>
    <mergeCell ref="NK178:NN178"/>
    <mergeCell ref="NR178:NU178"/>
    <mergeCell ref="NY178:OB178"/>
    <mergeCell ref="OF178:OI178"/>
    <mergeCell ref="OM178:OP178"/>
    <mergeCell ref="NK179:NN179"/>
    <mergeCell ref="NR179:NU179"/>
    <mergeCell ref="NY179:OB179"/>
    <mergeCell ref="OF179:OI179"/>
    <mergeCell ref="OM179:OP179"/>
    <mergeCell ref="NK162:NN162"/>
    <mergeCell ref="NR162:NU162"/>
    <mergeCell ref="NY162:OB162"/>
    <mergeCell ref="OF162:OI162"/>
    <mergeCell ref="OM162:OP162"/>
    <mergeCell ref="OM166:OP166"/>
    <mergeCell ref="NK167:NN167"/>
    <mergeCell ref="NR167:NU167"/>
    <mergeCell ref="NY167:OB167"/>
    <mergeCell ref="OF167:OI167"/>
    <mergeCell ref="OM167:OP167"/>
    <mergeCell ref="NK168:NN168"/>
    <mergeCell ref="NR168:NU168"/>
    <mergeCell ref="NY168:OB168"/>
    <mergeCell ref="OF168:OI168"/>
    <mergeCell ref="OM168:OP168"/>
    <mergeCell ref="NK169:NN169"/>
    <mergeCell ref="NR169:NU169"/>
    <mergeCell ref="NY169:OB169"/>
    <mergeCell ref="OF169:OI169"/>
    <mergeCell ref="OM169:OP169"/>
    <mergeCell ref="NK170:NN170"/>
    <mergeCell ref="NR170:NU170"/>
    <mergeCell ref="NY170:OB170"/>
    <mergeCell ref="OF170:OI170"/>
    <mergeCell ref="OM170:OP170"/>
    <mergeCell ref="NK171:NN171"/>
    <mergeCell ref="NR171:NU171"/>
    <mergeCell ref="NY171:OB171"/>
    <mergeCell ref="OF171:OI171"/>
    <mergeCell ref="OM171:OP171"/>
    <mergeCell ref="NK172:NN172"/>
    <mergeCell ref="NR172:NU172"/>
    <mergeCell ref="NY172:OB172"/>
    <mergeCell ref="OF172:OI172"/>
    <mergeCell ref="OM172:OP172"/>
    <mergeCell ref="NK155:NN155"/>
    <mergeCell ref="NR155:NU155"/>
    <mergeCell ref="NY155:OB155"/>
    <mergeCell ref="OF155:OI155"/>
    <mergeCell ref="OM155:OP155"/>
    <mergeCell ref="NK156:NN156"/>
    <mergeCell ref="NR156:NU156"/>
    <mergeCell ref="NY156:OB156"/>
    <mergeCell ref="OF156:OI156"/>
    <mergeCell ref="OM156:OP156"/>
    <mergeCell ref="NK157:NN157"/>
    <mergeCell ref="NR157:NU157"/>
    <mergeCell ref="NY157:OB157"/>
    <mergeCell ref="OF157:OI157"/>
    <mergeCell ref="OM157:OP157"/>
    <mergeCell ref="NK158:NN158"/>
    <mergeCell ref="NR158:NU158"/>
    <mergeCell ref="NY158:OB158"/>
    <mergeCell ref="OF158:OI158"/>
    <mergeCell ref="OM158:OP158"/>
    <mergeCell ref="NK159:NN159"/>
    <mergeCell ref="NR159:NU159"/>
    <mergeCell ref="NY159:OB159"/>
    <mergeCell ref="OF159:OI159"/>
    <mergeCell ref="OM159:OP159"/>
    <mergeCell ref="NK160:NN160"/>
    <mergeCell ref="NR160:NU160"/>
    <mergeCell ref="NY160:OB160"/>
    <mergeCell ref="OF160:OI160"/>
    <mergeCell ref="OM160:OP160"/>
    <mergeCell ref="NK161:NN161"/>
    <mergeCell ref="NR161:NU161"/>
    <mergeCell ref="NY161:OB161"/>
    <mergeCell ref="OF161:OI161"/>
    <mergeCell ref="OM161:OP161"/>
    <mergeCell ref="OF147:OI147"/>
    <mergeCell ref="OM147:OP147"/>
    <mergeCell ref="NK148:NN148"/>
    <mergeCell ref="NR148:NU148"/>
    <mergeCell ref="NY148:OB148"/>
    <mergeCell ref="OF148:OI148"/>
    <mergeCell ref="OM148:OP148"/>
    <mergeCell ref="NK149:NN149"/>
    <mergeCell ref="NR149:NU149"/>
    <mergeCell ref="NY149:OB149"/>
    <mergeCell ref="OF149:OI149"/>
    <mergeCell ref="OM149:OP149"/>
    <mergeCell ref="NK150:NN150"/>
    <mergeCell ref="NR150:NU150"/>
    <mergeCell ref="NY150:OB150"/>
    <mergeCell ref="OF150:OI150"/>
    <mergeCell ref="OM150:OP150"/>
    <mergeCell ref="NK151:NN151"/>
    <mergeCell ref="NR151:NU151"/>
    <mergeCell ref="NY151:OB151"/>
    <mergeCell ref="OF151:OI151"/>
    <mergeCell ref="OM151:OP151"/>
    <mergeCell ref="NK152:NN152"/>
    <mergeCell ref="NR152:NU152"/>
    <mergeCell ref="NY152:OB152"/>
    <mergeCell ref="OF152:OI152"/>
    <mergeCell ref="OM152:OP152"/>
    <mergeCell ref="NK153:NN153"/>
    <mergeCell ref="NR153:NU153"/>
    <mergeCell ref="NY153:OB153"/>
    <mergeCell ref="OF153:OI153"/>
    <mergeCell ref="OM153:OP153"/>
    <mergeCell ref="NK154:NN154"/>
    <mergeCell ref="NR154:NU154"/>
    <mergeCell ref="NY154:OB154"/>
    <mergeCell ref="OF154:OI154"/>
    <mergeCell ref="OM154:OP154"/>
    <mergeCell ref="NK137:NN137"/>
    <mergeCell ref="NR137:NU137"/>
    <mergeCell ref="NY137:OB137"/>
    <mergeCell ref="OF137:OI137"/>
    <mergeCell ref="OM137:OP137"/>
    <mergeCell ref="NK138:NN138"/>
    <mergeCell ref="NR138:NU138"/>
    <mergeCell ref="NY138:OB138"/>
    <mergeCell ref="OF138:OI138"/>
    <mergeCell ref="OM138:OP138"/>
    <mergeCell ref="NK139:NN139"/>
    <mergeCell ref="NR139:NU139"/>
    <mergeCell ref="NY139:OB139"/>
    <mergeCell ref="OF139:OI139"/>
    <mergeCell ref="OM139:OP139"/>
    <mergeCell ref="NK140:NN140"/>
    <mergeCell ref="NR140:NU140"/>
    <mergeCell ref="NY140:OB140"/>
    <mergeCell ref="OF140:OI140"/>
    <mergeCell ref="OM140:OP140"/>
    <mergeCell ref="NK142:NN142"/>
    <mergeCell ref="NR142:NU142"/>
    <mergeCell ref="NY142:OB142"/>
    <mergeCell ref="OF142:OI142"/>
    <mergeCell ref="OM142:OP142"/>
    <mergeCell ref="NK143:NN143"/>
    <mergeCell ref="NR143:NU143"/>
    <mergeCell ref="NY143:OB143"/>
    <mergeCell ref="OF143:OI143"/>
    <mergeCell ref="OM143:OP143"/>
    <mergeCell ref="NK144:NN144"/>
    <mergeCell ref="NR144:NU144"/>
    <mergeCell ref="NY144:OB144"/>
    <mergeCell ref="OF144:OI144"/>
    <mergeCell ref="OM144:OP144"/>
    <mergeCell ref="NK130:NN130"/>
    <mergeCell ref="NR130:NU130"/>
    <mergeCell ref="NY130:OB130"/>
    <mergeCell ref="OF130:OI130"/>
    <mergeCell ref="OM130:OP130"/>
    <mergeCell ref="NK131:NN131"/>
    <mergeCell ref="NR131:NU131"/>
    <mergeCell ref="NY131:OB131"/>
    <mergeCell ref="OF131:OI131"/>
    <mergeCell ref="OM131:OP131"/>
    <mergeCell ref="NK132:NN132"/>
    <mergeCell ref="NR132:NU132"/>
    <mergeCell ref="NY132:OB132"/>
    <mergeCell ref="OF132:OI132"/>
    <mergeCell ref="OM132:OP132"/>
    <mergeCell ref="NK133:NN133"/>
    <mergeCell ref="NR133:NU133"/>
    <mergeCell ref="NY133:OB133"/>
    <mergeCell ref="OF133:OI133"/>
    <mergeCell ref="OM133:OP133"/>
    <mergeCell ref="NK134:NN134"/>
    <mergeCell ref="NR134:NU134"/>
    <mergeCell ref="NY134:OB134"/>
    <mergeCell ref="OF134:OI134"/>
    <mergeCell ref="OM134:OP134"/>
    <mergeCell ref="NK135:NN135"/>
    <mergeCell ref="NR135:NU135"/>
    <mergeCell ref="NY135:OB135"/>
    <mergeCell ref="OF135:OI135"/>
    <mergeCell ref="OM135:OP135"/>
    <mergeCell ref="NK136:NN136"/>
    <mergeCell ref="NR136:NU136"/>
    <mergeCell ref="NY136:OB136"/>
    <mergeCell ref="OF136:OI136"/>
    <mergeCell ref="OM136:OP136"/>
    <mergeCell ref="NK123:NN123"/>
    <mergeCell ref="NR123:NU123"/>
    <mergeCell ref="NY123:OB123"/>
    <mergeCell ref="OF123:OI123"/>
    <mergeCell ref="OM123:OP123"/>
    <mergeCell ref="NK124:NN124"/>
    <mergeCell ref="NR124:NU124"/>
    <mergeCell ref="NY124:OB124"/>
    <mergeCell ref="OF124:OI124"/>
    <mergeCell ref="OM124:OP124"/>
    <mergeCell ref="NK125:NN125"/>
    <mergeCell ref="NR125:NU125"/>
    <mergeCell ref="NY125:OB125"/>
    <mergeCell ref="OF125:OI125"/>
    <mergeCell ref="OM125:OP125"/>
    <mergeCell ref="NK126:NN126"/>
    <mergeCell ref="NR126:NU126"/>
    <mergeCell ref="NY126:OB126"/>
    <mergeCell ref="OF126:OI126"/>
    <mergeCell ref="OM126:OP126"/>
    <mergeCell ref="NK127:NN127"/>
    <mergeCell ref="NR127:NU127"/>
    <mergeCell ref="NY127:OB127"/>
    <mergeCell ref="OF127:OI127"/>
    <mergeCell ref="OM127:OP127"/>
    <mergeCell ref="NK128:NN128"/>
    <mergeCell ref="NR128:NU128"/>
    <mergeCell ref="NY128:OB128"/>
    <mergeCell ref="OF128:OI128"/>
    <mergeCell ref="OM128:OP128"/>
    <mergeCell ref="NK129:NN129"/>
    <mergeCell ref="NR129:NU129"/>
    <mergeCell ref="NY129:OB129"/>
    <mergeCell ref="OF129:OI129"/>
    <mergeCell ref="OM129:OP129"/>
    <mergeCell ref="NK115:NN115"/>
    <mergeCell ref="NR115:NU115"/>
    <mergeCell ref="NY115:OB115"/>
    <mergeCell ref="OF115:OI115"/>
    <mergeCell ref="OM115:OP115"/>
    <mergeCell ref="NK116:NN116"/>
    <mergeCell ref="NR116:NU116"/>
    <mergeCell ref="NY116:OB116"/>
    <mergeCell ref="OF116:OI116"/>
    <mergeCell ref="OM116:OP116"/>
    <mergeCell ref="NK117:NN117"/>
    <mergeCell ref="NR117:NU117"/>
    <mergeCell ref="NY117:OB117"/>
    <mergeCell ref="OF117:OI117"/>
    <mergeCell ref="OM117:OP117"/>
    <mergeCell ref="NK118:NN118"/>
    <mergeCell ref="NR118:NU118"/>
    <mergeCell ref="NY118:OB118"/>
    <mergeCell ref="OF118:OI118"/>
    <mergeCell ref="OM118:OP118"/>
    <mergeCell ref="NK120:NN120"/>
    <mergeCell ref="NR120:NU120"/>
    <mergeCell ref="NY120:OB120"/>
    <mergeCell ref="OF120:OI120"/>
    <mergeCell ref="OM120:OP120"/>
    <mergeCell ref="NK121:NN121"/>
    <mergeCell ref="NR121:NU121"/>
    <mergeCell ref="NY121:OB121"/>
    <mergeCell ref="OF121:OI121"/>
    <mergeCell ref="OM121:OP121"/>
    <mergeCell ref="NK122:NN122"/>
    <mergeCell ref="NR122:NU122"/>
    <mergeCell ref="NY122:OB122"/>
    <mergeCell ref="OF122:OI122"/>
    <mergeCell ref="OM122:OP122"/>
    <mergeCell ref="NK108:NN108"/>
    <mergeCell ref="NR108:NU108"/>
    <mergeCell ref="NY108:OB108"/>
    <mergeCell ref="OF108:OI108"/>
    <mergeCell ref="OM108:OP108"/>
    <mergeCell ref="NK109:NN109"/>
    <mergeCell ref="NR109:NU109"/>
    <mergeCell ref="NY109:OB109"/>
    <mergeCell ref="OF109:OI109"/>
    <mergeCell ref="OM109:OP109"/>
    <mergeCell ref="NK110:NN110"/>
    <mergeCell ref="NR110:NU110"/>
    <mergeCell ref="NY110:OB110"/>
    <mergeCell ref="OF110:OI110"/>
    <mergeCell ref="OM110:OP110"/>
    <mergeCell ref="NK111:NN111"/>
    <mergeCell ref="NR111:NU111"/>
    <mergeCell ref="NY111:OB111"/>
    <mergeCell ref="OF111:OI111"/>
    <mergeCell ref="OM111:OP111"/>
    <mergeCell ref="NK112:NN112"/>
    <mergeCell ref="NR112:NU112"/>
    <mergeCell ref="NY112:OB112"/>
    <mergeCell ref="OF112:OI112"/>
    <mergeCell ref="OM112:OP112"/>
    <mergeCell ref="NK113:NN113"/>
    <mergeCell ref="NR113:NU113"/>
    <mergeCell ref="NY113:OB113"/>
    <mergeCell ref="OF113:OI113"/>
    <mergeCell ref="OM113:OP113"/>
    <mergeCell ref="NK114:NN114"/>
    <mergeCell ref="NR114:NU114"/>
    <mergeCell ref="NY114:OB114"/>
    <mergeCell ref="OF114:OI114"/>
    <mergeCell ref="OM114:OP114"/>
    <mergeCell ref="NK101:NN101"/>
    <mergeCell ref="NR101:NU101"/>
    <mergeCell ref="NY101:OB101"/>
    <mergeCell ref="OF101:OI101"/>
    <mergeCell ref="OM101:OP101"/>
    <mergeCell ref="NK102:NN102"/>
    <mergeCell ref="NR102:NU102"/>
    <mergeCell ref="NY102:OB102"/>
    <mergeCell ref="OF102:OI102"/>
    <mergeCell ref="OM102:OP102"/>
    <mergeCell ref="NK103:NN103"/>
    <mergeCell ref="NR103:NU103"/>
    <mergeCell ref="NY103:OB103"/>
    <mergeCell ref="OF103:OI103"/>
    <mergeCell ref="OM103:OP103"/>
    <mergeCell ref="NK104:NN104"/>
    <mergeCell ref="NR104:NU104"/>
    <mergeCell ref="NY104:OB104"/>
    <mergeCell ref="OF104:OI104"/>
    <mergeCell ref="OM104:OP104"/>
    <mergeCell ref="NK105:NN105"/>
    <mergeCell ref="NR105:NU105"/>
    <mergeCell ref="NY105:OB105"/>
    <mergeCell ref="OF105:OI105"/>
    <mergeCell ref="OM105:OP105"/>
    <mergeCell ref="NK106:NN106"/>
    <mergeCell ref="NR106:NU106"/>
    <mergeCell ref="NY106:OB106"/>
    <mergeCell ref="OF106:OI106"/>
    <mergeCell ref="OM106:OP106"/>
    <mergeCell ref="NK107:NN107"/>
    <mergeCell ref="NR107:NU107"/>
    <mergeCell ref="NY107:OB107"/>
    <mergeCell ref="OF107:OI107"/>
    <mergeCell ref="OM107:OP107"/>
    <mergeCell ref="NK93:NN93"/>
    <mergeCell ref="NR93:NU93"/>
    <mergeCell ref="NY93:OB93"/>
    <mergeCell ref="OF93:OI93"/>
    <mergeCell ref="OM93:OP93"/>
    <mergeCell ref="NK94:NN94"/>
    <mergeCell ref="NR94:NU94"/>
    <mergeCell ref="NY94:OB94"/>
    <mergeCell ref="OF94:OI94"/>
    <mergeCell ref="OM94:OP94"/>
    <mergeCell ref="NK95:NN95"/>
    <mergeCell ref="NR95:NU95"/>
    <mergeCell ref="NY95:OB95"/>
    <mergeCell ref="OF95:OI95"/>
    <mergeCell ref="OM95:OP95"/>
    <mergeCell ref="NK96:NN96"/>
    <mergeCell ref="NR96:NU96"/>
    <mergeCell ref="NY96:OB96"/>
    <mergeCell ref="OF96:OI96"/>
    <mergeCell ref="OM96:OP96"/>
    <mergeCell ref="NK98:NN98"/>
    <mergeCell ref="NR98:NU98"/>
    <mergeCell ref="NY98:OB98"/>
    <mergeCell ref="OF98:OI98"/>
    <mergeCell ref="OM98:OP98"/>
    <mergeCell ref="NK99:NN99"/>
    <mergeCell ref="NR99:NU99"/>
    <mergeCell ref="NY99:OB99"/>
    <mergeCell ref="OF99:OI99"/>
    <mergeCell ref="OM99:OP99"/>
    <mergeCell ref="NK100:NN100"/>
    <mergeCell ref="NR100:NU100"/>
    <mergeCell ref="NY100:OB100"/>
    <mergeCell ref="OF100:OI100"/>
    <mergeCell ref="OM100:OP100"/>
    <mergeCell ref="NK86:NN86"/>
    <mergeCell ref="NR86:NU86"/>
    <mergeCell ref="NY86:OB86"/>
    <mergeCell ref="OF86:OI86"/>
    <mergeCell ref="OM86:OP86"/>
    <mergeCell ref="NK87:NN87"/>
    <mergeCell ref="NR87:NU87"/>
    <mergeCell ref="NY87:OB87"/>
    <mergeCell ref="OF87:OI87"/>
    <mergeCell ref="OM87:OP87"/>
    <mergeCell ref="NK88:NN88"/>
    <mergeCell ref="NR88:NU88"/>
    <mergeCell ref="NY88:OB88"/>
    <mergeCell ref="OF88:OI88"/>
    <mergeCell ref="OM88:OP88"/>
    <mergeCell ref="NK89:NN89"/>
    <mergeCell ref="NR89:NU89"/>
    <mergeCell ref="NY89:OB89"/>
    <mergeCell ref="OF89:OI89"/>
    <mergeCell ref="OM89:OP89"/>
    <mergeCell ref="NK90:NN90"/>
    <mergeCell ref="NR90:NU90"/>
    <mergeCell ref="NY90:OB90"/>
    <mergeCell ref="OF90:OI90"/>
    <mergeCell ref="OM90:OP90"/>
    <mergeCell ref="NK91:NN91"/>
    <mergeCell ref="NR91:NU91"/>
    <mergeCell ref="NY91:OB91"/>
    <mergeCell ref="OF91:OI91"/>
    <mergeCell ref="OM91:OP91"/>
    <mergeCell ref="NK92:NN92"/>
    <mergeCell ref="NR92:NU92"/>
    <mergeCell ref="NY92:OB92"/>
    <mergeCell ref="OF92:OI92"/>
    <mergeCell ref="OM92:OP92"/>
    <mergeCell ref="NK79:NN79"/>
    <mergeCell ref="NR79:NU79"/>
    <mergeCell ref="NY79:OB79"/>
    <mergeCell ref="OF79:OI79"/>
    <mergeCell ref="OM79:OP79"/>
    <mergeCell ref="NK80:NN80"/>
    <mergeCell ref="NR80:NU80"/>
    <mergeCell ref="NY80:OB80"/>
    <mergeCell ref="OF80:OI80"/>
    <mergeCell ref="OM80:OP80"/>
    <mergeCell ref="NK81:NN81"/>
    <mergeCell ref="NR81:NU81"/>
    <mergeCell ref="NY81:OB81"/>
    <mergeCell ref="OF81:OI81"/>
    <mergeCell ref="OM81:OP81"/>
    <mergeCell ref="NK82:NN82"/>
    <mergeCell ref="NR82:NU82"/>
    <mergeCell ref="NY82:OB82"/>
    <mergeCell ref="OF82:OI82"/>
    <mergeCell ref="OM82:OP82"/>
    <mergeCell ref="NK83:NN83"/>
    <mergeCell ref="NR83:NU83"/>
    <mergeCell ref="NY83:OB83"/>
    <mergeCell ref="OF83:OI83"/>
    <mergeCell ref="OM83:OP83"/>
    <mergeCell ref="NK84:NN84"/>
    <mergeCell ref="NR84:NU84"/>
    <mergeCell ref="NY84:OB84"/>
    <mergeCell ref="OF84:OI84"/>
    <mergeCell ref="OM84:OP84"/>
    <mergeCell ref="NK85:NN85"/>
    <mergeCell ref="NR85:NU85"/>
    <mergeCell ref="NY85:OB85"/>
    <mergeCell ref="OF85:OI85"/>
    <mergeCell ref="OM85:OP85"/>
    <mergeCell ref="NK71:NN71"/>
    <mergeCell ref="NR71:NU71"/>
    <mergeCell ref="NY71:OB71"/>
    <mergeCell ref="OF71:OI71"/>
    <mergeCell ref="OM71:OP71"/>
    <mergeCell ref="NK72:NN72"/>
    <mergeCell ref="NR72:NU72"/>
    <mergeCell ref="NY72:OB72"/>
    <mergeCell ref="OF72:OI72"/>
    <mergeCell ref="OM72:OP72"/>
    <mergeCell ref="NK73:NN73"/>
    <mergeCell ref="NR73:NU73"/>
    <mergeCell ref="NY73:OB73"/>
    <mergeCell ref="OF73:OI73"/>
    <mergeCell ref="OM73:OP73"/>
    <mergeCell ref="NK74:NN74"/>
    <mergeCell ref="NR74:NU74"/>
    <mergeCell ref="NY74:OB74"/>
    <mergeCell ref="OF74:OI74"/>
    <mergeCell ref="OM74:OP74"/>
    <mergeCell ref="NK68:NN68"/>
    <mergeCell ref="OM75:OP75"/>
    <mergeCell ref="NK76:NN76"/>
    <mergeCell ref="NR76:NU76"/>
    <mergeCell ref="NY76:OB76"/>
    <mergeCell ref="OF76:OI76"/>
    <mergeCell ref="OM76:OP76"/>
    <mergeCell ref="NK77:NN77"/>
    <mergeCell ref="NR77:NU77"/>
    <mergeCell ref="NY77:OB77"/>
    <mergeCell ref="OF77:OI77"/>
    <mergeCell ref="OM77:OP77"/>
    <mergeCell ref="NK78:NN78"/>
    <mergeCell ref="NR78:NU78"/>
    <mergeCell ref="NY78:OB78"/>
    <mergeCell ref="OF78:OI78"/>
    <mergeCell ref="OM78:OP78"/>
    <mergeCell ref="NK64:NN64"/>
    <mergeCell ref="NR64:NU64"/>
    <mergeCell ref="NY64:OB64"/>
    <mergeCell ref="OF64:OI64"/>
    <mergeCell ref="OM64:OP64"/>
    <mergeCell ref="NK65:NN65"/>
    <mergeCell ref="NR65:NU65"/>
    <mergeCell ref="NY65:OB65"/>
    <mergeCell ref="OF65:OI65"/>
    <mergeCell ref="OM65:OP65"/>
    <mergeCell ref="NK66:NN66"/>
    <mergeCell ref="NR66:NU66"/>
    <mergeCell ref="NY66:OB66"/>
    <mergeCell ref="OF66:OI66"/>
    <mergeCell ref="OM66:OP66"/>
    <mergeCell ref="NK67:NN67"/>
    <mergeCell ref="NR67:NU67"/>
    <mergeCell ref="NY67:OB67"/>
    <mergeCell ref="OF67:OI67"/>
    <mergeCell ref="OM67:OP67"/>
    <mergeCell ref="NR68:NU68"/>
    <mergeCell ref="NY68:OB68"/>
    <mergeCell ref="OF68:OI68"/>
    <mergeCell ref="OM68:OP68"/>
    <mergeCell ref="NK69:NN69"/>
    <mergeCell ref="NR69:NU69"/>
    <mergeCell ref="NY69:OB69"/>
    <mergeCell ref="OF69:OI69"/>
    <mergeCell ref="OM69:OP69"/>
    <mergeCell ref="NK70:NN70"/>
    <mergeCell ref="NR70:NU70"/>
    <mergeCell ref="NY70:OB70"/>
    <mergeCell ref="OF70:OI70"/>
    <mergeCell ref="OM70:OP70"/>
    <mergeCell ref="NK57:NN57"/>
    <mergeCell ref="NR57:NU57"/>
    <mergeCell ref="NY57:OB57"/>
    <mergeCell ref="OF57:OI57"/>
    <mergeCell ref="OM57:OP57"/>
    <mergeCell ref="NK58:NN58"/>
    <mergeCell ref="NR58:NU58"/>
    <mergeCell ref="NY58:OB58"/>
    <mergeCell ref="OF58:OI58"/>
    <mergeCell ref="OM58:OP58"/>
    <mergeCell ref="NK59:NN59"/>
    <mergeCell ref="NR59:NU59"/>
    <mergeCell ref="NY59:OB59"/>
    <mergeCell ref="OF59:OI59"/>
    <mergeCell ref="OM59:OP59"/>
    <mergeCell ref="NK60:NN60"/>
    <mergeCell ref="NR60:NU60"/>
    <mergeCell ref="NY60:OB60"/>
    <mergeCell ref="OF60:OI60"/>
    <mergeCell ref="OM60:OP60"/>
    <mergeCell ref="NK61:NN61"/>
    <mergeCell ref="NR61:NU61"/>
    <mergeCell ref="NY61:OB61"/>
    <mergeCell ref="OF61:OI61"/>
    <mergeCell ref="OM61:OP61"/>
    <mergeCell ref="NK62:NN62"/>
    <mergeCell ref="NR62:NU62"/>
    <mergeCell ref="NY62:OB62"/>
    <mergeCell ref="OF62:OI62"/>
    <mergeCell ref="OM62:OP62"/>
    <mergeCell ref="NK63:NN63"/>
    <mergeCell ref="NR63:NU63"/>
    <mergeCell ref="NY63:OB63"/>
    <mergeCell ref="OF63:OI63"/>
    <mergeCell ref="OM63:OP63"/>
    <mergeCell ref="NR38:NU38"/>
    <mergeCell ref="NY38:OB38"/>
    <mergeCell ref="OF38:OI38"/>
    <mergeCell ref="OM38:OP38"/>
    <mergeCell ref="NK39:NN39"/>
    <mergeCell ref="NR39:NU39"/>
    <mergeCell ref="NY39:OB39"/>
    <mergeCell ref="OF39:OI39"/>
    <mergeCell ref="OM39:OP39"/>
    <mergeCell ref="NK40:NN40"/>
    <mergeCell ref="NR40:NU40"/>
    <mergeCell ref="NY40:OB40"/>
    <mergeCell ref="OF40:OI40"/>
    <mergeCell ref="OM40:OP40"/>
    <mergeCell ref="NK41:NN41"/>
    <mergeCell ref="NR41:NU41"/>
    <mergeCell ref="NY41:OB41"/>
    <mergeCell ref="OF41:OI41"/>
    <mergeCell ref="OM41:OP41"/>
    <mergeCell ref="NK54:NN54"/>
    <mergeCell ref="NR54:NU54"/>
    <mergeCell ref="NY54:OB54"/>
    <mergeCell ref="OF54:OI54"/>
    <mergeCell ref="OM54:OP54"/>
    <mergeCell ref="NK55:NN55"/>
    <mergeCell ref="NR55:NU55"/>
    <mergeCell ref="NY55:OB55"/>
    <mergeCell ref="OF55:OI55"/>
    <mergeCell ref="OM55:OP55"/>
    <mergeCell ref="NK56:NN56"/>
    <mergeCell ref="NR56:NU56"/>
    <mergeCell ref="NY56:OB56"/>
    <mergeCell ref="OF56:OI56"/>
    <mergeCell ref="OM56:OP56"/>
    <mergeCell ref="NK45:NN45"/>
    <mergeCell ref="NR45:NU45"/>
    <mergeCell ref="NY45:OB45"/>
    <mergeCell ref="OF45:OI45"/>
    <mergeCell ref="OM45:OP45"/>
    <mergeCell ref="NK48:NN48"/>
    <mergeCell ref="NR48:NU48"/>
    <mergeCell ref="NY48:OB48"/>
    <mergeCell ref="OF48:OI48"/>
    <mergeCell ref="OM48:OP48"/>
    <mergeCell ref="NK51:NN51"/>
    <mergeCell ref="NR51:NU51"/>
    <mergeCell ref="NY51:OB51"/>
    <mergeCell ref="OF51:OI51"/>
    <mergeCell ref="OM51:OP51"/>
    <mergeCell ref="NK29:NN29"/>
    <mergeCell ref="NR29:NU29"/>
    <mergeCell ref="NY29:OB29"/>
    <mergeCell ref="OF29:OI29"/>
    <mergeCell ref="OM29:OP29"/>
    <mergeCell ref="NK30:NN30"/>
    <mergeCell ref="NR30:NU30"/>
    <mergeCell ref="NY30:OB30"/>
    <mergeCell ref="OF30:OI30"/>
    <mergeCell ref="OM30:OP30"/>
    <mergeCell ref="NK31:NN31"/>
    <mergeCell ref="NR31:NU31"/>
    <mergeCell ref="NY31:OB31"/>
    <mergeCell ref="OF31:OI31"/>
    <mergeCell ref="OM31:OP31"/>
    <mergeCell ref="NK32:NN32"/>
    <mergeCell ref="NR32:NU32"/>
    <mergeCell ref="NY32:OB32"/>
    <mergeCell ref="OF32:OI32"/>
    <mergeCell ref="OM32:OP32"/>
    <mergeCell ref="NR35:NU35"/>
    <mergeCell ref="NY35:OB35"/>
    <mergeCell ref="OF35:OI35"/>
    <mergeCell ref="OM35:OP35"/>
    <mergeCell ref="NK36:NN36"/>
    <mergeCell ref="NR36:NU36"/>
    <mergeCell ref="NY36:OB36"/>
    <mergeCell ref="OF36:OI36"/>
    <mergeCell ref="OM36:OP36"/>
    <mergeCell ref="NK37:NN37"/>
    <mergeCell ref="NR37:NU37"/>
    <mergeCell ref="NY37:OB37"/>
    <mergeCell ref="OF37:OI37"/>
    <mergeCell ref="OM37:OP37"/>
    <mergeCell ref="NK18:NN18"/>
    <mergeCell ref="NR18:NU18"/>
    <mergeCell ref="NY18:OB18"/>
    <mergeCell ref="OF18:OI18"/>
    <mergeCell ref="NK19:NN19"/>
    <mergeCell ref="NR19:NU19"/>
    <mergeCell ref="NY19:OB19"/>
    <mergeCell ref="OF19:OI19"/>
    <mergeCell ref="OM19:OP19"/>
    <mergeCell ref="NK20:NN20"/>
    <mergeCell ref="NR20:NU20"/>
    <mergeCell ref="NY20:OB20"/>
    <mergeCell ref="OF20:OI20"/>
    <mergeCell ref="OM20:OP20"/>
    <mergeCell ref="NK21:NN21"/>
    <mergeCell ref="NR21:NU21"/>
    <mergeCell ref="NY21:OB21"/>
    <mergeCell ref="OF21:OI21"/>
    <mergeCell ref="OM21:OP21"/>
    <mergeCell ref="NK22:NN22"/>
    <mergeCell ref="NR22:NU22"/>
    <mergeCell ref="NY22:OB22"/>
    <mergeCell ref="OF22:OI22"/>
    <mergeCell ref="OM22:OP22"/>
    <mergeCell ref="NK23:NN23"/>
    <mergeCell ref="NR23:NU23"/>
    <mergeCell ref="NY23:OB23"/>
    <mergeCell ref="OF23:OI23"/>
    <mergeCell ref="OM23:OP23"/>
    <mergeCell ref="NK24:NN24"/>
    <mergeCell ref="NR24:NU24"/>
    <mergeCell ref="NY24:OB24"/>
    <mergeCell ref="OF24:OI24"/>
    <mergeCell ref="OM24:OP24"/>
    <mergeCell ref="NK11:NN11"/>
    <mergeCell ref="NR11:NU11"/>
    <mergeCell ref="NY11:OB11"/>
    <mergeCell ref="OF11:OI11"/>
    <mergeCell ref="OM11:OP11"/>
    <mergeCell ref="NK12:NN12"/>
    <mergeCell ref="NR12:NU12"/>
    <mergeCell ref="NY12:OB12"/>
    <mergeCell ref="OF12:OI12"/>
    <mergeCell ref="OM12:OP12"/>
    <mergeCell ref="NK13:NN13"/>
    <mergeCell ref="NR13:NU13"/>
    <mergeCell ref="NY13:OB13"/>
    <mergeCell ref="OF13:OI13"/>
    <mergeCell ref="OM13:OP13"/>
    <mergeCell ref="NK14:NN14"/>
    <mergeCell ref="NR14:NU14"/>
    <mergeCell ref="NY14:OB14"/>
    <mergeCell ref="OF14:OI14"/>
    <mergeCell ref="OM14:OP14"/>
    <mergeCell ref="NK15:NN15"/>
    <mergeCell ref="NR15:NU15"/>
    <mergeCell ref="NY15:OB15"/>
    <mergeCell ref="OF15:OI15"/>
    <mergeCell ref="OM15:OP15"/>
    <mergeCell ref="NK16:NN16"/>
    <mergeCell ref="NR16:NU16"/>
    <mergeCell ref="NY16:OB16"/>
    <mergeCell ref="OF16:OI16"/>
    <mergeCell ref="OM16:OP16"/>
    <mergeCell ref="NK17:NN17"/>
    <mergeCell ref="NR17:NU17"/>
    <mergeCell ref="NY17:OB17"/>
    <mergeCell ref="OF17:OI17"/>
    <mergeCell ref="OM17:OP17"/>
    <mergeCell ref="MB210:ME210"/>
    <mergeCell ref="MI210:ML210"/>
    <mergeCell ref="MP210:MS210"/>
    <mergeCell ref="MW210:MZ210"/>
    <mergeCell ref="ND210:NG210"/>
    <mergeCell ref="MB211:ME211"/>
    <mergeCell ref="MI211:ML211"/>
    <mergeCell ref="MP211:MS211"/>
    <mergeCell ref="MW211:MZ211"/>
    <mergeCell ref="ND211:NG211"/>
    <mergeCell ref="MB212:ME212"/>
    <mergeCell ref="MI212:ML212"/>
    <mergeCell ref="MP212:MS212"/>
    <mergeCell ref="MW212:MZ212"/>
    <mergeCell ref="ND212:NG212"/>
    <mergeCell ref="MB213:ME213"/>
    <mergeCell ref="MI213:ML213"/>
    <mergeCell ref="MP213:MS213"/>
    <mergeCell ref="MW213:MZ213"/>
    <mergeCell ref="ND213:NG213"/>
    <mergeCell ref="MB214:ME214"/>
    <mergeCell ref="MI214:ML214"/>
    <mergeCell ref="MP214:MS214"/>
    <mergeCell ref="MW214:MZ214"/>
    <mergeCell ref="ND214:NG214"/>
    <mergeCell ref="MB215:ME215"/>
    <mergeCell ref="MI215:ML215"/>
    <mergeCell ref="MP215:MS215"/>
    <mergeCell ref="MW215:MZ215"/>
    <mergeCell ref="ND215:NG215"/>
    <mergeCell ref="MB216:ME216"/>
    <mergeCell ref="MI216:ML216"/>
    <mergeCell ref="MP216:MS216"/>
    <mergeCell ref="MW216:MZ216"/>
    <mergeCell ref="ND216:NG216"/>
    <mergeCell ref="MB202:ME202"/>
    <mergeCell ref="MI202:ML202"/>
    <mergeCell ref="MP202:MS202"/>
    <mergeCell ref="MW202:MZ202"/>
    <mergeCell ref="ND202:NG202"/>
    <mergeCell ref="MB203:ME203"/>
    <mergeCell ref="MI203:ML203"/>
    <mergeCell ref="MP203:MS203"/>
    <mergeCell ref="MW203:MZ203"/>
    <mergeCell ref="ND203:NG203"/>
    <mergeCell ref="MB205:ME205"/>
    <mergeCell ref="MI205:ML205"/>
    <mergeCell ref="MP205:MS205"/>
    <mergeCell ref="MW205:MZ205"/>
    <mergeCell ref="ND205:NG205"/>
    <mergeCell ref="MB206:ME206"/>
    <mergeCell ref="MI206:ML206"/>
    <mergeCell ref="MP206:MS206"/>
    <mergeCell ref="MW206:MZ206"/>
    <mergeCell ref="ND206:NG206"/>
    <mergeCell ref="MB207:ME207"/>
    <mergeCell ref="MI207:ML207"/>
    <mergeCell ref="MP207:MS207"/>
    <mergeCell ref="MW207:MZ207"/>
    <mergeCell ref="ND207:NG207"/>
    <mergeCell ref="MB208:ME208"/>
    <mergeCell ref="MI208:ML208"/>
    <mergeCell ref="MP208:MS208"/>
    <mergeCell ref="MW208:MZ208"/>
    <mergeCell ref="ND208:NG208"/>
    <mergeCell ref="MB209:ME209"/>
    <mergeCell ref="MI209:ML209"/>
    <mergeCell ref="MP209:MS209"/>
    <mergeCell ref="MW209:MZ209"/>
    <mergeCell ref="ND209:NG209"/>
    <mergeCell ref="MB194:ME194"/>
    <mergeCell ref="MI194:ML194"/>
    <mergeCell ref="MP194:MS194"/>
    <mergeCell ref="MW194:MZ194"/>
    <mergeCell ref="ND194:NG194"/>
    <mergeCell ref="MB195:ME195"/>
    <mergeCell ref="MI195:ML195"/>
    <mergeCell ref="MP195:MS195"/>
    <mergeCell ref="MW195:MZ195"/>
    <mergeCell ref="ND195:NG195"/>
    <mergeCell ref="MB197:ME197"/>
    <mergeCell ref="MI197:ML197"/>
    <mergeCell ref="MP197:MS197"/>
    <mergeCell ref="MW197:MZ197"/>
    <mergeCell ref="ND197:NG197"/>
    <mergeCell ref="MB198:ME198"/>
    <mergeCell ref="MI198:ML198"/>
    <mergeCell ref="MP198:MS198"/>
    <mergeCell ref="MW198:MZ198"/>
    <mergeCell ref="ND198:NG198"/>
    <mergeCell ref="MB199:ME199"/>
    <mergeCell ref="MI199:ML199"/>
    <mergeCell ref="MP199:MS199"/>
    <mergeCell ref="MW199:MZ199"/>
    <mergeCell ref="ND199:NG199"/>
    <mergeCell ref="MB200:ME200"/>
    <mergeCell ref="MI200:ML200"/>
    <mergeCell ref="MP200:MS200"/>
    <mergeCell ref="MW200:MZ200"/>
    <mergeCell ref="ND200:NG200"/>
    <mergeCell ref="MB201:ME201"/>
    <mergeCell ref="MI201:ML201"/>
    <mergeCell ref="MP201:MS201"/>
    <mergeCell ref="MW201:MZ201"/>
    <mergeCell ref="ND201:NG201"/>
    <mergeCell ref="MB186:ME186"/>
    <mergeCell ref="MI186:ML186"/>
    <mergeCell ref="MP186:MS186"/>
    <mergeCell ref="MW186:MZ186"/>
    <mergeCell ref="ND186:NG186"/>
    <mergeCell ref="MB187:ME187"/>
    <mergeCell ref="MI187:ML187"/>
    <mergeCell ref="MP187:MS187"/>
    <mergeCell ref="MW187:MZ187"/>
    <mergeCell ref="ND187:NG187"/>
    <mergeCell ref="MB189:ME189"/>
    <mergeCell ref="MI189:ML189"/>
    <mergeCell ref="MP189:MS189"/>
    <mergeCell ref="MW189:MZ189"/>
    <mergeCell ref="ND189:NG189"/>
    <mergeCell ref="MB190:ME190"/>
    <mergeCell ref="MI190:ML190"/>
    <mergeCell ref="MP190:MS190"/>
    <mergeCell ref="MW190:MZ190"/>
    <mergeCell ref="ND190:NG190"/>
    <mergeCell ref="MB191:ME191"/>
    <mergeCell ref="MI191:ML191"/>
    <mergeCell ref="MP191:MS191"/>
    <mergeCell ref="MW191:MZ191"/>
    <mergeCell ref="ND191:NG191"/>
    <mergeCell ref="MB192:ME192"/>
    <mergeCell ref="MI192:ML192"/>
    <mergeCell ref="MP192:MS192"/>
    <mergeCell ref="MW192:MZ192"/>
    <mergeCell ref="ND192:NG192"/>
    <mergeCell ref="MB193:ME193"/>
    <mergeCell ref="MI193:ML193"/>
    <mergeCell ref="MP193:MS193"/>
    <mergeCell ref="MW193:MZ193"/>
    <mergeCell ref="ND193:NG193"/>
    <mergeCell ref="MB179:ME179"/>
    <mergeCell ref="MI179:ML179"/>
    <mergeCell ref="MP179:MS179"/>
    <mergeCell ref="MW179:MZ179"/>
    <mergeCell ref="ND179:NG179"/>
    <mergeCell ref="MB180:ME180"/>
    <mergeCell ref="MI180:ML180"/>
    <mergeCell ref="MP180:MS180"/>
    <mergeCell ref="MW180:MZ180"/>
    <mergeCell ref="ND180:NG180"/>
    <mergeCell ref="MB181:ME181"/>
    <mergeCell ref="MI181:ML181"/>
    <mergeCell ref="MP181:MS181"/>
    <mergeCell ref="MW181:MZ181"/>
    <mergeCell ref="ND181:NG181"/>
    <mergeCell ref="MB182:ME182"/>
    <mergeCell ref="MI182:ML182"/>
    <mergeCell ref="MP182:MS182"/>
    <mergeCell ref="MW182:MZ182"/>
    <mergeCell ref="ND182:NG182"/>
    <mergeCell ref="MB183:ME183"/>
    <mergeCell ref="MI183:ML183"/>
    <mergeCell ref="MP183:MS183"/>
    <mergeCell ref="MW183:MZ183"/>
    <mergeCell ref="ND183:NG183"/>
    <mergeCell ref="MB184:ME184"/>
    <mergeCell ref="MI184:ML184"/>
    <mergeCell ref="MP184:MS184"/>
    <mergeCell ref="MW184:MZ184"/>
    <mergeCell ref="ND184:NG184"/>
    <mergeCell ref="MB185:ME185"/>
    <mergeCell ref="MI185:ML185"/>
    <mergeCell ref="MP185:MS185"/>
    <mergeCell ref="MW185:MZ185"/>
    <mergeCell ref="ND185:NG185"/>
    <mergeCell ref="MB172:ME172"/>
    <mergeCell ref="MI172:ML172"/>
    <mergeCell ref="MP172:MS172"/>
    <mergeCell ref="MW172:MZ172"/>
    <mergeCell ref="ND172:NG172"/>
    <mergeCell ref="MB173:ME173"/>
    <mergeCell ref="MI173:ML173"/>
    <mergeCell ref="MP173:MS173"/>
    <mergeCell ref="MW173:MZ173"/>
    <mergeCell ref="ND173:NG173"/>
    <mergeCell ref="MB174:ME174"/>
    <mergeCell ref="MI174:ML174"/>
    <mergeCell ref="MP174:MS174"/>
    <mergeCell ref="MW174:MZ174"/>
    <mergeCell ref="ND174:NG174"/>
    <mergeCell ref="MB175:ME175"/>
    <mergeCell ref="MI175:ML175"/>
    <mergeCell ref="MP175:MS175"/>
    <mergeCell ref="MW175:MZ175"/>
    <mergeCell ref="ND175:NG175"/>
    <mergeCell ref="MB176:ME176"/>
    <mergeCell ref="MI176:ML176"/>
    <mergeCell ref="MP176:MS176"/>
    <mergeCell ref="MW176:MZ176"/>
    <mergeCell ref="ND176:NG176"/>
    <mergeCell ref="MB177:ME177"/>
    <mergeCell ref="MI177:ML177"/>
    <mergeCell ref="MP177:MS177"/>
    <mergeCell ref="MW177:MZ177"/>
    <mergeCell ref="ND177:NG177"/>
    <mergeCell ref="MB178:ME178"/>
    <mergeCell ref="MI178:ML178"/>
    <mergeCell ref="MP178:MS178"/>
    <mergeCell ref="MW178:MZ178"/>
    <mergeCell ref="ND178:NG178"/>
    <mergeCell ref="MB164:ME164"/>
    <mergeCell ref="MI164:ML164"/>
    <mergeCell ref="MP164:MS164"/>
    <mergeCell ref="MW164:MZ164"/>
    <mergeCell ref="ND164:NG164"/>
    <mergeCell ref="MB165:ME165"/>
    <mergeCell ref="MI165:ML165"/>
    <mergeCell ref="MP165:MS165"/>
    <mergeCell ref="MW165:MZ165"/>
    <mergeCell ref="ND165:NG165"/>
    <mergeCell ref="MB167:ME167"/>
    <mergeCell ref="MI167:ML167"/>
    <mergeCell ref="MP167:MS167"/>
    <mergeCell ref="MW167:MZ167"/>
    <mergeCell ref="ND167:NG167"/>
    <mergeCell ref="MB168:ME168"/>
    <mergeCell ref="MI168:ML168"/>
    <mergeCell ref="MP168:MS168"/>
    <mergeCell ref="MW168:MZ168"/>
    <mergeCell ref="ND168:NG168"/>
    <mergeCell ref="MB169:ME169"/>
    <mergeCell ref="MI169:ML169"/>
    <mergeCell ref="MP169:MS169"/>
    <mergeCell ref="MW169:MZ169"/>
    <mergeCell ref="ND169:NG169"/>
    <mergeCell ref="MB170:ME170"/>
    <mergeCell ref="MI170:ML170"/>
    <mergeCell ref="MP170:MS170"/>
    <mergeCell ref="MW170:MZ170"/>
    <mergeCell ref="ND170:NG170"/>
    <mergeCell ref="MB171:ME171"/>
    <mergeCell ref="MI171:ML171"/>
    <mergeCell ref="MP171:MS171"/>
    <mergeCell ref="MW171:MZ171"/>
    <mergeCell ref="ND171:NG171"/>
    <mergeCell ref="MB153:ME153"/>
    <mergeCell ref="MI153:ML153"/>
    <mergeCell ref="MP153:MS153"/>
    <mergeCell ref="MW153:MZ153"/>
    <mergeCell ref="ND153:NG153"/>
    <mergeCell ref="MB154:ME154"/>
    <mergeCell ref="MI154:ML154"/>
    <mergeCell ref="MP154:MS154"/>
    <mergeCell ref="MW154:MZ154"/>
    <mergeCell ref="ND154:NG154"/>
    <mergeCell ref="MI159:ML159"/>
    <mergeCell ref="MP159:MS159"/>
    <mergeCell ref="MW159:MZ159"/>
    <mergeCell ref="ND159:NG159"/>
    <mergeCell ref="MB160:ME160"/>
    <mergeCell ref="MI160:ML160"/>
    <mergeCell ref="MP160:MS160"/>
    <mergeCell ref="MW160:MZ160"/>
    <mergeCell ref="ND160:NG160"/>
    <mergeCell ref="MB161:ME161"/>
    <mergeCell ref="MI161:ML161"/>
    <mergeCell ref="MP161:MS161"/>
    <mergeCell ref="MW161:MZ161"/>
    <mergeCell ref="ND161:NG161"/>
    <mergeCell ref="MB162:ME162"/>
    <mergeCell ref="MI162:ML162"/>
    <mergeCell ref="MP162:MS162"/>
    <mergeCell ref="MW162:MZ162"/>
    <mergeCell ref="ND162:NG162"/>
    <mergeCell ref="MB163:ME163"/>
    <mergeCell ref="MI163:ML163"/>
    <mergeCell ref="MP163:MS163"/>
    <mergeCell ref="MW163:MZ163"/>
    <mergeCell ref="ND163:NG163"/>
    <mergeCell ref="ND140:NG140"/>
    <mergeCell ref="MB141:ME141"/>
    <mergeCell ref="MI141:ML141"/>
    <mergeCell ref="MP141:MS141"/>
    <mergeCell ref="MW141:MZ141"/>
    <mergeCell ref="ND141:NG141"/>
    <mergeCell ref="MB142:ME142"/>
    <mergeCell ref="MI142:ML142"/>
    <mergeCell ref="MP142:MS142"/>
    <mergeCell ref="MW142:MZ142"/>
    <mergeCell ref="ND142:NG142"/>
    <mergeCell ref="MB143:ME143"/>
    <mergeCell ref="MI143:ML143"/>
    <mergeCell ref="MP143:MS143"/>
    <mergeCell ref="MW143:MZ143"/>
    <mergeCell ref="ND143:NG143"/>
    <mergeCell ref="MI148:ML148"/>
    <mergeCell ref="MP148:MS148"/>
    <mergeCell ref="MW148:MZ148"/>
    <mergeCell ref="ND148:NG148"/>
    <mergeCell ref="MB149:ME149"/>
    <mergeCell ref="MI149:ML149"/>
    <mergeCell ref="MP149:MS149"/>
    <mergeCell ref="MW149:MZ149"/>
    <mergeCell ref="ND149:NG149"/>
    <mergeCell ref="MB150:ME150"/>
    <mergeCell ref="MI150:ML150"/>
    <mergeCell ref="MP150:MS150"/>
    <mergeCell ref="MW150:MZ150"/>
    <mergeCell ref="ND150:NG150"/>
    <mergeCell ref="MB151:ME151"/>
    <mergeCell ref="MI151:ML151"/>
    <mergeCell ref="MP151:MS151"/>
    <mergeCell ref="MW151:MZ151"/>
    <mergeCell ref="ND151:NG151"/>
    <mergeCell ref="MB128:ME128"/>
    <mergeCell ref="MI128:ML128"/>
    <mergeCell ref="MP128:MS128"/>
    <mergeCell ref="MW128:MZ128"/>
    <mergeCell ref="ND128:NG128"/>
    <mergeCell ref="MB129:ME129"/>
    <mergeCell ref="MI129:ML129"/>
    <mergeCell ref="MP129:MS129"/>
    <mergeCell ref="MW129:MZ129"/>
    <mergeCell ref="ND129:NG129"/>
    <mergeCell ref="MB130:ME130"/>
    <mergeCell ref="MI130:ML130"/>
    <mergeCell ref="MP130:MS130"/>
    <mergeCell ref="MW130:MZ130"/>
    <mergeCell ref="ND130:NG130"/>
    <mergeCell ref="MB131:ME131"/>
    <mergeCell ref="MI131:ML131"/>
    <mergeCell ref="MP131:MS131"/>
    <mergeCell ref="MW131:MZ131"/>
    <mergeCell ref="ND131:NG131"/>
    <mergeCell ref="ND136:NG136"/>
    <mergeCell ref="MB137:ME137"/>
    <mergeCell ref="MI137:ML137"/>
    <mergeCell ref="MP137:MS137"/>
    <mergeCell ref="MW137:MZ137"/>
    <mergeCell ref="ND137:NG137"/>
    <mergeCell ref="MB138:ME138"/>
    <mergeCell ref="MI138:ML138"/>
    <mergeCell ref="MP138:MS138"/>
    <mergeCell ref="MW138:MZ138"/>
    <mergeCell ref="ND138:NG138"/>
    <mergeCell ref="MB139:ME139"/>
    <mergeCell ref="MI139:ML139"/>
    <mergeCell ref="MP139:MS139"/>
    <mergeCell ref="MW139:MZ139"/>
    <mergeCell ref="ND139:NG139"/>
    <mergeCell ref="MB117:ME117"/>
    <mergeCell ref="MI117:ML117"/>
    <mergeCell ref="MP117:MS117"/>
    <mergeCell ref="MW117:MZ117"/>
    <mergeCell ref="ND117:NG117"/>
    <mergeCell ref="MB118:ME118"/>
    <mergeCell ref="MI118:ML118"/>
    <mergeCell ref="MP118:MS118"/>
    <mergeCell ref="MW118:MZ118"/>
    <mergeCell ref="ND118:NG118"/>
    <mergeCell ref="MB119:ME119"/>
    <mergeCell ref="MI119:ML119"/>
    <mergeCell ref="MP119:MS119"/>
    <mergeCell ref="MW119:MZ119"/>
    <mergeCell ref="ND119:NG119"/>
    <mergeCell ref="MB120:ME120"/>
    <mergeCell ref="MI120:ML120"/>
    <mergeCell ref="MP120:MS120"/>
    <mergeCell ref="MW120:MZ120"/>
    <mergeCell ref="ND120:NG120"/>
    <mergeCell ref="ND124:NG124"/>
    <mergeCell ref="MB125:ME125"/>
    <mergeCell ref="MI125:ML125"/>
    <mergeCell ref="MP125:MS125"/>
    <mergeCell ref="MW125:MZ125"/>
    <mergeCell ref="ND125:NG125"/>
    <mergeCell ref="MB126:ME126"/>
    <mergeCell ref="MI126:ML126"/>
    <mergeCell ref="MP126:MS126"/>
    <mergeCell ref="MW126:MZ126"/>
    <mergeCell ref="ND126:NG126"/>
    <mergeCell ref="MB127:ME127"/>
    <mergeCell ref="MI127:ML127"/>
    <mergeCell ref="MP127:MS127"/>
    <mergeCell ref="MW127:MZ127"/>
    <mergeCell ref="ND127:NG127"/>
    <mergeCell ref="MB105:ME105"/>
    <mergeCell ref="MI105:ML105"/>
    <mergeCell ref="MP105:MS105"/>
    <mergeCell ref="MW105:MZ105"/>
    <mergeCell ref="ND105:NG105"/>
    <mergeCell ref="MB106:ME106"/>
    <mergeCell ref="MI106:ML106"/>
    <mergeCell ref="MP106:MS106"/>
    <mergeCell ref="MW106:MZ106"/>
    <mergeCell ref="ND106:NG106"/>
    <mergeCell ref="MB107:ME107"/>
    <mergeCell ref="MI107:ML107"/>
    <mergeCell ref="MP107:MS107"/>
    <mergeCell ref="MW107:MZ107"/>
    <mergeCell ref="ND107:NG107"/>
    <mergeCell ref="MB108:ME108"/>
    <mergeCell ref="MI108:ML108"/>
    <mergeCell ref="MP108:MS108"/>
    <mergeCell ref="MW108:MZ108"/>
    <mergeCell ref="ND108:NG108"/>
    <mergeCell ref="MB109:ME109"/>
    <mergeCell ref="MI109:ML109"/>
    <mergeCell ref="MP109:MS109"/>
    <mergeCell ref="MW109:MZ109"/>
    <mergeCell ref="ND109:NG109"/>
    <mergeCell ref="ND113:NG113"/>
    <mergeCell ref="MB114:ME114"/>
    <mergeCell ref="MI114:ML114"/>
    <mergeCell ref="MP114:MS114"/>
    <mergeCell ref="MW114:MZ114"/>
    <mergeCell ref="ND114:NG114"/>
    <mergeCell ref="MB115:ME115"/>
    <mergeCell ref="MI115:ML115"/>
    <mergeCell ref="MP115:MS115"/>
    <mergeCell ref="MW115:MZ115"/>
    <mergeCell ref="ND115:NG115"/>
    <mergeCell ref="MB87:ME87"/>
    <mergeCell ref="MI87:ML87"/>
    <mergeCell ref="MP87:MS87"/>
    <mergeCell ref="MW87:MZ87"/>
    <mergeCell ref="ND87:NG87"/>
    <mergeCell ref="MB88:ME88"/>
    <mergeCell ref="MI88:ML88"/>
    <mergeCell ref="MP88:MS88"/>
    <mergeCell ref="MW88:MZ88"/>
    <mergeCell ref="ND88:NG88"/>
    <mergeCell ref="ND91:NG91"/>
    <mergeCell ref="MB92:ME92"/>
    <mergeCell ref="MI92:ML92"/>
    <mergeCell ref="MP92:MS92"/>
    <mergeCell ref="MW92:MZ92"/>
    <mergeCell ref="ND92:NG92"/>
    <mergeCell ref="MB93:ME93"/>
    <mergeCell ref="MI93:ML93"/>
    <mergeCell ref="MP93:MS93"/>
    <mergeCell ref="MW93:MZ93"/>
    <mergeCell ref="ND93:NG93"/>
    <mergeCell ref="MB94:ME94"/>
    <mergeCell ref="MI94:ML94"/>
    <mergeCell ref="MP94:MS94"/>
    <mergeCell ref="MW94:MZ94"/>
    <mergeCell ref="ND94:NG94"/>
    <mergeCell ref="MB95:ME95"/>
    <mergeCell ref="MI95:ML95"/>
    <mergeCell ref="MP95:MS95"/>
    <mergeCell ref="MW95:MZ95"/>
    <mergeCell ref="ND95:NG95"/>
    <mergeCell ref="MB96:ME96"/>
    <mergeCell ref="MI96:ML96"/>
    <mergeCell ref="MP96:MS96"/>
    <mergeCell ref="MW96:MZ96"/>
    <mergeCell ref="ND96:NG96"/>
    <mergeCell ref="MB76:ME76"/>
    <mergeCell ref="MI76:ML76"/>
    <mergeCell ref="MP76:MS76"/>
    <mergeCell ref="MW76:MZ76"/>
    <mergeCell ref="ND76:NG76"/>
    <mergeCell ref="MB77:ME77"/>
    <mergeCell ref="MI77:ML77"/>
    <mergeCell ref="MP77:MS77"/>
    <mergeCell ref="MW77:MZ77"/>
    <mergeCell ref="ND77:NG77"/>
    <mergeCell ref="MI82:ML82"/>
    <mergeCell ref="MP82:MS82"/>
    <mergeCell ref="MW82:MZ82"/>
    <mergeCell ref="ND82:NG82"/>
    <mergeCell ref="MB83:ME83"/>
    <mergeCell ref="MI83:ML83"/>
    <mergeCell ref="MP83:MS83"/>
    <mergeCell ref="MW83:MZ83"/>
    <mergeCell ref="ND83:NG83"/>
    <mergeCell ref="MB84:ME84"/>
    <mergeCell ref="MI84:ML84"/>
    <mergeCell ref="MP84:MS84"/>
    <mergeCell ref="MW84:MZ84"/>
    <mergeCell ref="ND84:NG84"/>
    <mergeCell ref="MB85:ME85"/>
    <mergeCell ref="MI85:ML85"/>
    <mergeCell ref="MP85:MS85"/>
    <mergeCell ref="MW85:MZ85"/>
    <mergeCell ref="ND85:NG85"/>
    <mergeCell ref="MB86:ME86"/>
    <mergeCell ref="MI86:ML86"/>
    <mergeCell ref="MP86:MS86"/>
    <mergeCell ref="MW86:MZ86"/>
    <mergeCell ref="ND86:NG86"/>
    <mergeCell ref="MB64:ME64"/>
    <mergeCell ref="MI64:ML64"/>
    <mergeCell ref="MP64:MS64"/>
    <mergeCell ref="MW64:MZ64"/>
    <mergeCell ref="ND64:NG64"/>
    <mergeCell ref="MB65:ME65"/>
    <mergeCell ref="MI65:ML65"/>
    <mergeCell ref="MP65:MS65"/>
    <mergeCell ref="MW65:MZ65"/>
    <mergeCell ref="ND65:NG65"/>
    <mergeCell ref="MI71:ML71"/>
    <mergeCell ref="MP71:MS71"/>
    <mergeCell ref="MW71:MZ71"/>
    <mergeCell ref="ND71:NG71"/>
    <mergeCell ref="MB72:ME72"/>
    <mergeCell ref="MI72:ML72"/>
    <mergeCell ref="MP72:MS72"/>
    <mergeCell ref="MW72:MZ72"/>
    <mergeCell ref="ND72:NG72"/>
    <mergeCell ref="MB73:ME73"/>
    <mergeCell ref="MI73:ML73"/>
    <mergeCell ref="MP73:MS73"/>
    <mergeCell ref="MW73:MZ73"/>
    <mergeCell ref="ND73:NG73"/>
    <mergeCell ref="MB74:ME74"/>
    <mergeCell ref="MI74:ML74"/>
    <mergeCell ref="MP74:MS74"/>
    <mergeCell ref="MW74:MZ74"/>
    <mergeCell ref="ND74:NG74"/>
    <mergeCell ref="MB75:ME75"/>
    <mergeCell ref="MI75:ML75"/>
    <mergeCell ref="MP75:MS75"/>
    <mergeCell ref="MW75:MZ75"/>
    <mergeCell ref="ND75:NG75"/>
    <mergeCell ref="MB40:ME40"/>
    <mergeCell ref="MI40:ML40"/>
    <mergeCell ref="MP40:MS40"/>
    <mergeCell ref="MW40:MZ40"/>
    <mergeCell ref="ND40:NG40"/>
    <mergeCell ref="MB41:ME41"/>
    <mergeCell ref="MI41:ML41"/>
    <mergeCell ref="MP41:MS41"/>
    <mergeCell ref="MW41:MZ41"/>
    <mergeCell ref="ND41:NG41"/>
    <mergeCell ref="MB42:ME42"/>
    <mergeCell ref="MI42:ML42"/>
    <mergeCell ref="MP42:MS42"/>
    <mergeCell ref="MW42:MZ42"/>
    <mergeCell ref="ND42:NG42"/>
    <mergeCell ref="MB54:ME54"/>
    <mergeCell ref="MI54:ML54"/>
    <mergeCell ref="MP54:MS54"/>
    <mergeCell ref="MW54:MZ54"/>
    <mergeCell ref="ND54:NG54"/>
    <mergeCell ref="MB55:ME55"/>
    <mergeCell ref="MI55:ML55"/>
    <mergeCell ref="MP55:MS55"/>
    <mergeCell ref="MW55:MZ55"/>
    <mergeCell ref="ND55:NG55"/>
    <mergeCell ref="ND58:NG58"/>
    <mergeCell ref="MB59:ME59"/>
    <mergeCell ref="MI59:ML59"/>
    <mergeCell ref="MP59:MS59"/>
    <mergeCell ref="MW59:MZ59"/>
    <mergeCell ref="ND59:NG59"/>
    <mergeCell ref="MB60:ME60"/>
    <mergeCell ref="MI60:ML60"/>
    <mergeCell ref="MP60:MS60"/>
    <mergeCell ref="MW60:MZ60"/>
    <mergeCell ref="ND60:NG60"/>
    <mergeCell ref="MB45:ME45"/>
    <mergeCell ref="MI45:ML45"/>
    <mergeCell ref="MP45:MS45"/>
    <mergeCell ref="MW45:MZ45"/>
    <mergeCell ref="ND45:NG45"/>
    <mergeCell ref="MB48:ME48"/>
    <mergeCell ref="MI48:ML48"/>
    <mergeCell ref="MP48:MS48"/>
    <mergeCell ref="MW48:MZ48"/>
    <mergeCell ref="ND48:NG48"/>
    <mergeCell ref="MB51:ME51"/>
    <mergeCell ref="MI51:ML51"/>
    <mergeCell ref="MP51:MS51"/>
    <mergeCell ref="MW51:MZ51"/>
    <mergeCell ref="ND51:NG51"/>
    <mergeCell ref="MI30:ML30"/>
    <mergeCell ref="MP30:MS30"/>
    <mergeCell ref="MW30:MZ30"/>
    <mergeCell ref="ND30:NG30"/>
    <mergeCell ref="MB31:ME31"/>
    <mergeCell ref="MI31:ML31"/>
    <mergeCell ref="MP31:MS31"/>
    <mergeCell ref="MW31:MZ31"/>
    <mergeCell ref="ND31:NG31"/>
    <mergeCell ref="MB32:ME32"/>
    <mergeCell ref="MI32:ML32"/>
    <mergeCell ref="MP32:MS32"/>
    <mergeCell ref="MW32:MZ32"/>
    <mergeCell ref="ND32:NG32"/>
    <mergeCell ref="MB33:ME33"/>
    <mergeCell ref="MI33:ML33"/>
    <mergeCell ref="MP33:MS33"/>
    <mergeCell ref="MW33:MZ33"/>
    <mergeCell ref="ND33:NG33"/>
    <mergeCell ref="MB34:ME34"/>
    <mergeCell ref="MI34:ML34"/>
    <mergeCell ref="MP34:MS34"/>
    <mergeCell ref="MW34:MZ34"/>
    <mergeCell ref="ND34:NG34"/>
    <mergeCell ref="MB38:ME38"/>
    <mergeCell ref="MI38:ML38"/>
    <mergeCell ref="MP38:MS38"/>
    <mergeCell ref="MW38:MZ38"/>
    <mergeCell ref="ND38:NG38"/>
    <mergeCell ref="MB39:ME39"/>
    <mergeCell ref="MI39:ML39"/>
    <mergeCell ref="MP39:MS39"/>
    <mergeCell ref="MW39:MZ39"/>
    <mergeCell ref="ND39:NG39"/>
    <mergeCell ref="KZ216:LC216"/>
    <mergeCell ref="LG216:LJ216"/>
    <mergeCell ref="LN216:LQ216"/>
    <mergeCell ref="LU216:LX216"/>
    <mergeCell ref="MB11:ME11"/>
    <mergeCell ref="MI11:ML11"/>
    <mergeCell ref="MP11:MS11"/>
    <mergeCell ref="MW11:MZ11"/>
    <mergeCell ref="ND11:NG11"/>
    <mergeCell ref="MB12:ME12"/>
    <mergeCell ref="MI12:ML12"/>
    <mergeCell ref="MP12:MS12"/>
    <mergeCell ref="MW12:MZ12"/>
    <mergeCell ref="ND12:NG12"/>
    <mergeCell ref="MB13:ME13"/>
    <mergeCell ref="MI13:ML13"/>
    <mergeCell ref="MP13:MS13"/>
    <mergeCell ref="MW13:MZ13"/>
    <mergeCell ref="ND13:NG13"/>
    <mergeCell ref="MB14:ME14"/>
    <mergeCell ref="MI14:ML14"/>
    <mergeCell ref="MP14:MS14"/>
    <mergeCell ref="MW14:MZ14"/>
    <mergeCell ref="ND14:NG14"/>
    <mergeCell ref="MB15:ME15"/>
    <mergeCell ref="MI15:ML15"/>
    <mergeCell ref="MP15:MS15"/>
    <mergeCell ref="MW15:MZ15"/>
    <mergeCell ref="ND15:NG15"/>
    <mergeCell ref="MB16:ME16"/>
    <mergeCell ref="MI16:ML16"/>
    <mergeCell ref="MP16:MS16"/>
    <mergeCell ref="MW16:MZ16"/>
    <mergeCell ref="ND16:NG16"/>
    <mergeCell ref="MB17:ME17"/>
    <mergeCell ref="MI17:ML17"/>
    <mergeCell ref="MP17:MS17"/>
    <mergeCell ref="MW17:MZ17"/>
    <mergeCell ref="ND17:NG17"/>
    <mergeCell ref="MB18:ME18"/>
    <mergeCell ref="MI18:ML18"/>
    <mergeCell ref="MP18:MS18"/>
    <mergeCell ref="MW18:MZ18"/>
    <mergeCell ref="ND18:NG18"/>
    <mergeCell ref="MB19:ME19"/>
    <mergeCell ref="MI19:ML19"/>
    <mergeCell ref="MP19:MS19"/>
    <mergeCell ref="MW19:MZ19"/>
    <mergeCell ref="ND19:NG19"/>
    <mergeCell ref="MB20:ME20"/>
    <mergeCell ref="MI20:ML20"/>
    <mergeCell ref="MP20:MS20"/>
    <mergeCell ref="MW20:MZ20"/>
    <mergeCell ref="ND20:NG20"/>
    <mergeCell ref="MB21:ME21"/>
    <mergeCell ref="MI21:ML21"/>
    <mergeCell ref="MP21:MS21"/>
    <mergeCell ref="MW21:MZ21"/>
    <mergeCell ref="ND21:NG21"/>
    <mergeCell ref="MB22:ME22"/>
    <mergeCell ref="MI22:ML22"/>
    <mergeCell ref="MP22:MS22"/>
    <mergeCell ref="MB28:ME28"/>
    <mergeCell ref="MI28:ML28"/>
    <mergeCell ref="KS201:KV201"/>
    <mergeCell ref="KZ201:LC201"/>
    <mergeCell ref="LG201:LJ201"/>
    <mergeCell ref="LN201:LQ201"/>
    <mergeCell ref="LU201:LX201"/>
    <mergeCell ref="KS202:KV202"/>
    <mergeCell ref="KZ202:LC202"/>
    <mergeCell ref="LG202:LJ202"/>
    <mergeCell ref="LN202:LQ202"/>
    <mergeCell ref="LU202:LX202"/>
    <mergeCell ref="KS203:KV203"/>
    <mergeCell ref="KZ203:LC203"/>
    <mergeCell ref="LG203:LJ203"/>
    <mergeCell ref="LN203:LQ203"/>
    <mergeCell ref="LU203:LX203"/>
    <mergeCell ref="LU205:LX205"/>
    <mergeCell ref="KS206:KV206"/>
    <mergeCell ref="KZ206:LC206"/>
    <mergeCell ref="LG206:LJ206"/>
    <mergeCell ref="LN206:LQ206"/>
    <mergeCell ref="LU206:LX206"/>
    <mergeCell ref="KS207:KV207"/>
    <mergeCell ref="KZ207:LC207"/>
    <mergeCell ref="LG207:LJ207"/>
    <mergeCell ref="LN207:LQ207"/>
    <mergeCell ref="LU207:LX207"/>
    <mergeCell ref="KS208:KV208"/>
    <mergeCell ref="KZ208:LC208"/>
    <mergeCell ref="LG208:LJ208"/>
    <mergeCell ref="LN208:LQ208"/>
    <mergeCell ref="LU208:LX208"/>
    <mergeCell ref="KS209:KV209"/>
    <mergeCell ref="KZ209:LC209"/>
    <mergeCell ref="LG209:LJ209"/>
    <mergeCell ref="LN209:LQ209"/>
    <mergeCell ref="LU209:LX209"/>
    <mergeCell ref="KS192:KV192"/>
    <mergeCell ref="KZ192:LC192"/>
    <mergeCell ref="LG192:LJ192"/>
    <mergeCell ref="LN192:LQ192"/>
    <mergeCell ref="LU192:LX192"/>
    <mergeCell ref="KS193:KV193"/>
    <mergeCell ref="KZ193:LC193"/>
    <mergeCell ref="LG193:LJ193"/>
    <mergeCell ref="LN193:LQ193"/>
    <mergeCell ref="LU193:LX193"/>
    <mergeCell ref="KS194:KV194"/>
    <mergeCell ref="KZ194:LC194"/>
    <mergeCell ref="LG194:LJ194"/>
    <mergeCell ref="LN194:LQ194"/>
    <mergeCell ref="LU194:LX194"/>
    <mergeCell ref="KS195:KV195"/>
    <mergeCell ref="KZ195:LC195"/>
    <mergeCell ref="LG195:LJ195"/>
    <mergeCell ref="LN195:LQ195"/>
    <mergeCell ref="LU195:LX195"/>
    <mergeCell ref="KS197:KV197"/>
    <mergeCell ref="KZ197:LC197"/>
    <mergeCell ref="LG197:LJ197"/>
    <mergeCell ref="LN197:LQ197"/>
    <mergeCell ref="LU197:LX197"/>
    <mergeCell ref="KS198:KV198"/>
    <mergeCell ref="KZ198:LC198"/>
    <mergeCell ref="LG198:LJ198"/>
    <mergeCell ref="LN198:LQ198"/>
    <mergeCell ref="LU198:LX198"/>
    <mergeCell ref="KS199:KV199"/>
    <mergeCell ref="KZ199:LC199"/>
    <mergeCell ref="LG199:LJ199"/>
    <mergeCell ref="LN199:LQ199"/>
    <mergeCell ref="LU199:LX199"/>
    <mergeCell ref="KS184:KV184"/>
    <mergeCell ref="KZ184:LC184"/>
    <mergeCell ref="LG184:LJ184"/>
    <mergeCell ref="LN184:LQ184"/>
    <mergeCell ref="LU184:LX184"/>
    <mergeCell ref="KS185:KV185"/>
    <mergeCell ref="KZ185:LC185"/>
    <mergeCell ref="LG185:LJ185"/>
    <mergeCell ref="LN185:LQ185"/>
    <mergeCell ref="LU185:LX185"/>
    <mergeCell ref="KS186:KV186"/>
    <mergeCell ref="KZ186:LC186"/>
    <mergeCell ref="LG186:LJ186"/>
    <mergeCell ref="LN186:LQ186"/>
    <mergeCell ref="LU186:LX186"/>
    <mergeCell ref="KS187:KV187"/>
    <mergeCell ref="KZ187:LC187"/>
    <mergeCell ref="LG187:LJ187"/>
    <mergeCell ref="LN187:LQ187"/>
    <mergeCell ref="LU187:LX187"/>
    <mergeCell ref="KS189:KV189"/>
    <mergeCell ref="KZ189:LC189"/>
    <mergeCell ref="LG189:LJ189"/>
    <mergeCell ref="LN189:LQ189"/>
    <mergeCell ref="LU189:LX189"/>
    <mergeCell ref="KS190:KV190"/>
    <mergeCell ref="KZ190:LC190"/>
    <mergeCell ref="LG190:LJ190"/>
    <mergeCell ref="LN190:LQ190"/>
    <mergeCell ref="LU190:LX190"/>
    <mergeCell ref="KS191:KV191"/>
    <mergeCell ref="KZ191:LC191"/>
    <mergeCell ref="LG191:LJ191"/>
    <mergeCell ref="LN191:LQ191"/>
    <mergeCell ref="LU191:LX191"/>
    <mergeCell ref="KS177:KV177"/>
    <mergeCell ref="KZ177:LC177"/>
    <mergeCell ref="LG177:LJ177"/>
    <mergeCell ref="LN177:LQ177"/>
    <mergeCell ref="LU177:LX177"/>
    <mergeCell ref="KS178:KV178"/>
    <mergeCell ref="KZ178:LC178"/>
    <mergeCell ref="LG178:LJ178"/>
    <mergeCell ref="LN178:LQ178"/>
    <mergeCell ref="LU178:LX178"/>
    <mergeCell ref="KS179:KV179"/>
    <mergeCell ref="KZ179:LC179"/>
    <mergeCell ref="LG179:LJ179"/>
    <mergeCell ref="LN179:LQ179"/>
    <mergeCell ref="LU179:LX179"/>
    <mergeCell ref="KS180:KV180"/>
    <mergeCell ref="KZ180:LC180"/>
    <mergeCell ref="LG180:LJ180"/>
    <mergeCell ref="LN180:LQ180"/>
    <mergeCell ref="LU180:LX180"/>
    <mergeCell ref="KS181:KV181"/>
    <mergeCell ref="KZ181:LC181"/>
    <mergeCell ref="LG181:LJ181"/>
    <mergeCell ref="LN181:LQ181"/>
    <mergeCell ref="LU181:LX181"/>
    <mergeCell ref="KS182:KV182"/>
    <mergeCell ref="KZ182:LC182"/>
    <mergeCell ref="LG182:LJ182"/>
    <mergeCell ref="LN182:LQ182"/>
    <mergeCell ref="LU182:LX182"/>
    <mergeCell ref="KS183:KV183"/>
    <mergeCell ref="KZ183:LC183"/>
    <mergeCell ref="LG183:LJ183"/>
    <mergeCell ref="LN183:LQ183"/>
    <mergeCell ref="LU183:LX183"/>
    <mergeCell ref="KS170:KV170"/>
    <mergeCell ref="KZ170:LC170"/>
    <mergeCell ref="LG170:LJ170"/>
    <mergeCell ref="LN170:LQ170"/>
    <mergeCell ref="LU170:LX170"/>
    <mergeCell ref="KS171:KV171"/>
    <mergeCell ref="KZ171:LC171"/>
    <mergeCell ref="LG171:LJ171"/>
    <mergeCell ref="LN171:LQ171"/>
    <mergeCell ref="LU171:LX171"/>
    <mergeCell ref="KS172:KV172"/>
    <mergeCell ref="KZ172:LC172"/>
    <mergeCell ref="LG172:LJ172"/>
    <mergeCell ref="LN172:LQ172"/>
    <mergeCell ref="LU172:LX172"/>
    <mergeCell ref="KS173:KV173"/>
    <mergeCell ref="KZ173:LC173"/>
    <mergeCell ref="LG173:LJ173"/>
    <mergeCell ref="LN173:LQ173"/>
    <mergeCell ref="LU173:LX173"/>
    <mergeCell ref="KS174:KV174"/>
    <mergeCell ref="KZ174:LC174"/>
    <mergeCell ref="LG174:LJ174"/>
    <mergeCell ref="LN174:LQ174"/>
    <mergeCell ref="LU174:LX174"/>
    <mergeCell ref="KS175:KV175"/>
    <mergeCell ref="KZ175:LC175"/>
    <mergeCell ref="LG175:LJ175"/>
    <mergeCell ref="LN175:LQ175"/>
    <mergeCell ref="LU175:LX175"/>
    <mergeCell ref="KS176:KV176"/>
    <mergeCell ref="KZ176:LC176"/>
    <mergeCell ref="LG176:LJ176"/>
    <mergeCell ref="LN176:LQ176"/>
    <mergeCell ref="LU176:LX176"/>
    <mergeCell ref="KZ163:LC163"/>
    <mergeCell ref="LG163:LJ163"/>
    <mergeCell ref="LN163:LQ163"/>
    <mergeCell ref="LU163:LX163"/>
    <mergeCell ref="KS164:KV164"/>
    <mergeCell ref="KZ164:LC164"/>
    <mergeCell ref="LG164:LJ164"/>
    <mergeCell ref="LN164:LQ164"/>
    <mergeCell ref="LU164:LX164"/>
    <mergeCell ref="KS165:KV165"/>
    <mergeCell ref="KZ165:LC165"/>
    <mergeCell ref="LG165:LJ165"/>
    <mergeCell ref="LN165:LQ165"/>
    <mergeCell ref="LU165:LX165"/>
    <mergeCell ref="KS166:KV166"/>
    <mergeCell ref="KZ166:LC166"/>
    <mergeCell ref="LG166:LJ166"/>
    <mergeCell ref="LN166:LQ166"/>
    <mergeCell ref="LU166:LX166"/>
    <mergeCell ref="KS167:KV167"/>
    <mergeCell ref="KZ167:LC167"/>
    <mergeCell ref="LG167:LJ167"/>
    <mergeCell ref="LN167:LQ167"/>
    <mergeCell ref="LU167:LX167"/>
    <mergeCell ref="KS168:KV168"/>
    <mergeCell ref="KZ168:LC168"/>
    <mergeCell ref="LG168:LJ168"/>
    <mergeCell ref="LN168:LQ168"/>
    <mergeCell ref="LU168:LX168"/>
    <mergeCell ref="KS169:KV169"/>
    <mergeCell ref="KZ169:LC169"/>
    <mergeCell ref="LG169:LJ169"/>
    <mergeCell ref="LN169:LQ169"/>
    <mergeCell ref="LU169:LX169"/>
    <mergeCell ref="KS153:KV153"/>
    <mergeCell ref="KZ153:LC153"/>
    <mergeCell ref="LG153:LJ153"/>
    <mergeCell ref="LN153:LQ153"/>
    <mergeCell ref="LU153:LX153"/>
    <mergeCell ref="KS154:KV154"/>
    <mergeCell ref="KZ154:LC154"/>
    <mergeCell ref="LG154:LJ154"/>
    <mergeCell ref="LN154:LQ154"/>
    <mergeCell ref="LU154:LX154"/>
    <mergeCell ref="KS155:KV155"/>
    <mergeCell ref="KZ155:LC155"/>
    <mergeCell ref="LG155:LJ155"/>
    <mergeCell ref="LN155:LQ155"/>
    <mergeCell ref="LU155:LX155"/>
    <mergeCell ref="KS156:KV156"/>
    <mergeCell ref="KZ156:LC156"/>
    <mergeCell ref="LG156:LJ156"/>
    <mergeCell ref="LN156:LQ156"/>
    <mergeCell ref="LU156:LX156"/>
    <mergeCell ref="KS160:KV160"/>
    <mergeCell ref="KZ160:LC160"/>
    <mergeCell ref="LG160:LJ160"/>
    <mergeCell ref="LN160:LQ160"/>
    <mergeCell ref="LU160:LX160"/>
    <mergeCell ref="KS161:KV161"/>
    <mergeCell ref="KZ161:LC161"/>
    <mergeCell ref="LG161:LJ161"/>
    <mergeCell ref="LN161:LQ161"/>
    <mergeCell ref="LU161:LX161"/>
    <mergeCell ref="KS162:KV162"/>
    <mergeCell ref="KZ162:LC162"/>
    <mergeCell ref="LG162:LJ162"/>
    <mergeCell ref="LN162:LQ162"/>
    <mergeCell ref="LU162:LX162"/>
    <mergeCell ref="KS134:KV134"/>
    <mergeCell ref="KZ134:LC134"/>
    <mergeCell ref="LG134:LJ134"/>
    <mergeCell ref="LN134:LQ134"/>
    <mergeCell ref="LU134:LX134"/>
    <mergeCell ref="KS139:KV139"/>
    <mergeCell ref="KZ139:LC139"/>
    <mergeCell ref="LG139:LJ139"/>
    <mergeCell ref="LN139:LQ139"/>
    <mergeCell ref="LU139:LX139"/>
    <mergeCell ref="KS140:KV140"/>
    <mergeCell ref="KZ140:LC140"/>
    <mergeCell ref="LG140:LJ140"/>
    <mergeCell ref="LN140:LQ140"/>
    <mergeCell ref="LU140:LX140"/>
    <mergeCell ref="KS141:KV141"/>
    <mergeCell ref="KZ141:LC141"/>
    <mergeCell ref="LG141:LJ141"/>
    <mergeCell ref="LN141:LQ141"/>
    <mergeCell ref="LU141:LX141"/>
    <mergeCell ref="KS142:KV142"/>
    <mergeCell ref="KZ142:LC142"/>
    <mergeCell ref="LG142:LJ142"/>
    <mergeCell ref="LN142:LQ142"/>
    <mergeCell ref="LU142:LX142"/>
    <mergeCell ref="KS143:KV143"/>
    <mergeCell ref="KZ143:LC143"/>
    <mergeCell ref="LG143:LJ143"/>
    <mergeCell ref="LN143:LQ143"/>
    <mergeCell ref="LU143:LX143"/>
    <mergeCell ref="KS144:KV144"/>
    <mergeCell ref="KZ144:LC144"/>
    <mergeCell ref="LG144:LJ144"/>
    <mergeCell ref="LN144:LQ144"/>
    <mergeCell ref="LU144:LX144"/>
    <mergeCell ref="LN122:LQ122"/>
    <mergeCell ref="LU122:LX122"/>
    <mergeCell ref="KS123:KV123"/>
    <mergeCell ref="KZ123:LC123"/>
    <mergeCell ref="LG123:LJ123"/>
    <mergeCell ref="LN123:LQ123"/>
    <mergeCell ref="LU123:LX123"/>
    <mergeCell ref="KS128:KV128"/>
    <mergeCell ref="KZ128:LC128"/>
    <mergeCell ref="LG128:LJ128"/>
    <mergeCell ref="LN128:LQ128"/>
    <mergeCell ref="LU128:LX128"/>
    <mergeCell ref="KS129:KV129"/>
    <mergeCell ref="KZ129:LC129"/>
    <mergeCell ref="LG129:LJ129"/>
    <mergeCell ref="LN129:LQ129"/>
    <mergeCell ref="LU129:LX129"/>
    <mergeCell ref="KS130:KV130"/>
    <mergeCell ref="KZ130:LC130"/>
    <mergeCell ref="LG130:LJ130"/>
    <mergeCell ref="LN130:LQ130"/>
    <mergeCell ref="LU130:LX130"/>
    <mergeCell ref="KS131:KV131"/>
    <mergeCell ref="KZ131:LC131"/>
    <mergeCell ref="LG131:LJ131"/>
    <mergeCell ref="LN131:LQ131"/>
    <mergeCell ref="LU131:LX131"/>
    <mergeCell ref="KS132:KV132"/>
    <mergeCell ref="KZ132:LC132"/>
    <mergeCell ref="LG132:LJ132"/>
    <mergeCell ref="LN132:LQ132"/>
    <mergeCell ref="LU132:LX132"/>
    <mergeCell ref="KS133:KV133"/>
    <mergeCell ref="KZ133:LC133"/>
    <mergeCell ref="LG133:LJ133"/>
    <mergeCell ref="LN133:LQ133"/>
    <mergeCell ref="LU133:LX133"/>
    <mergeCell ref="LU108:LX108"/>
    <mergeCell ref="KS109:KV109"/>
    <mergeCell ref="KZ109:LC109"/>
    <mergeCell ref="LG109:LJ109"/>
    <mergeCell ref="LN109:LQ109"/>
    <mergeCell ref="LU109:LX109"/>
    <mergeCell ref="KS110:KV110"/>
    <mergeCell ref="KZ110:LC110"/>
    <mergeCell ref="LG110:LJ110"/>
    <mergeCell ref="LN110:LQ110"/>
    <mergeCell ref="LU110:LX110"/>
    <mergeCell ref="KS111:KV111"/>
    <mergeCell ref="KZ111:LC111"/>
    <mergeCell ref="LG111:LJ111"/>
    <mergeCell ref="LN111:LQ111"/>
    <mergeCell ref="LU111:LX111"/>
    <mergeCell ref="KS112:KV112"/>
    <mergeCell ref="KZ112:LC112"/>
    <mergeCell ref="LG112:LJ112"/>
    <mergeCell ref="LN112:LQ112"/>
    <mergeCell ref="LU112:LX112"/>
    <mergeCell ref="KZ117:LC117"/>
    <mergeCell ref="LG117:LJ117"/>
    <mergeCell ref="LN117:LQ117"/>
    <mergeCell ref="LU117:LX117"/>
    <mergeCell ref="KS118:KV118"/>
    <mergeCell ref="KZ118:LC118"/>
    <mergeCell ref="LG118:LJ118"/>
    <mergeCell ref="LN118:LQ118"/>
    <mergeCell ref="LU118:LX118"/>
    <mergeCell ref="KS119:KV119"/>
    <mergeCell ref="KZ119:LC119"/>
    <mergeCell ref="LG119:LJ119"/>
    <mergeCell ref="LN119:LQ119"/>
    <mergeCell ref="LU119:LX119"/>
    <mergeCell ref="KS90:KV90"/>
    <mergeCell ref="KZ90:LC90"/>
    <mergeCell ref="LG90:LJ90"/>
    <mergeCell ref="LN90:LQ90"/>
    <mergeCell ref="LU90:LX90"/>
    <mergeCell ref="KZ95:LC95"/>
    <mergeCell ref="LG95:LJ95"/>
    <mergeCell ref="LN95:LQ95"/>
    <mergeCell ref="LU95:LX95"/>
    <mergeCell ref="KS96:KV96"/>
    <mergeCell ref="KZ96:LC96"/>
    <mergeCell ref="LG96:LJ96"/>
    <mergeCell ref="LN96:LQ96"/>
    <mergeCell ref="LU96:LX96"/>
    <mergeCell ref="KS97:KV97"/>
    <mergeCell ref="KZ97:LC97"/>
    <mergeCell ref="LG97:LJ97"/>
    <mergeCell ref="LN97:LQ97"/>
    <mergeCell ref="LU97:LX97"/>
    <mergeCell ref="KS98:KV98"/>
    <mergeCell ref="KZ98:LC98"/>
    <mergeCell ref="LG98:LJ98"/>
    <mergeCell ref="LN98:LQ98"/>
    <mergeCell ref="LU98:LX98"/>
    <mergeCell ref="KS99:KV99"/>
    <mergeCell ref="KZ99:LC99"/>
    <mergeCell ref="LG99:LJ99"/>
    <mergeCell ref="LN99:LQ99"/>
    <mergeCell ref="LU99:LX99"/>
    <mergeCell ref="KS100:KV100"/>
    <mergeCell ref="KZ100:LC100"/>
    <mergeCell ref="LG100:LJ100"/>
    <mergeCell ref="LN100:LQ100"/>
    <mergeCell ref="LU100:LX100"/>
    <mergeCell ref="LU78:LX78"/>
    <mergeCell ref="KS79:KV79"/>
    <mergeCell ref="KZ79:LC79"/>
    <mergeCell ref="LG79:LJ79"/>
    <mergeCell ref="LN79:LQ79"/>
    <mergeCell ref="LU79:LX79"/>
    <mergeCell ref="KZ84:LC84"/>
    <mergeCell ref="LG84:LJ84"/>
    <mergeCell ref="LN84:LQ84"/>
    <mergeCell ref="LU84:LX84"/>
    <mergeCell ref="KS85:KV85"/>
    <mergeCell ref="KZ85:LC85"/>
    <mergeCell ref="LG85:LJ85"/>
    <mergeCell ref="LN85:LQ85"/>
    <mergeCell ref="LU85:LX85"/>
    <mergeCell ref="KS86:KV86"/>
    <mergeCell ref="KZ86:LC86"/>
    <mergeCell ref="LG86:LJ86"/>
    <mergeCell ref="LN86:LQ86"/>
    <mergeCell ref="LU86:LX86"/>
    <mergeCell ref="KS87:KV87"/>
    <mergeCell ref="KZ87:LC87"/>
    <mergeCell ref="LG87:LJ87"/>
    <mergeCell ref="LN87:LQ87"/>
    <mergeCell ref="LU87:LX87"/>
    <mergeCell ref="KS88:KV88"/>
    <mergeCell ref="KZ88:LC88"/>
    <mergeCell ref="LG88:LJ88"/>
    <mergeCell ref="LN88:LQ88"/>
    <mergeCell ref="LU88:LX88"/>
    <mergeCell ref="KS89:KV89"/>
    <mergeCell ref="KZ89:LC89"/>
    <mergeCell ref="LG89:LJ89"/>
    <mergeCell ref="LN89:LQ89"/>
    <mergeCell ref="LU89:LX89"/>
    <mergeCell ref="LN67:LQ67"/>
    <mergeCell ref="LU67:LX67"/>
    <mergeCell ref="KS68:KV68"/>
    <mergeCell ref="KZ68:LC68"/>
    <mergeCell ref="LG68:LJ68"/>
    <mergeCell ref="LN68:LQ68"/>
    <mergeCell ref="LU68:LX68"/>
    <mergeCell ref="LU72:LX72"/>
    <mergeCell ref="KS73:KV73"/>
    <mergeCell ref="KZ73:LC73"/>
    <mergeCell ref="LG73:LJ73"/>
    <mergeCell ref="LN73:LQ73"/>
    <mergeCell ref="LU73:LX73"/>
    <mergeCell ref="KS74:KV74"/>
    <mergeCell ref="KZ74:LC74"/>
    <mergeCell ref="LG74:LJ74"/>
    <mergeCell ref="LN74:LQ74"/>
    <mergeCell ref="LU74:LX74"/>
    <mergeCell ref="KS75:KV75"/>
    <mergeCell ref="KZ75:LC75"/>
    <mergeCell ref="LG75:LJ75"/>
    <mergeCell ref="LN75:LQ75"/>
    <mergeCell ref="LU75:LX75"/>
    <mergeCell ref="KS76:KV76"/>
    <mergeCell ref="KZ76:LC76"/>
    <mergeCell ref="LG76:LJ76"/>
    <mergeCell ref="LN76:LQ76"/>
    <mergeCell ref="LU76:LX76"/>
    <mergeCell ref="KS77:KV77"/>
    <mergeCell ref="KZ77:LC77"/>
    <mergeCell ref="LG77:LJ77"/>
    <mergeCell ref="LN77:LQ77"/>
    <mergeCell ref="LU77:LX77"/>
    <mergeCell ref="KZ40:LC40"/>
    <mergeCell ref="LG40:LJ40"/>
    <mergeCell ref="LN40:LQ40"/>
    <mergeCell ref="LU40:LX40"/>
    <mergeCell ref="KS41:KV41"/>
    <mergeCell ref="KZ41:LC41"/>
    <mergeCell ref="LG41:LJ41"/>
    <mergeCell ref="LN41:LQ41"/>
    <mergeCell ref="LU41:LX41"/>
    <mergeCell ref="KS42:KV42"/>
    <mergeCell ref="KZ42:LC42"/>
    <mergeCell ref="LG42:LJ42"/>
    <mergeCell ref="LN42:LQ42"/>
    <mergeCell ref="LU42:LX42"/>
    <mergeCell ref="KS54:KV54"/>
    <mergeCell ref="KZ54:LC54"/>
    <mergeCell ref="LG54:LJ54"/>
    <mergeCell ref="LN54:LQ54"/>
    <mergeCell ref="LU54:LX54"/>
    <mergeCell ref="KS55:KV55"/>
    <mergeCell ref="KZ55:LC55"/>
    <mergeCell ref="LG55:LJ55"/>
    <mergeCell ref="LN55:LQ55"/>
    <mergeCell ref="LU55:LX55"/>
    <mergeCell ref="KS56:KV56"/>
    <mergeCell ref="KZ56:LC56"/>
    <mergeCell ref="LG56:LJ56"/>
    <mergeCell ref="LN56:LQ56"/>
    <mergeCell ref="LU56:LX56"/>
    <mergeCell ref="KS57:KV57"/>
    <mergeCell ref="KZ57:LC57"/>
    <mergeCell ref="LG57:LJ57"/>
    <mergeCell ref="LN57:LQ57"/>
    <mergeCell ref="LU57:LX57"/>
    <mergeCell ref="KZ45:LC45"/>
    <mergeCell ref="LG45:LJ45"/>
    <mergeCell ref="LN45:LQ45"/>
    <mergeCell ref="LU45:LX45"/>
    <mergeCell ref="KZ48:LC48"/>
    <mergeCell ref="LG48:LJ48"/>
    <mergeCell ref="LN48:LQ48"/>
    <mergeCell ref="LU48:LX48"/>
    <mergeCell ref="KZ51:LC51"/>
    <mergeCell ref="LG51:LJ51"/>
    <mergeCell ref="LN51:LQ51"/>
    <mergeCell ref="LU51:LX51"/>
    <mergeCell ref="LN23:LQ23"/>
    <mergeCell ref="LU23:LX23"/>
    <mergeCell ref="KS24:KV24"/>
    <mergeCell ref="KZ24:LC24"/>
    <mergeCell ref="LG24:LJ24"/>
    <mergeCell ref="LN24:LQ24"/>
    <mergeCell ref="LU24:LX24"/>
    <mergeCell ref="KS25:KV25"/>
    <mergeCell ref="KZ25:LC25"/>
    <mergeCell ref="LG25:LJ25"/>
    <mergeCell ref="LN25:LQ25"/>
    <mergeCell ref="LU25:LX25"/>
    <mergeCell ref="KS26:KV26"/>
    <mergeCell ref="KZ26:LC26"/>
    <mergeCell ref="LG26:LJ26"/>
    <mergeCell ref="LN26:LQ26"/>
    <mergeCell ref="LU26:LX26"/>
    <mergeCell ref="LU28:LX28"/>
    <mergeCell ref="KS29:KV29"/>
    <mergeCell ref="KZ29:LC29"/>
    <mergeCell ref="LG29:LJ29"/>
    <mergeCell ref="LN29:LQ29"/>
    <mergeCell ref="LU29:LX29"/>
    <mergeCell ref="KS30:KV30"/>
    <mergeCell ref="KZ30:LC30"/>
    <mergeCell ref="LG30:LJ30"/>
    <mergeCell ref="LN30:LQ30"/>
    <mergeCell ref="LU30:LX30"/>
    <mergeCell ref="KS31:KV31"/>
    <mergeCell ref="KZ31:LC31"/>
    <mergeCell ref="LG31:LJ31"/>
    <mergeCell ref="LN31:LQ31"/>
    <mergeCell ref="LU31:LX31"/>
    <mergeCell ref="JJ207:JM207"/>
    <mergeCell ref="JQ207:JT207"/>
    <mergeCell ref="JX207:KA207"/>
    <mergeCell ref="KE207:KH207"/>
    <mergeCell ref="KL207:KO207"/>
    <mergeCell ref="JJ208:JM208"/>
    <mergeCell ref="JQ208:JT208"/>
    <mergeCell ref="JX208:KA208"/>
    <mergeCell ref="KE208:KH208"/>
    <mergeCell ref="KL208:KO208"/>
    <mergeCell ref="JJ209:JM209"/>
    <mergeCell ref="JQ209:JT209"/>
    <mergeCell ref="JX209:KA209"/>
    <mergeCell ref="KE209:KH209"/>
    <mergeCell ref="KL209:KO209"/>
    <mergeCell ref="JJ210:JM210"/>
    <mergeCell ref="JQ210:JT210"/>
    <mergeCell ref="JX210:KA210"/>
    <mergeCell ref="KE210:KH210"/>
    <mergeCell ref="KL210:KO210"/>
    <mergeCell ref="JJ211:JM211"/>
    <mergeCell ref="JQ211:JT211"/>
    <mergeCell ref="JX211:KA211"/>
    <mergeCell ref="KE211:KH211"/>
    <mergeCell ref="KL211:KO211"/>
    <mergeCell ref="JJ212:JM212"/>
    <mergeCell ref="JQ212:JT212"/>
    <mergeCell ref="JX212:KA212"/>
    <mergeCell ref="KE212:KH212"/>
    <mergeCell ref="KL212:KO212"/>
    <mergeCell ref="JJ213:JM213"/>
    <mergeCell ref="JQ213:JT213"/>
    <mergeCell ref="JX213:KA213"/>
    <mergeCell ref="KE213:KH213"/>
    <mergeCell ref="KL213:KO213"/>
    <mergeCell ref="JJ193:JM193"/>
    <mergeCell ref="JQ193:JT193"/>
    <mergeCell ref="JX193:KA193"/>
    <mergeCell ref="KE193:KH193"/>
    <mergeCell ref="KL193:KO193"/>
    <mergeCell ref="JJ194:JM194"/>
    <mergeCell ref="JQ194:JT194"/>
    <mergeCell ref="JX194:KA194"/>
    <mergeCell ref="KE194:KH194"/>
    <mergeCell ref="KL194:KO194"/>
    <mergeCell ref="JJ195:JM195"/>
    <mergeCell ref="JQ195:JT195"/>
    <mergeCell ref="JX195:KA195"/>
    <mergeCell ref="KE195:KH195"/>
    <mergeCell ref="KL195:KO195"/>
    <mergeCell ref="JJ197:JM197"/>
    <mergeCell ref="JQ197:JT197"/>
    <mergeCell ref="JX197:KA197"/>
    <mergeCell ref="KE197:KH197"/>
    <mergeCell ref="KL197:KO197"/>
    <mergeCell ref="JJ198:JM198"/>
    <mergeCell ref="JQ198:JT198"/>
    <mergeCell ref="JX198:KA198"/>
    <mergeCell ref="KE198:KH198"/>
    <mergeCell ref="KL198:KO198"/>
    <mergeCell ref="JJ199:JM199"/>
    <mergeCell ref="JQ199:JT199"/>
    <mergeCell ref="JX199:KA199"/>
    <mergeCell ref="KE199:KH199"/>
    <mergeCell ref="KL199:KO199"/>
    <mergeCell ref="JJ200:JM200"/>
    <mergeCell ref="JQ200:JT200"/>
    <mergeCell ref="JX200:KA200"/>
    <mergeCell ref="KE200:KH200"/>
    <mergeCell ref="KL200:KO200"/>
    <mergeCell ref="JJ185:JM185"/>
    <mergeCell ref="JQ185:JT185"/>
    <mergeCell ref="JX185:KA185"/>
    <mergeCell ref="KE185:KH185"/>
    <mergeCell ref="KL185:KO185"/>
    <mergeCell ref="JJ186:JM186"/>
    <mergeCell ref="JQ186:JT186"/>
    <mergeCell ref="JX186:KA186"/>
    <mergeCell ref="KE186:KH186"/>
    <mergeCell ref="KL186:KO186"/>
    <mergeCell ref="JJ187:JM187"/>
    <mergeCell ref="JQ187:JT187"/>
    <mergeCell ref="JX187:KA187"/>
    <mergeCell ref="KE187:KH187"/>
    <mergeCell ref="KL187:KO187"/>
    <mergeCell ref="JJ189:JM189"/>
    <mergeCell ref="JQ189:JT189"/>
    <mergeCell ref="JX189:KA189"/>
    <mergeCell ref="KE189:KH189"/>
    <mergeCell ref="KL189:KO189"/>
    <mergeCell ref="JJ190:JM190"/>
    <mergeCell ref="JQ190:JT190"/>
    <mergeCell ref="JX190:KA190"/>
    <mergeCell ref="KE190:KH190"/>
    <mergeCell ref="KL190:KO190"/>
    <mergeCell ref="JJ191:JM191"/>
    <mergeCell ref="JQ191:JT191"/>
    <mergeCell ref="JX191:KA191"/>
    <mergeCell ref="KE191:KH191"/>
    <mergeCell ref="KL191:KO191"/>
    <mergeCell ref="JJ192:JM192"/>
    <mergeCell ref="JQ192:JT192"/>
    <mergeCell ref="JX192:KA192"/>
    <mergeCell ref="KE192:KH192"/>
    <mergeCell ref="KL192:KO192"/>
    <mergeCell ref="KE177:KH177"/>
    <mergeCell ref="KL177:KO177"/>
    <mergeCell ref="JJ178:JM178"/>
    <mergeCell ref="JQ178:JT178"/>
    <mergeCell ref="JX178:KA178"/>
    <mergeCell ref="KE178:KH178"/>
    <mergeCell ref="KL178:KO178"/>
    <mergeCell ref="JJ179:JM179"/>
    <mergeCell ref="JQ179:JT179"/>
    <mergeCell ref="JX179:KA179"/>
    <mergeCell ref="KE179:KH179"/>
    <mergeCell ref="KL179:KO179"/>
    <mergeCell ref="JJ180:JM180"/>
    <mergeCell ref="JQ180:JT180"/>
    <mergeCell ref="JX180:KA180"/>
    <mergeCell ref="KE180:KH180"/>
    <mergeCell ref="KL180:KO180"/>
    <mergeCell ref="JJ181:JM181"/>
    <mergeCell ref="JQ181:JT181"/>
    <mergeCell ref="JX181:KA181"/>
    <mergeCell ref="KE181:KH181"/>
    <mergeCell ref="KL181:KO181"/>
    <mergeCell ref="JJ182:JM182"/>
    <mergeCell ref="JQ182:JT182"/>
    <mergeCell ref="JX182:KA182"/>
    <mergeCell ref="KE182:KH182"/>
    <mergeCell ref="KL182:KO182"/>
    <mergeCell ref="JJ183:JM183"/>
    <mergeCell ref="JQ183:JT183"/>
    <mergeCell ref="JX183:KA183"/>
    <mergeCell ref="KE183:KH183"/>
    <mergeCell ref="KL183:KO183"/>
    <mergeCell ref="JJ184:JM184"/>
    <mergeCell ref="JQ184:JT184"/>
    <mergeCell ref="JX184:KA184"/>
    <mergeCell ref="KE184:KH184"/>
    <mergeCell ref="KL184:KO184"/>
    <mergeCell ref="JJ160:JM160"/>
    <mergeCell ref="JQ160:JT160"/>
    <mergeCell ref="JX160:KA160"/>
    <mergeCell ref="KE160:KH160"/>
    <mergeCell ref="KL160:KO160"/>
    <mergeCell ref="JJ161:JM161"/>
    <mergeCell ref="JQ161:JT161"/>
    <mergeCell ref="JX161:KA161"/>
    <mergeCell ref="KE161:KH161"/>
    <mergeCell ref="KL161:KO161"/>
    <mergeCell ref="JJ162:JM162"/>
    <mergeCell ref="JQ162:JT162"/>
    <mergeCell ref="JX162:KA162"/>
    <mergeCell ref="KE162:KH162"/>
    <mergeCell ref="KL162:KO162"/>
    <mergeCell ref="JJ163:JM163"/>
    <mergeCell ref="JQ163:JT163"/>
    <mergeCell ref="JX163:KA163"/>
    <mergeCell ref="KE163:KH163"/>
    <mergeCell ref="KL163:KO163"/>
    <mergeCell ref="JJ164:JM164"/>
    <mergeCell ref="JQ164:JT164"/>
    <mergeCell ref="JX164:KA164"/>
    <mergeCell ref="KE164:KH164"/>
    <mergeCell ref="KL164:KO164"/>
    <mergeCell ref="JJ165:JM165"/>
    <mergeCell ref="JQ165:JT165"/>
    <mergeCell ref="JX165:KA165"/>
    <mergeCell ref="KE165:KH165"/>
    <mergeCell ref="KL165:KO165"/>
    <mergeCell ref="JJ166:JM166"/>
    <mergeCell ref="JQ166:JT166"/>
    <mergeCell ref="JX166:KA166"/>
    <mergeCell ref="KE166:KH166"/>
    <mergeCell ref="KL166:KO166"/>
    <mergeCell ref="JJ153:JM153"/>
    <mergeCell ref="JQ153:JT153"/>
    <mergeCell ref="JX153:KA153"/>
    <mergeCell ref="KE153:KH153"/>
    <mergeCell ref="KL153:KO153"/>
    <mergeCell ref="JJ154:JM154"/>
    <mergeCell ref="JQ154:JT154"/>
    <mergeCell ref="JX154:KA154"/>
    <mergeCell ref="KE154:KH154"/>
    <mergeCell ref="KL154:KO154"/>
    <mergeCell ref="JJ155:JM155"/>
    <mergeCell ref="JQ155:JT155"/>
    <mergeCell ref="JX155:KA155"/>
    <mergeCell ref="KE155:KH155"/>
    <mergeCell ref="KL155:KO155"/>
    <mergeCell ref="JJ156:JM156"/>
    <mergeCell ref="JQ156:JT156"/>
    <mergeCell ref="JX156:KA156"/>
    <mergeCell ref="KE156:KH156"/>
    <mergeCell ref="KL156:KO156"/>
    <mergeCell ref="JJ157:JM157"/>
    <mergeCell ref="JQ157:JT157"/>
    <mergeCell ref="JX157:KA157"/>
    <mergeCell ref="KE157:KH157"/>
    <mergeCell ref="KL157:KO157"/>
    <mergeCell ref="JJ158:JM158"/>
    <mergeCell ref="JQ158:JT158"/>
    <mergeCell ref="JX158:KA158"/>
    <mergeCell ref="KE158:KH158"/>
    <mergeCell ref="KL158:KO158"/>
    <mergeCell ref="JJ159:JM159"/>
    <mergeCell ref="JQ159:JT159"/>
    <mergeCell ref="JX159:KA159"/>
    <mergeCell ref="KE159:KH159"/>
    <mergeCell ref="KL159:KO159"/>
    <mergeCell ref="KE134:KH134"/>
    <mergeCell ref="KL134:KO134"/>
    <mergeCell ref="JJ135:JM135"/>
    <mergeCell ref="JQ135:JT135"/>
    <mergeCell ref="JX135:KA135"/>
    <mergeCell ref="KE135:KH135"/>
    <mergeCell ref="KL135:KO135"/>
    <mergeCell ref="JJ136:JM136"/>
    <mergeCell ref="JQ136:JT136"/>
    <mergeCell ref="JX136:KA136"/>
    <mergeCell ref="KE136:KH136"/>
    <mergeCell ref="KL136:KO136"/>
    <mergeCell ref="JJ137:JM137"/>
    <mergeCell ref="JQ137:JT137"/>
    <mergeCell ref="JX137:KA137"/>
    <mergeCell ref="KE137:KH137"/>
    <mergeCell ref="KL137:KO137"/>
    <mergeCell ref="JJ142:JM142"/>
    <mergeCell ref="JQ142:JT142"/>
    <mergeCell ref="JX142:KA142"/>
    <mergeCell ref="KE142:KH142"/>
    <mergeCell ref="KL142:KO142"/>
    <mergeCell ref="JJ143:JM143"/>
    <mergeCell ref="JQ143:JT143"/>
    <mergeCell ref="JX143:KA143"/>
    <mergeCell ref="KE143:KH143"/>
    <mergeCell ref="KL143:KO143"/>
    <mergeCell ref="JJ144:JM144"/>
    <mergeCell ref="JQ144:JT144"/>
    <mergeCell ref="JX144:KA144"/>
    <mergeCell ref="KE144:KH144"/>
    <mergeCell ref="KL144:KO144"/>
    <mergeCell ref="JJ145:JM145"/>
    <mergeCell ref="JQ145:JT145"/>
    <mergeCell ref="JX145:KA145"/>
    <mergeCell ref="KE145:KH145"/>
    <mergeCell ref="KL145:KO145"/>
    <mergeCell ref="JQ92:JT92"/>
    <mergeCell ref="JX92:KA92"/>
    <mergeCell ref="KE92:KH92"/>
    <mergeCell ref="KL92:KO92"/>
    <mergeCell ref="JJ93:JM93"/>
    <mergeCell ref="JQ93:JT93"/>
    <mergeCell ref="JX93:KA93"/>
    <mergeCell ref="KE93:KH93"/>
    <mergeCell ref="KL93:KO93"/>
    <mergeCell ref="JJ98:JM98"/>
    <mergeCell ref="JQ98:JT98"/>
    <mergeCell ref="JX98:KA98"/>
    <mergeCell ref="KE98:KH98"/>
    <mergeCell ref="KL98:KO98"/>
    <mergeCell ref="JJ99:JM99"/>
    <mergeCell ref="JQ99:JT99"/>
    <mergeCell ref="JX99:KA99"/>
    <mergeCell ref="KE99:KH99"/>
    <mergeCell ref="KL99:KO99"/>
    <mergeCell ref="JJ100:JM100"/>
    <mergeCell ref="JQ100:JT100"/>
    <mergeCell ref="JX100:KA100"/>
    <mergeCell ref="KE100:KH100"/>
    <mergeCell ref="KL100:KO100"/>
    <mergeCell ref="JJ101:JM101"/>
    <mergeCell ref="JQ101:JT101"/>
    <mergeCell ref="JX101:KA101"/>
    <mergeCell ref="KE101:KH101"/>
    <mergeCell ref="KL101:KO101"/>
    <mergeCell ref="JJ102:JM102"/>
    <mergeCell ref="JQ102:JT102"/>
    <mergeCell ref="JX102:KA102"/>
    <mergeCell ref="KE102:KH102"/>
    <mergeCell ref="KL102:KO102"/>
    <mergeCell ref="JX57:KA57"/>
    <mergeCell ref="KE57:KH57"/>
    <mergeCell ref="KL57:KO57"/>
    <mergeCell ref="JJ58:JM58"/>
    <mergeCell ref="JQ58:JT58"/>
    <mergeCell ref="JX58:KA58"/>
    <mergeCell ref="KE58:KH58"/>
    <mergeCell ref="KL58:KO58"/>
    <mergeCell ref="JJ59:JM59"/>
    <mergeCell ref="JQ59:JT59"/>
    <mergeCell ref="JX59:KA59"/>
    <mergeCell ref="KE59:KH59"/>
    <mergeCell ref="KL59:KO59"/>
    <mergeCell ref="JJ60:JM60"/>
    <mergeCell ref="JQ60:JT60"/>
    <mergeCell ref="JX60:KA60"/>
    <mergeCell ref="KE60:KH60"/>
    <mergeCell ref="KL60:KO60"/>
    <mergeCell ref="JJ65:JM65"/>
    <mergeCell ref="JQ65:JT65"/>
    <mergeCell ref="JX65:KA65"/>
    <mergeCell ref="KE65:KH65"/>
    <mergeCell ref="KL65:KO65"/>
    <mergeCell ref="JJ66:JM66"/>
    <mergeCell ref="JQ66:JT66"/>
    <mergeCell ref="JX66:KA66"/>
    <mergeCell ref="KE66:KH66"/>
    <mergeCell ref="KL66:KO66"/>
    <mergeCell ref="JJ67:JM67"/>
    <mergeCell ref="JQ67:JT67"/>
    <mergeCell ref="JX67:KA67"/>
    <mergeCell ref="KE67:KH67"/>
    <mergeCell ref="KL67:KO67"/>
    <mergeCell ref="IA210:ID210"/>
    <mergeCell ref="IH210:IK210"/>
    <mergeCell ref="IO210:IR210"/>
    <mergeCell ref="IV210:IY210"/>
    <mergeCell ref="JC210:JF210"/>
    <mergeCell ref="IA211:ID211"/>
    <mergeCell ref="IH211:IK211"/>
    <mergeCell ref="IO211:IR211"/>
    <mergeCell ref="IV211:IY211"/>
    <mergeCell ref="JC211:JF211"/>
    <mergeCell ref="IA212:ID212"/>
    <mergeCell ref="IH212:IK212"/>
    <mergeCell ref="IO212:IR212"/>
    <mergeCell ref="IV212:IY212"/>
    <mergeCell ref="JC212:JF212"/>
    <mergeCell ref="IA213:ID213"/>
    <mergeCell ref="IH213:IK213"/>
    <mergeCell ref="IO213:IR213"/>
    <mergeCell ref="IV213:IY213"/>
    <mergeCell ref="JC213:JF213"/>
    <mergeCell ref="IA207:ID207"/>
    <mergeCell ref="JJ21:JM21"/>
    <mergeCell ref="JQ21:JT21"/>
    <mergeCell ref="JX21:KA21"/>
    <mergeCell ref="KE21:KH21"/>
    <mergeCell ref="KL21:KO21"/>
    <mergeCell ref="JJ22:JM22"/>
    <mergeCell ref="JQ22:JT22"/>
    <mergeCell ref="JX22:KA22"/>
    <mergeCell ref="KE22:KH22"/>
    <mergeCell ref="KL22:KO22"/>
    <mergeCell ref="JJ23:JM23"/>
    <mergeCell ref="JQ23:JT23"/>
    <mergeCell ref="JX23:KA23"/>
    <mergeCell ref="KE23:KH23"/>
    <mergeCell ref="KL23:KO23"/>
    <mergeCell ref="JJ24:JM24"/>
    <mergeCell ref="JQ24:JT24"/>
    <mergeCell ref="JX24:KA24"/>
    <mergeCell ref="KE24:KH24"/>
    <mergeCell ref="KL24:KO24"/>
    <mergeCell ref="JJ25:JM25"/>
    <mergeCell ref="JQ25:JT25"/>
    <mergeCell ref="JX25:KA25"/>
    <mergeCell ref="KE25:KH25"/>
    <mergeCell ref="KL25:KO25"/>
    <mergeCell ref="JJ26:JM26"/>
    <mergeCell ref="JQ26:JT26"/>
    <mergeCell ref="JX26:KA26"/>
    <mergeCell ref="KE26:KH26"/>
    <mergeCell ref="KL26:KO26"/>
    <mergeCell ref="JJ27:JM27"/>
    <mergeCell ref="JQ27:JT27"/>
    <mergeCell ref="JX27:KA27"/>
    <mergeCell ref="KE27:KH27"/>
    <mergeCell ref="KL27:KO27"/>
    <mergeCell ref="JJ32:JM32"/>
    <mergeCell ref="JQ32:JT32"/>
    <mergeCell ref="JX32:KA32"/>
    <mergeCell ref="KE32:KH32"/>
    <mergeCell ref="KL32:KO32"/>
    <mergeCell ref="JJ33:JM33"/>
    <mergeCell ref="JQ33:JT33"/>
    <mergeCell ref="JX33:KA33"/>
    <mergeCell ref="IA200:ID200"/>
    <mergeCell ref="IH200:IK200"/>
    <mergeCell ref="IO200:IR200"/>
    <mergeCell ref="IV200:IY200"/>
    <mergeCell ref="JC200:JF200"/>
    <mergeCell ref="IA201:ID201"/>
    <mergeCell ref="IH201:IK201"/>
    <mergeCell ref="IO201:IR201"/>
    <mergeCell ref="IV201:IY201"/>
    <mergeCell ref="JC201:JF201"/>
    <mergeCell ref="IA202:ID202"/>
    <mergeCell ref="IH202:IK202"/>
    <mergeCell ref="IO202:IR202"/>
    <mergeCell ref="IV202:IY202"/>
    <mergeCell ref="JC202:JF202"/>
    <mergeCell ref="IA203:ID203"/>
    <mergeCell ref="IH203:IK203"/>
    <mergeCell ref="IO203:IR203"/>
    <mergeCell ref="IV203:IY203"/>
    <mergeCell ref="JC203:JF203"/>
    <mergeCell ref="IH207:IK207"/>
    <mergeCell ref="IO207:IR207"/>
    <mergeCell ref="IV207:IY207"/>
    <mergeCell ref="JC207:JF207"/>
    <mergeCell ref="IA208:ID208"/>
    <mergeCell ref="IH208:IK208"/>
    <mergeCell ref="IO208:IR208"/>
    <mergeCell ref="IV208:IY208"/>
    <mergeCell ref="JC208:JF208"/>
    <mergeCell ref="IA209:ID209"/>
    <mergeCell ref="IH209:IK209"/>
    <mergeCell ref="IO209:IR209"/>
    <mergeCell ref="IV209:IY209"/>
    <mergeCell ref="JC209:JF209"/>
    <mergeCell ref="IA192:ID192"/>
    <mergeCell ref="IH192:IK192"/>
    <mergeCell ref="IO192:IR192"/>
    <mergeCell ref="IV192:IY192"/>
    <mergeCell ref="JC192:JF192"/>
    <mergeCell ref="IA193:ID193"/>
    <mergeCell ref="IH193:IK193"/>
    <mergeCell ref="IO193:IR193"/>
    <mergeCell ref="IV193:IY193"/>
    <mergeCell ref="JC193:JF193"/>
    <mergeCell ref="IA194:ID194"/>
    <mergeCell ref="IH194:IK194"/>
    <mergeCell ref="IO194:IR194"/>
    <mergeCell ref="IV194:IY194"/>
    <mergeCell ref="JC194:JF194"/>
    <mergeCell ref="IA195:ID195"/>
    <mergeCell ref="IH195:IK195"/>
    <mergeCell ref="IO195:IR195"/>
    <mergeCell ref="IV195:IY195"/>
    <mergeCell ref="JC195:JF195"/>
    <mergeCell ref="IA197:ID197"/>
    <mergeCell ref="IH197:IK197"/>
    <mergeCell ref="IO197:IR197"/>
    <mergeCell ref="IV197:IY197"/>
    <mergeCell ref="JC197:JF197"/>
    <mergeCell ref="IA198:ID198"/>
    <mergeCell ref="IH198:IK198"/>
    <mergeCell ref="IO198:IR198"/>
    <mergeCell ref="IV198:IY198"/>
    <mergeCell ref="JC198:JF198"/>
    <mergeCell ref="IA199:ID199"/>
    <mergeCell ref="IH199:IK199"/>
    <mergeCell ref="IO199:IR199"/>
    <mergeCell ref="IV199:IY199"/>
    <mergeCell ref="JC199:JF199"/>
    <mergeCell ref="IA184:ID184"/>
    <mergeCell ref="IH184:IK184"/>
    <mergeCell ref="IO184:IR184"/>
    <mergeCell ref="IV184:IY184"/>
    <mergeCell ref="JC184:JF184"/>
    <mergeCell ref="IA185:ID185"/>
    <mergeCell ref="IH185:IK185"/>
    <mergeCell ref="IO185:IR185"/>
    <mergeCell ref="IV185:IY185"/>
    <mergeCell ref="JC185:JF185"/>
    <mergeCell ref="IA186:ID186"/>
    <mergeCell ref="IH186:IK186"/>
    <mergeCell ref="IO186:IR186"/>
    <mergeCell ref="IV186:IY186"/>
    <mergeCell ref="JC186:JF186"/>
    <mergeCell ref="IA187:ID187"/>
    <mergeCell ref="IH187:IK187"/>
    <mergeCell ref="IO187:IR187"/>
    <mergeCell ref="IV187:IY187"/>
    <mergeCell ref="JC187:JF187"/>
    <mergeCell ref="IH189:IK189"/>
    <mergeCell ref="IO189:IR189"/>
    <mergeCell ref="IV189:IY189"/>
    <mergeCell ref="JC189:JF189"/>
    <mergeCell ref="IA190:ID190"/>
    <mergeCell ref="IH190:IK190"/>
    <mergeCell ref="IO190:IR190"/>
    <mergeCell ref="IV190:IY190"/>
    <mergeCell ref="JC190:JF190"/>
    <mergeCell ref="IA191:ID191"/>
    <mergeCell ref="IH191:IK191"/>
    <mergeCell ref="IO191:IR191"/>
    <mergeCell ref="IV191:IY191"/>
    <mergeCell ref="JC191:JF191"/>
    <mergeCell ref="IA177:ID177"/>
    <mergeCell ref="IH177:IK177"/>
    <mergeCell ref="IO177:IR177"/>
    <mergeCell ref="IV177:IY177"/>
    <mergeCell ref="JC177:JF177"/>
    <mergeCell ref="IA178:ID178"/>
    <mergeCell ref="IH178:IK178"/>
    <mergeCell ref="IO178:IR178"/>
    <mergeCell ref="IV178:IY178"/>
    <mergeCell ref="JC178:JF178"/>
    <mergeCell ref="IA179:ID179"/>
    <mergeCell ref="IH179:IK179"/>
    <mergeCell ref="IO179:IR179"/>
    <mergeCell ref="IV179:IY179"/>
    <mergeCell ref="JC179:JF179"/>
    <mergeCell ref="IA180:ID180"/>
    <mergeCell ref="IH180:IK180"/>
    <mergeCell ref="IO180:IR180"/>
    <mergeCell ref="IV180:IY180"/>
    <mergeCell ref="JC180:JF180"/>
    <mergeCell ref="IA181:ID181"/>
    <mergeCell ref="IH181:IK181"/>
    <mergeCell ref="IO181:IR181"/>
    <mergeCell ref="IV181:IY181"/>
    <mergeCell ref="JC181:JF181"/>
    <mergeCell ref="IA182:ID182"/>
    <mergeCell ref="IH182:IK182"/>
    <mergeCell ref="IO182:IR182"/>
    <mergeCell ref="IV182:IY182"/>
    <mergeCell ref="JC182:JF182"/>
    <mergeCell ref="IA183:ID183"/>
    <mergeCell ref="IH183:IK183"/>
    <mergeCell ref="IO183:IR183"/>
    <mergeCell ref="IV183:IY183"/>
    <mergeCell ref="JC183:JF183"/>
    <mergeCell ref="IA170:ID170"/>
    <mergeCell ref="IH170:IK170"/>
    <mergeCell ref="IO170:IR170"/>
    <mergeCell ref="IV170:IY170"/>
    <mergeCell ref="JC170:JF170"/>
    <mergeCell ref="IA171:ID171"/>
    <mergeCell ref="IH171:IK171"/>
    <mergeCell ref="IO171:IR171"/>
    <mergeCell ref="IV171:IY171"/>
    <mergeCell ref="JC171:JF171"/>
    <mergeCell ref="IA172:ID172"/>
    <mergeCell ref="IH172:IK172"/>
    <mergeCell ref="IO172:IR172"/>
    <mergeCell ref="IV172:IY172"/>
    <mergeCell ref="JC172:JF172"/>
    <mergeCell ref="IA173:ID173"/>
    <mergeCell ref="IH173:IK173"/>
    <mergeCell ref="IO173:IR173"/>
    <mergeCell ref="IV173:IY173"/>
    <mergeCell ref="JC173:JF173"/>
    <mergeCell ref="IA174:ID174"/>
    <mergeCell ref="IH174:IK174"/>
    <mergeCell ref="IO174:IR174"/>
    <mergeCell ref="IV174:IY174"/>
    <mergeCell ref="JC174:JF174"/>
    <mergeCell ref="IA175:ID175"/>
    <mergeCell ref="IH175:IK175"/>
    <mergeCell ref="IO175:IR175"/>
    <mergeCell ref="IV175:IY175"/>
    <mergeCell ref="JC175:JF175"/>
    <mergeCell ref="IA176:ID176"/>
    <mergeCell ref="IH176:IK176"/>
    <mergeCell ref="IO176:IR176"/>
    <mergeCell ref="IV176:IY176"/>
    <mergeCell ref="JC176:JF176"/>
    <mergeCell ref="IA160:ID160"/>
    <mergeCell ref="IH160:IK160"/>
    <mergeCell ref="IO160:IR160"/>
    <mergeCell ref="IV160:IY160"/>
    <mergeCell ref="JC160:JF160"/>
    <mergeCell ref="IA161:ID161"/>
    <mergeCell ref="IH161:IK161"/>
    <mergeCell ref="IO161:IR161"/>
    <mergeCell ref="IV161:IY161"/>
    <mergeCell ref="JC161:JF161"/>
    <mergeCell ref="IA162:ID162"/>
    <mergeCell ref="IH162:IK162"/>
    <mergeCell ref="IO162:IR162"/>
    <mergeCell ref="IV162:IY162"/>
    <mergeCell ref="JC162:JF162"/>
    <mergeCell ref="IA163:ID163"/>
    <mergeCell ref="IH163:IK163"/>
    <mergeCell ref="IO163:IR163"/>
    <mergeCell ref="IV163:IY163"/>
    <mergeCell ref="JC163:JF163"/>
    <mergeCell ref="IA167:ID167"/>
    <mergeCell ref="IH167:IK167"/>
    <mergeCell ref="IO167:IR167"/>
    <mergeCell ref="IV167:IY167"/>
    <mergeCell ref="JC167:JF167"/>
    <mergeCell ref="IA168:ID168"/>
    <mergeCell ref="IH168:IK168"/>
    <mergeCell ref="IO168:IR168"/>
    <mergeCell ref="IV168:IY168"/>
    <mergeCell ref="JC168:JF168"/>
    <mergeCell ref="IA169:ID169"/>
    <mergeCell ref="IH169:IK169"/>
    <mergeCell ref="IO169:IR169"/>
    <mergeCell ref="IV169:IY169"/>
    <mergeCell ref="JC169:JF169"/>
    <mergeCell ref="IA150:ID150"/>
    <mergeCell ref="IH150:IK150"/>
    <mergeCell ref="IO150:IR150"/>
    <mergeCell ref="IV150:IY150"/>
    <mergeCell ref="JC150:JF150"/>
    <mergeCell ref="IA151:ID151"/>
    <mergeCell ref="IH151:IK151"/>
    <mergeCell ref="IO151:IR151"/>
    <mergeCell ref="IV151:IY151"/>
    <mergeCell ref="JC151:JF151"/>
    <mergeCell ref="IA152:ID152"/>
    <mergeCell ref="IH152:IK152"/>
    <mergeCell ref="IO152:IR152"/>
    <mergeCell ref="IV152:IY152"/>
    <mergeCell ref="JC152:JF152"/>
    <mergeCell ref="IA153:ID153"/>
    <mergeCell ref="IH153:IK153"/>
    <mergeCell ref="IO153:IR153"/>
    <mergeCell ref="IV153:IY153"/>
    <mergeCell ref="JC153:JF153"/>
    <mergeCell ref="IO157:IR157"/>
    <mergeCell ref="IV157:IY157"/>
    <mergeCell ref="JC157:JF157"/>
    <mergeCell ref="IA158:ID158"/>
    <mergeCell ref="IH158:IK158"/>
    <mergeCell ref="IO158:IR158"/>
    <mergeCell ref="IV158:IY158"/>
    <mergeCell ref="JC158:JF158"/>
    <mergeCell ref="IA159:ID159"/>
    <mergeCell ref="IH159:IK159"/>
    <mergeCell ref="IO159:IR159"/>
    <mergeCell ref="IV159:IY159"/>
    <mergeCell ref="JC159:JF159"/>
    <mergeCell ref="IA142:ID142"/>
    <mergeCell ref="IH142:IK142"/>
    <mergeCell ref="IO142:IR142"/>
    <mergeCell ref="IV142:IY142"/>
    <mergeCell ref="JC142:JF142"/>
    <mergeCell ref="IA143:ID143"/>
    <mergeCell ref="IH143:IK143"/>
    <mergeCell ref="IO143:IR143"/>
    <mergeCell ref="IV143:IY143"/>
    <mergeCell ref="JC143:JF143"/>
    <mergeCell ref="IA144:ID144"/>
    <mergeCell ref="IH144:IK144"/>
    <mergeCell ref="IO144:IR144"/>
    <mergeCell ref="IV144:IY144"/>
    <mergeCell ref="JC144:JF144"/>
    <mergeCell ref="IA145:ID145"/>
    <mergeCell ref="IH145:IK145"/>
    <mergeCell ref="IO145:IR145"/>
    <mergeCell ref="IV145:IY145"/>
    <mergeCell ref="JC145:JF145"/>
    <mergeCell ref="IA147:ID147"/>
    <mergeCell ref="IH147:IK147"/>
    <mergeCell ref="IO147:IR147"/>
    <mergeCell ref="IV147:IY147"/>
    <mergeCell ref="JC147:JF147"/>
    <mergeCell ref="IA148:ID148"/>
    <mergeCell ref="IH148:IK148"/>
    <mergeCell ref="IO148:IR148"/>
    <mergeCell ref="IV148:IY148"/>
    <mergeCell ref="JC148:JF148"/>
    <mergeCell ref="IA149:ID149"/>
    <mergeCell ref="IH149:IK149"/>
    <mergeCell ref="IO149:IR149"/>
    <mergeCell ref="IV149:IY149"/>
    <mergeCell ref="JC149:JF149"/>
    <mergeCell ref="IA131:ID131"/>
    <mergeCell ref="IH131:IK131"/>
    <mergeCell ref="IO131:IR131"/>
    <mergeCell ref="IV131:IY131"/>
    <mergeCell ref="JC131:JF131"/>
    <mergeCell ref="IA132:ID132"/>
    <mergeCell ref="IH132:IK132"/>
    <mergeCell ref="IO132:IR132"/>
    <mergeCell ref="IV132:IY132"/>
    <mergeCell ref="JC132:JF132"/>
    <mergeCell ref="IA133:ID133"/>
    <mergeCell ref="IH133:IK133"/>
    <mergeCell ref="IO133:IR133"/>
    <mergeCell ref="IV133:IY133"/>
    <mergeCell ref="JC133:JF133"/>
    <mergeCell ref="IA134:ID134"/>
    <mergeCell ref="IH134:IK134"/>
    <mergeCell ref="IO134:IR134"/>
    <mergeCell ref="IV134:IY134"/>
    <mergeCell ref="JC134:JF134"/>
    <mergeCell ref="IA139:ID139"/>
    <mergeCell ref="IH139:IK139"/>
    <mergeCell ref="IO139:IR139"/>
    <mergeCell ref="IV139:IY139"/>
    <mergeCell ref="JC139:JF139"/>
    <mergeCell ref="IA140:ID140"/>
    <mergeCell ref="IH140:IK140"/>
    <mergeCell ref="IO140:IR140"/>
    <mergeCell ref="IV140:IY140"/>
    <mergeCell ref="JC140:JF140"/>
    <mergeCell ref="IA141:ID141"/>
    <mergeCell ref="IH141:IK141"/>
    <mergeCell ref="IO141:IR141"/>
    <mergeCell ref="IV141:IY141"/>
    <mergeCell ref="JC141:JF141"/>
    <mergeCell ref="IA119:ID119"/>
    <mergeCell ref="IH119:IK119"/>
    <mergeCell ref="IO119:IR119"/>
    <mergeCell ref="IV119:IY119"/>
    <mergeCell ref="JC119:JF119"/>
    <mergeCell ref="IA120:ID120"/>
    <mergeCell ref="IH120:IK120"/>
    <mergeCell ref="IO120:IR120"/>
    <mergeCell ref="IV120:IY120"/>
    <mergeCell ref="JC120:JF120"/>
    <mergeCell ref="IA121:ID121"/>
    <mergeCell ref="IH121:IK121"/>
    <mergeCell ref="IO121:IR121"/>
    <mergeCell ref="IV121:IY121"/>
    <mergeCell ref="JC121:JF121"/>
    <mergeCell ref="IA122:ID122"/>
    <mergeCell ref="IH122:IK122"/>
    <mergeCell ref="IO122:IR122"/>
    <mergeCell ref="IV122:IY122"/>
    <mergeCell ref="JC122:JF122"/>
    <mergeCell ref="IA128:ID128"/>
    <mergeCell ref="IH128:IK128"/>
    <mergeCell ref="IO128:IR128"/>
    <mergeCell ref="IV128:IY128"/>
    <mergeCell ref="JC128:JF128"/>
    <mergeCell ref="IA129:ID129"/>
    <mergeCell ref="IH129:IK129"/>
    <mergeCell ref="IO129:IR129"/>
    <mergeCell ref="IV129:IY129"/>
    <mergeCell ref="JC129:JF129"/>
    <mergeCell ref="IA130:ID130"/>
    <mergeCell ref="IH130:IK130"/>
    <mergeCell ref="IO130:IR130"/>
    <mergeCell ref="IV130:IY130"/>
    <mergeCell ref="JC130:JF130"/>
    <mergeCell ref="IA108:ID108"/>
    <mergeCell ref="IH108:IK108"/>
    <mergeCell ref="IO108:IR108"/>
    <mergeCell ref="IV108:IY108"/>
    <mergeCell ref="JC108:JF108"/>
    <mergeCell ref="IA109:ID109"/>
    <mergeCell ref="IH109:IK109"/>
    <mergeCell ref="IO109:IR109"/>
    <mergeCell ref="IV109:IY109"/>
    <mergeCell ref="JC109:JF109"/>
    <mergeCell ref="IA110:ID110"/>
    <mergeCell ref="IH110:IK110"/>
    <mergeCell ref="IO110:IR110"/>
    <mergeCell ref="IV110:IY110"/>
    <mergeCell ref="JC110:JF110"/>
    <mergeCell ref="IA111:ID111"/>
    <mergeCell ref="IH111:IK111"/>
    <mergeCell ref="IO111:IR111"/>
    <mergeCell ref="IV111:IY111"/>
    <mergeCell ref="JC111:JF111"/>
    <mergeCell ref="IA116:ID116"/>
    <mergeCell ref="IH116:IK116"/>
    <mergeCell ref="IO116:IR116"/>
    <mergeCell ref="IV116:IY116"/>
    <mergeCell ref="JC116:JF116"/>
    <mergeCell ref="IA117:ID117"/>
    <mergeCell ref="IH117:IK117"/>
    <mergeCell ref="IO117:IR117"/>
    <mergeCell ref="IV117:IY117"/>
    <mergeCell ref="JC117:JF117"/>
    <mergeCell ref="IA118:ID118"/>
    <mergeCell ref="IH118:IK118"/>
    <mergeCell ref="IO118:IR118"/>
    <mergeCell ref="IV118:IY118"/>
    <mergeCell ref="JC118:JF118"/>
    <mergeCell ref="IA97:ID97"/>
    <mergeCell ref="IH97:IK97"/>
    <mergeCell ref="IO97:IR97"/>
    <mergeCell ref="IV97:IY97"/>
    <mergeCell ref="JC97:JF97"/>
    <mergeCell ref="IA98:ID98"/>
    <mergeCell ref="IH98:IK98"/>
    <mergeCell ref="IO98:IR98"/>
    <mergeCell ref="IV98:IY98"/>
    <mergeCell ref="JC98:JF98"/>
    <mergeCell ref="IA99:ID99"/>
    <mergeCell ref="IH99:IK99"/>
    <mergeCell ref="IO99:IR99"/>
    <mergeCell ref="IV99:IY99"/>
    <mergeCell ref="JC99:JF99"/>
    <mergeCell ref="IA100:ID100"/>
    <mergeCell ref="IH100:IK100"/>
    <mergeCell ref="IO100:IR100"/>
    <mergeCell ref="IV100:IY100"/>
    <mergeCell ref="JC100:JF100"/>
    <mergeCell ref="IH94:IK94"/>
    <mergeCell ref="IA105:ID105"/>
    <mergeCell ref="IH105:IK105"/>
    <mergeCell ref="IO105:IR105"/>
    <mergeCell ref="IV105:IY105"/>
    <mergeCell ref="JC105:JF105"/>
    <mergeCell ref="IA106:ID106"/>
    <mergeCell ref="IH106:IK106"/>
    <mergeCell ref="IO106:IR106"/>
    <mergeCell ref="IV106:IY106"/>
    <mergeCell ref="JC106:JF106"/>
    <mergeCell ref="IA107:ID107"/>
    <mergeCell ref="IH107:IK107"/>
    <mergeCell ref="IO107:IR107"/>
    <mergeCell ref="IV107:IY107"/>
    <mergeCell ref="JC107:JF107"/>
    <mergeCell ref="IA86:ID86"/>
    <mergeCell ref="IH86:IK86"/>
    <mergeCell ref="IO86:IR86"/>
    <mergeCell ref="IV86:IY86"/>
    <mergeCell ref="JC86:JF86"/>
    <mergeCell ref="IA87:ID87"/>
    <mergeCell ref="IH87:IK87"/>
    <mergeCell ref="IO87:IR87"/>
    <mergeCell ref="IV87:IY87"/>
    <mergeCell ref="JC87:JF87"/>
    <mergeCell ref="IA88:ID88"/>
    <mergeCell ref="IH88:IK88"/>
    <mergeCell ref="IO88:IR88"/>
    <mergeCell ref="IV88:IY88"/>
    <mergeCell ref="JC88:JF88"/>
    <mergeCell ref="IA89:ID89"/>
    <mergeCell ref="IH89:IK89"/>
    <mergeCell ref="IO89:IR89"/>
    <mergeCell ref="IV89:IY89"/>
    <mergeCell ref="JC89:JF89"/>
    <mergeCell ref="IO94:IR94"/>
    <mergeCell ref="IV94:IY94"/>
    <mergeCell ref="JC94:JF94"/>
    <mergeCell ref="IA95:ID95"/>
    <mergeCell ref="IH95:IK95"/>
    <mergeCell ref="IO95:IR95"/>
    <mergeCell ref="IV95:IY95"/>
    <mergeCell ref="JC95:JF95"/>
    <mergeCell ref="IA96:ID96"/>
    <mergeCell ref="IH96:IK96"/>
    <mergeCell ref="IO96:IR96"/>
    <mergeCell ref="IV96:IY96"/>
    <mergeCell ref="JC96:JF96"/>
    <mergeCell ref="IA79:ID79"/>
    <mergeCell ref="IH79:IK79"/>
    <mergeCell ref="IO79:IR79"/>
    <mergeCell ref="IV79:IY79"/>
    <mergeCell ref="JC79:JF79"/>
    <mergeCell ref="IA80:ID80"/>
    <mergeCell ref="IH80:IK80"/>
    <mergeCell ref="IO80:IR80"/>
    <mergeCell ref="IV80:IY80"/>
    <mergeCell ref="JC80:JF80"/>
    <mergeCell ref="IA81:ID81"/>
    <mergeCell ref="IH81:IK81"/>
    <mergeCell ref="IO81:IR81"/>
    <mergeCell ref="IV81:IY81"/>
    <mergeCell ref="JC81:JF81"/>
    <mergeCell ref="IA82:ID82"/>
    <mergeCell ref="IH82:IK82"/>
    <mergeCell ref="IO82:IR82"/>
    <mergeCell ref="IV82:IY82"/>
    <mergeCell ref="JC82:JF82"/>
    <mergeCell ref="IA83:ID83"/>
    <mergeCell ref="IH83:IK83"/>
    <mergeCell ref="IO83:IR83"/>
    <mergeCell ref="IV83:IY83"/>
    <mergeCell ref="JC83:JF83"/>
    <mergeCell ref="IA84:ID84"/>
    <mergeCell ref="IH84:IK84"/>
    <mergeCell ref="IO84:IR84"/>
    <mergeCell ref="IV84:IY84"/>
    <mergeCell ref="JC84:JF84"/>
    <mergeCell ref="IA85:ID85"/>
    <mergeCell ref="IH85:IK85"/>
    <mergeCell ref="IO85:IR85"/>
    <mergeCell ref="IV85:IY85"/>
    <mergeCell ref="JC85:JF85"/>
    <mergeCell ref="IA68:ID68"/>
    <mergeCell ref="IH68:IK68"/>
    <mergeCell ref="IO68:IR68"/>
    <mergeCell ref="IV68:IY68"/>
    <mergeCell ref="JC68:JF68"/>
    <mergeCell ref="IA69:ID69"/>
    <mergeCell ref="IH69:IK69"/>
    <mergeCell ref="IO69:IR69"/>
    <mergeCell ref="IV69:IY69"/>
    <mergeCell ref="JC69:JF69"/>
    <mergeCell ref="IA70:ID70"/>
    <mergeCell ref="IH70:IK70"/>
    <mergeCell ref="IO70:IR70"/>
    <mergeCell ref="IV70:IY70"/>
    <mergeCell ref="JC70:JF70"/>
    <mergeCell ref="IA71:ID71"/>
    <mergeCell ref="IH71:IK71"/>
    <mergeCell ref="IO71:IR71"/>
    <mergeCell ref="IV71:IY71"/>
    <mergeCell ref="JC71:JF71"/>
    <mergeCell ref="IA76:ID76"/>
    <mergeCell ref="IH76:IK76"/>
    <mergeCell ref="IO76:IR76"/>
    <mergeCell ref="IV76:IY76"/>
    <mergeCell ref="JC76:JF76"/>
    <mergeCell ref="IA77:ID77"/>
    <mergeCell ref="IH77:IK77"/>
    <mergeCell ref="IO77:IR77"/>
    <mergeCell ref="IV77:IY77"/>
    <mergeCell ref="JC77:JF77"/>
    <mergeCell ref="IA78:ID78"/>
    <mergeCell ref="IH78:IK78"/>
    <mergeCell ref="IO78:IR78"/>
    <mergeCell ref="IV78:IY78"/>
    <mergeCell ref="JC78:JF78"/>
    <mergeCell ref="IA42:ID42"/>
    <mergeCell ref="IH42:IK42"/>
    <mergeCell ref="IO42:IR42"/>
    <mergeCell ref="IV42:IY42"/>
    <mergeCell ref="JC42:JF42"/>
    <mergeCell ref="IA54:ID54"/>
    <mergeCell ref="IH54:IK54"/>
    <mergeCell ref="IO54:IR54"/>
    <mergeCell ref="IV54:IY54"/>
    <mergeCell ref="JC54:JF54"/>
    <mergeCell ref="IA55:ID55"/>
    <mergeCell ref="IH55:IK55"/>
    <mergeCell ref="IO55:IR55"/>
    <mergeCell ref="IV55:IY55"/>
    <mergeCell ref="JC55:JF55"/>
    <mergeCell ref="IA56:ID56"/>
    <mergeCell ref="IH56:IK56"/>
    <mergeCell ref="IO56:IR56"/>
    <mergeCell ref="IV56:IY56"/>
    <mergeCell ref="JC56:JF56"/>
    <mergeCell ref="IA65:ID65"/>
    <mergeCell ref="IH65:IK65"/>
    <mergeCell ref="IO65:IR65"/>
    <mergeCell ref="IV65:IY65"/>
    <mergeCell ref="JC65:JF65"/>
    <mergeCell ref="IA66:ID66"/>
    <mergeCell ref="IH66:IK66"/>
    <mergeCell ref="IO66:IR66"/>
    <mergeCell ref="IV66:IY66"/>
    <mergeCell ref="JC66:JF66"/>
    <mergeCell ref="IA67:ID67"/>
    <mergeCell ref="IH67:IK67"/>
    <mergeCell ref="IO67:IR67"/>
    <mergeCell ref="IV67:IY67"/>
    <mergeCell ref="JC67:JF67"/>
    <mergeCell ref="IA43:ID43"/>
    <mergeCell ref="IH43:IK43"/>
    <mergeCell ref="IO43:IR43"/>
    <mergeCell ref="IV43:IY43"/>
    <mergeCell ref="JC43:JF43"/>
    <mergeCell ref="IA46:ID46"/>
    <mergeCell ref="IH46:IK46"/>
    <mergeCell ref="IO46:IR46"/>
    <mergeCell ref="IV46:IY46"/>
    <mergeCell ref="JC46:JF46"/>
    <mergeCell ref="IH49:IK49"/>
    <mergeCell ref="IO49:IR49"/>
    <mergeCell ref="IV49:IY49"/>
    <mergeCell ref="JC49:JF49"/>
    <mergeCell ref="IH52:IK52"/>
    <mergeCell ref="IO52:IR52"/>
    <mergeCell ref="IV52:IY52"/>
    <mergeCell ref="JC52:JF52"/>
    <mergeCell ref="IA34:ID34"/>
    <mergeCell ref="IH34:IK34"/>
    <mergeCell ref="IO34:IR34"/>
    <mergeCell ref="IV34:IY34"/>
    <mergeCell ref="JC34:JF34"/>
    <mergeCell ref="IA35:ID35"/>
    <mergeCell ref="IH35:IK35"/>
    <mergeCell ref="IO35:IR35"/>
    <mergeCell ref="IV35:IY35"/>
    <mergeCell ref="JC35:JF35"/>
    <mergeCell ref="IA36:ID36"/>
    <mergeCell ref="IH36:IK36"/>
    <mergeCell ref="IO36:IR36"/>
    <mergeCell ref="IV36:IY36"/>
    <mergeCell ref="JC36:JF36"/>
    <mergeCell ref="IA37:ID37"/>
    <mergeCell ref="IH37:IK37"/>
    <mergeCell ref="IO37:IR37"/>
    <mergeCell ref="IV37:IY37"/>
    <mergeCell ref="JC37:JF37"/>
    <mergeCell ref="IA39:ID39"/>
    <mergeCell ref="IH39:IK39"/>
    <mergeCell ref="IO39:IR39"/>
    <mergeCell ref="IV39:IY39"/>
    <mergeCell ref="JC39:JF39"/>
    <mergeCell ref="IA40:ID40"/>
    <mergeCell ref="IH40:IK40"/>
    <mergeCell ref="IO40:IR40"/>
    <mergeCell ref="IV40:IY40"/>
    <mergeCell ref="JC40:JF40"/>
    <mergeCell ref="IA41:ID41"/>
    <mergeCell ref="IH41:IK41"/>
    <mergeCell ref="IO41:IR41"/>
    <mergeCell ref="IV41:IY41"/>
    <mergeCell ref="JC41:JF41"/>
    <mergeCell ref="IA24:ID24"/>
    <mergeCell ref="IH24:IK24"/>
    <mergeCell ref="IO24:IR24"/>
    <mergeCell ref="IV24:IY24"/>
    <mergeCell ref="JC24:JF24"/>
    <mergeCell ref="IA25:ID25"/>
    <mergeCell ref="IH25:IK25"/>
    <mergeCell ref="IO25:IR25"/>
    <mergeCell ref="IV25:IY25"/>
    <mergeCell ref="JC25:JF25"/>
    <mergeCell ref="IA26:ID26"/>
    <mergeCell ref="IH26:IK26"/>
    <mergeCell ref="IO26:IR26"/>
    <mergeCell ref="IV26:IY26"/>
    <mergeCell ref="JC26:JF26"/>
    <mergeCell ref="IA27:ID27"/>
    <mergeCell ref="IH27:IK27"/>
    <mergeCell ref="IO27:IR27"/>
    <mergeCell ref="IV27:IY27"/>
    <mergeCell ref="JC27:JF27"/>
    <mergeCell ref="IA31:ID31"/>
    <mergeCell ref="IH31:IK31"/>
    <mergeCell ref="IO31:IR31"/>
    <mergeCell ref="IV31:IY31"/>
    <mergeCell ref="JC31:JF31"/>
    <mergeCell ref="IA32:ID32"/>
    <mergeCell ref="IH32:IK32"/>
    <mergeCell ref="IO32:IR32"/>
    <mergeCell ref="IV32:IY32"/>
    <mergeCell ref="JC32:JF32"/>
    <mergeCell ref="IA33:ID33"/>
    <mergeCell ref="IH33:IK33"/>
    <mergeCell ref="IO33:IR33"/>
    <mergeCell ref="IV33:IY33"/>
    <mergeCell ref="JC33:JF33"/>
    <mergeCell ref="GR215:GU215"/>
    <mergeCell ref="GY215:HB215"/>
    <mergeCell ref="HF215:HI215"/>
    <mergeCell ref="HM215:HP215"/>
    <mergeCell ref="HT215:HW215"/>
    <mergeCell ref="GR216:GU216"/>
    <mergeCell ref="GY216:HB216"/>
    <mergeCell ref="HF216:HI216"/>
    <mergeCell ref="HM216:HP216"/>
    <mergeCell ref="HT216:HW216"/>
    <mergeCell ref="IA11:ID11"/>
    <mergeCell ref="IH11:IK11"/>
    <mergeCell ref="IO11:IR11"/>
    <mergeCell ref="IV11:IY11"/>
    <mergeCell ref="JC11:JF11"/>
    <mergeCell ref="IA12:ID12"/>
    <mergeCell ref="IH12:IK12"/>
    <mergeCell ref="IO12:IR12"/>
    <mergeCell ref="IV12:IY12"/>
    <mergeCell ref="JC12:JF12"/>
    <mergeCell ref="IA13:ID13"/>
    <mergeCell ref="IH13:IK13"/>
    <mergeCell ref="IO13:IR13"/>
    <mergeCell ref="IV13:IY13"/>
    <mergeCell ref="JC13:JF13"/>
    <mergeCell ref="IA14:ID14"/>
    <mergeCell ref="IH14:IK14"/>
    <mergeCell ref="IO14:IR14"/>
    <mergeCell ref="IV14:IY14"/>
    <mergeCell ref="JC14:JF14"/>
    <mergeCell ref="IA15:ID15"/>
    <mergeCell ref="IH15:IK15"/>
    <mergeCell ref="IO15:IR15"/>
    <mergeCell ref="IV15:IY15"/>
    <mergeCell ref="JC15:JF15"/>
    <mergeCell ref="IA16:ID16"/>
    <mergeCell ref="IH16:IK16"/>
    <mergeCell ref="IO16:IR16"/>
    <mergeCell ref="IV16:IY16"/>
    <mergeCell ref="JC16:JF16"/>
    <mergeCell ref="IA17:ID17"/>
    <mergeCell ref="IH17:IK17"/>
    <mergeCell ref="IO17:IR17"/>
    <mergeCell ref="IV17:IY17"/>
    <mergeCell ref="JC17:JF17"/>
    <mergeCell ref="IA18:ID18"/>
    <mergeCell ref="IH18:IK18"/>
    <mergeCell ref="IO18:IR18"/>
    <mergeCell ref="IV18:IY18"/>
    <mergeCell ref="IA21:ID21"/>
    <mergeCell ref="IH21:IK21"/>
    <mergeCell ref="IO21:IR21"/>
    <mergeCell ref="IV21:IY21"/>
    <mergeCell ref="JC21:JF21"/>
    <mergeCell ref="IA22:ID22"/>
    <mergeCell ref="IH22:IK22"/>
    <mergeCell ref="IO22:IR22"/>
    <mergeCell ref="IV22:IY22"/>
    <mergeCell ref="JC22:JF22"/>
    <mergeCell ref="IA23:ID23"/>
    <mergeCell ref="IH23:IK23"/>
    <mergeCell ref="IO23:IR23"/>
    <mergeCell ref="IV23:IY23"/>
    <mergeCell ref="JC23:JF23"/>
    <mergeCell ref="HT204:HW204"/>
    <mergeCell ref="GR205:GU205"/>
    <mergeCell ref="GY205:HB205"/>
    <mergeCell ref="HF205:HI205"/>
    <mergeCell ref="HM205:HP205"/>
    <mergeCell ref="HT205:HW205"/>
    <mergeCell ref="GR206:GU206"/>
    <mergeCell ref="GY206:HB206"/>
    <mergeCell ref="HF206:HI206"/>
    <mergeCell ref="HM206:HP206"/>
    <mergeCell ref="HT206:HW206"/>
    <mergeCell ref="GR207:GU207"/>
    <mergeCell ref="GY207:HB207"/>
    <mergeCell ref="HF207:HI207"/>
    <mergeCell ref="HM207:HP207"/>
    <mergeCell ref="HT207:HW207"/>
    <mergeCell ref="GR208:GU208"/>
    <mergeCell ref="GY208:HB208"/>
    <mergeCell ref="HF208:HI208"/>
    <mergeCell ref="HM208:HP208"/>
    <mergeCell ref="HT208:HW208"/>
    <mergeCell ref="GR212:GU212"/>
    <mergeCell ref="GY212:HB212"/>
    <mergeCell ref="HF212:HI212"/>
    <mergeCell ref="HM212:HP212"/>
    <mergeCell ref="HT212:HW212"/>
    <mergeCell ref="GR213:GU213"/>
    <mergeCell ref="GY213:HB213"/>
    <mergeCell ref="HF213:HI213"/>
    <mergeCell ref="HM213:HP213"/>
    <mergeCell ref="HT213:HW213"/>
    <mergeCell ref="GR214:GU214"/>
    <mergeCell ref="GY214:HB214"/>
    <mergeCell ref="HF214:HI214"/>
    <mergeCell ref="HM214:HP214"/>
    <mergeCell ref="HT214:HW214"/>
    <mergeCell ref="GR195:GU195"/>
    <mergeCell ref="GY195:HB195"/>
    <mergeCell ref="HF195:HI195"/>
    <mergeCell ref="HM195:HP195"/>
    <mergeCell ref="HT195:HW195"/>
    <mergeCell ref="GR196:GU196"/>
    <mergeCell ref="GY196:HB196"/>
    <mergeCell ref="HF196:HI196"/>
    <mergeCell ref="HM196:HP196"/>
    <mergeCell ref="HT196:HW196"/>
    <mergeCell ref="GR197:GU197"/>
    <mergeCell ref="GY197:HB197"/>
    <mergeCell ref="HF197:HI197"/>
    <mergeCell ref="HM197:HP197"/>
    <mergeCell ref="HT197:HW197"/>
    <mergeCell ref="GR198:GU198"/>
    <mergeCell ref="GY198:HB198"/>
    <mergeCell ref="HF198:HI198"/>
    <mergeCell ref="HM198:HP198"/>
    <mergeCell ref="HT198:HW198"/>
    <mergeCell ref="GR199:GU199"/>
    <mergeCell ref="GY199:HB199"/>
    <mergeCell ref="HF199:HI199"/>
    <mergeCell ref="HM199:HP199"/>
    <mergeCell ref="HT199:HW199"/>
    <mergeCell ref="GR202:GU202"/>
    <mergeCell ref="GY202:HB202"/>
    <mergeCell ref="HF202:HI202"/>
    <mergeCell ref="HM202:HP202"/>
    <mergeCell ref="HT202:HW202"/>
    <mergeCell ref="GR203:GU203"/>
    <mergeCell ref="GY203:HB203"/>
    <mergeCell ref="HF203:HI203"/>
    <mergeCell ref="HM203:HP203"/>
    <mergeCell ref="HT203:HW203"/>
    <mergeCell ref="GR183:GU183"/>
    <mergeCell ref="GY183:HB183"/>
    <mergeCell ref="HF183:HI183"/>
    <mergeCell ref="HM183:HP183"/>
    <mergeCell ref="HT183:HW183"/>
    <mergeCell ref="GR184:GU184"/>
    <mergeCell ref="GY184:HB184"/>
    <mergeCell ref="HF184:HI184"/>
    <mergeCell ref="HM184:HP184"/>
    <mergeCell ref="HT184:HW184"/>
    <mergeCell ref="GR185:GU185"/>
    <mergeCell ref="GY185:HB185"/>
    <mergeCell ref="HF185:HI185"/>
    <mergeCell ref="HM185:HP185"/>
    <mergeCell ref="HT185:HW185"/>
    <mergeCell ref="GR186:GU186"/>
    <mergeCell ref="GY186:HB186"/>
    <mergeCell ref="HF186:HI186"/>
    <mergeCell ref="HM186:HP186"/>
    <mergeCell ref="HT186:HW186"/>
    <mergeCell ref="GR187:GU187"/>
    <mergeCell ref="GY187:HB187"/>
    <mergeCell ref="HF187:HI187"/>
    <mergeCell ref="HM187:HP187"/>
    <mergeCell ref="HT187:HW187"/>
    <mergeCell ref="GR193:GU193"/>
    <mergeCell ref="GY193:HB193"/>
    <mergeCell ref="HF193:HI193"/>
    <mergeCell ref="HM193:HP193"/>
    <mergeCell ref="HT193:HW193"/>
    <mergeCell ref="GR194:GU194"/>
    <mergeCell ref="GY194:HB194"/>
    <mergeCell ref="HF194:HI194"/>
    <mergeCell ref="HM194:HP194"/>
    <mergeCell ref="HT194:HW194"/>
    <mergeCell ref="GR176:GU176"/>
    <mergeCell ref="GY176:HB176"/>
    <mergeCell ref="HF176:HI176"/>
    <mergeCell ref="HM176:HP176"/>
    <mergeCell ref="HT176:HW176"/>
    <mergeCell ref="GR177:GU177"/>
    <mergeCell ref="GY177:HB177"/>
    <mergeCell ref="HF177:HI177"/>
    <mergeCell ref="HM177:HP177"/>
    <mergeCell ref="HT177:HW177"/>
    <mergeCell ref="GR178:GU178"/>
    <mergeCell ref="GY178:HB178"/>
    <mergeCell ref="HF178:HI178"/>
    <mergeCell ref="HM178:HP178"/>
    <mergeCell ref="HT178:HW178"/>
    <mergeCell ref="GR179:GU179"/>
    <mergeCell ref="GY179:HB179"/>
    <mergeCell ref="HF179:HI179"/>
    <mergeCell ref="HM179:HP179"/>
    <mergeCell ref="HT179:HW179"/>
    <mergeCell ref="GR180:GU180"/>
    <mergeCell ref="GY180:HB180"/>
    <mergeCell ref="HF180:HI180"/>
    <mergeCell ref="HM180:HP180"/>
    <mergeCell ref="HT180:HW180"/>
    <mergeCell ref="GR181:GU181"/>
    <mergeCell ref="GY181:HB181"/>
    <mergeCell ref="HF181:HI181"/>
    <mergeCell ref="HM181:HP181"/>
    <mergeCell ref="HT181:HW181"/>
    <mergeCell ref="GR182:GU182"/>
    <mergeCell ref="GY182:HB182"/>
    <mergeCell ref="HF182:HI182"/>
    <mergeCell ref="HM182:HP182"/>
    <mergeCell ref="HT182:HW182"/>
    <mergeCell ref="GR169:GU169"/>
    <mergeCell ref="GY169:HB169"/>
    <mergeCell ref="HF169:HI169"/>
    <mergeCell ref="HM169:HP169"/>
    <mergeCell ref="HT169:HW169"/>
    <mergeCell ref="GR170:GU170"/>
    <mergeCell ref="GY170:HB170"/>
    <mergeCell ref="HF170:HI170"/>
    <mergeCell ref="HM170:HP170"/>
    <mergeCell ref="HT170:HW170"/>
    <mergeCell ref="GR171:GU171"/>
    <mergeCell ref="GY171:HB171"/>
    <mergeCell ref="HF171:HI171"/>
    <mergeCell ref="HM171:HP171"/>
    <mergeCell ref="HT171:HW171"/>
    <mergeCell ref="GR172:GU172"/>
    <mergeCell ref="GY172:HB172"/>
    <mergeCell ref="HF172:HI172"/>
    <mergeCell ref="HM172:HP172"/>
    <mergeCell ref="HT172:HW172"/>
    <mergeCell ref="GR173:GU173"/>
    <mergeCell ref="GY173:HB173"/>
    <mergeCell ref="HF173:HI173"/>
    <mergeCell ref="HM173:HP173"/>
    <mergeCell ref="HT173:HW173"/>
    <mergeCell ref="GR174:GU174"/>
    <mergeCell ref="GY174:HB174"/>
    <mergeCell ref="HF174:HI174"/>
    <mergeCell ref="HM174:HP174"/>
    <mergeCell ref="HT174:HW174"/>
    <mergeCell ref="GR175:GU175"/>
    <mergeCell ref="GY175:HB175"/>
    <mergeCell ref="HF175:HI175"/>
    <mergeCell ref="HM175:HP175"/>
    <mergeCell ref="HT175:HW175"/>
    <mergeCell ref="GR162:GU162"/>
    <mergeCell ref="GY162:HB162"/>
    <mergeCell ref="HF162:HI162"/>
    <mergeCell ref="HM162:HP162"/>
    <mergeCell ref="HT162:HW162"/>
    <mergeCell ref="GR163:GU163"/>
    <mergeCell ref="GY163:HB163"/>
    <mergeCell ref="HF163:HI163"/>
    <mergeCell ref="HM163:HP163"/>
    <mergeCell ref="HT163:HW163"/>
    <mergeCell ref="GR164:GU164"/>
    <mergeCell ref="GY164:HB164"/>
    <mergeCell ref="HF164:HI164"/>
    <mergeCell ref="HM164:HP164"/>
    <mergeCell ref="HT164:HW164"/>
    <mergeCell ref="GR165:GU165"/>
    <mergeCell ref="GY165:HB165"/>
    <mergeCell ref="HF165:HI165"/>
    <mergeCell ref="HM165:HP165"/>
    <mergeCell ref="HT165:HW165"/>
    <mergeCell ref="GR166:GU166"/>
    <mergeCell ref="GY166:HB166"/>
    <mergeCell ref="HF166:HI166"/>
    <mergeCell ref="HM166:HP166"/>
    <mergeCell ref="HT166:HW166"/>
    <mergeCell ref="GR167:GU167"/>
    <mergeCell ref="GY167:HB167"/>
    <mergeCell ref="HF167:HI167"/>
    <mergeCell ref="HM167:HP167"/>
    <mergeCell ref="HT167:HW167"/>
    <mergeCell ref="GR168:GU168"/>
    <mergeCell ref="GY168:HB168"/>
    <mergeCell ref="HF168:HI168"/>
    <mergeCell ref="HM168:HP168"/>
    <mergeCell ref="HT168:HW168"/>
    <mergeCell ref="GR149:GU149"/>
    <mergeCell ref="GY149:HB149"/>
    <mergeCell ref="HF149:HI149"/>
    <mergeCell ref="HM149:HP149"/>
    <mergeCell ref="HT149:HW149"/>
    <mergeCell ref="GR150:GU150"/>
    <mergeCell ref="GY150:HB150"/>
    <mergeCell ref="HF150:HI150"/>
    <mergeCell ref="HM150:HP150"/>
    <mergeCell ref="HT150:HW150"/>
    <mergeCell ref="GR151:GU151"/>
    <mergeCell ref="GY151:HB151"/>
    <mergeCell ref="HF151:HI151"/>
    <mergeCell ref="HM151:HP151"/>
    <mergeCell ref="HT151:HW151"/>
    <mergeCell ref="GR152:GU152"/>
    <mergeCell ref="GY152:HB152"/>
    <mergeCell ref="HF152:HI152"/>
    <mergeCell ref="HM152:HP152"/>
    <mergeCell ref="HT152:HW152"/>
    <mergeCell ref="GR153:GU153"/>
    <mergeCell ref="GY153:HB153"/>
    <mergeCell ref="HF153:HI153"/>
    <mergeCell ref="HM153:HP153"/>
    <mergeCell ref="HT153:HW153"/>
    <mergeCell ref="GR160:GU160"/>
    <mergeCell ref="GY160:HB160"/>
    <mergeCell ref="HF160:HI160"/>
    <mergeCell ref="HM160:HP160"/>
    <mergeCell ref="HT160:HW160"/>
    <mergeCell ref="GR161:GU161"/>
    <mergeCell ref="GY161:HB161"/>
    <mergeCell ref="HF161:HI161"/>
    <mergeCell ref="HM161:HP161"/>
    <mergeCell ref="HT161:HW161"/>
    <mergeCell ref="GR141:GU141"/>
    <mergeCell ref="GY141:HB141"/>
    <mergeCell ref="HF141:HI141"/>
    <mergeCell ref="HM141:HP141"/>
    <mergeCell ref="HT141:HW141"/>
    <mergeCell ref="GR142:GU142"/>
    <mergeCell ref="GY142:HB142"/>
    <mergeCell ref="HF142:HI142"/>
    <mergeCell ref="HM142:HP142"/>
    <mergeCell ref="HT142:HW142"/>
    <mergeCell ref="GR143:GU143"/>
    <mergeCell ref="GY143:HB143"/>
    <mergeCell ref="HF143:HI143"/>
    <mergeCell ref="HM143:HP143"/>
    <mergeCell ref="HT143:HW143"/>
    <mergeCell ref="GR144:GU144"/>
    <mergeCell ref="GY144:HB144"/>
    <mergeCell ref="HF144:HI144"/>
    <mergeCell ref="HM144:HP144"/>
    <mergeCell ref="HT144:HW144"/>
    <mergeCell ref="GR145:GU145"/>
    <mergeCell ref="GY145:HB145"/>
    <mergeCell ref="HF145:HI145"/>
    <mergeCell ref="HM145:HP145"/>
    <mergeCell ref="HT145:HW145"/>
    <mergeCell ref="GR147:GU147"/>
    <mergeCell ref="GY147:HB147"/>
    <mergeCell ref="HF147:HI147"/>
    <mergeCell ref="HM147:HP147"/>
    <mergeCell ref="HT147:HW147"/>
    <mergeCell ref="GR148:GU148"/>
    <mergeCell ref="GY148:HB148"/>
    <mergeCell ref="HF148:HI148"/>
    <mergeCell ref="HM148:HP148"/>
    <mergeCell ref="HT148:HW148"/>
    <mergeCell ref="GR133:GU133"/>
    <mergeCell ref="GY133:HB133"/>
    <mergeCell ref="HF133:HI133"/>
    <mergeCell ref="HM133:HP133"/>
    <mergeCell ref="HT133:HW133"/>
    <mergeCell ref="GR134:GU134"/>
    <mergeCell ref="GY134:HB134"/>
    <mergeCell ref="HF134:HI134"/>
    <mergeCell ref="HM134:HP134"/>
    <mergeCell ref="HT134:HW134"/>
    <mergeCell ref="GR135:GU135"/>
    <mergeCell ref="GY135:HB135"/>
    <mergeCell ref="HF135:HI135"/>
    <mergeCell ref="HM135:HP135"/>
    <mergeCell ref="HT135:HW135"/>
    <mergeCell ref="GR136:GU136"/>
    <mergeCell ref="GY136:HB136"/>
    <mergeCell ref="HF136:HI136"/>
    <mergeCell ref="HM136:HP136"/>
    <mergeCell ref="HT136:HW136"/>
    <mergeCell ref="GR137:GU137"/>
    <mergeCell ref="GY137:HB137"/>
    <mergeCell ref="HF137:HI137"/>
    <mergeCell ref="HM137:HP137"/>
    <mergeCell ref="HT137:HW137"/>
    <mergeCell ref="GR139:GU139"/>
    <mergeCell ref="GY139:HB139"/>
    <mergeCell ref="HF139:HI139"/>
    <mergeCell ref="HM139:HP139"/>
    <mergeCell ref="HT139:HW139"/>
    <mergeCell ref="GR140:GU140"/>
    <mergeCell ref="GY140:HB140"/>
    <mergeCell ref="HF140:HI140"/>
    <mergeCell ref="HM140:HP140"/>
    <mergeCell ref="HT140:HW140"/>
    <mergeCell ref="GY121:HB121"/>
    <mergeCell ref="HF121:HI121"/>
    <mergeCell ref="HM121:HP121"/>
    <mergeCell ref="HT121:HW121"/>
    <mergeCell ref="GR122:GU122"/>
    <mergeCell ref="GY122:HB122"/>
    <mergeCell ref="HF122:HI122"/>
    <mergeCell ref="HM122:HP122"/>
    <mergeCell ref="HT122:HW122"/>
    <mergeCell ref="GR123:GU123"/>
    <mergeCell ref="GY123:HB123"/>
    <mergeCell ref="HF123:HI123"/>
    <mergeCell ref="HM123:HP123"/>
    <mergeCell ref="HT123:HW123"/>
    <mergeCell ref="GR124:GU124"/>
    <mergeCell ref="GY124:HB124"/>
    <mergeCell ref="HF124:HI124"/>
    <mergeCell ref="HM124:HP124"/>
    <mergeCell ref="HT124:HW124"/>
    <mergeCell ref="GR125:GU125"/>
    <mergeCell ref="GY125:HB125"/>
    <mergeCell ref="HF125:HI125"/>
    <mergeCell ref="HM125:HP125"/>
    <mergeCell ref="HT125:HW125"/>
    <mergeCell ref="GR131:GU131"/>
    <mergeCell ref="GY131:HB131"/>
    <mergeCell ref="HF131:HI131"/>
    <mergeCell ref="HM131:HP131"/>
    <mergeCell ref="HT131:HW131"/>
    <mergeCell ref="GR132:GU132"/>
    <mergeCell ref="GY132:HB132"/>
    <mergeCell ref="HF132:HI132"/>
    <mergeCell ref="HM132:HP132"/>
    <mergeCell ref="HT132:HW132"/>
    <mergeCell ref="GR109:GU109"/>
    <mergeCell ref="GY109:HB109"/>
    <mergeCell ref="HF109:HI109"/>
    <mergeCell ref="HM109:HP109"/>
    <mergeCell ref="HT109:HW109"/>
    <mergeCell ref="GR110:GU110"/>
    <mergeCell ref="GY110:HB110"/>
    <mergeCell ref="HF110:HI110"/>
    <mergeCell ref="HM110:HP110"/>
    <mergeCell ref="HT110:HW110"/>
    <mergeCell ref="GR111:GU111"/>
    <mergeCell ref="GY111:HB111"/>
    <mergeCell ref="HF111:HI111"/>
    <mergeCell ref="HM111:HP111"/>
    <mergeCell ref="HT111:HW111"/>
    <mergeCell ref="GR112:GU112"/>
    <mergeCell ref="GY112:HB112"/>
    <mergeCell ref="HF112:HI112"/>
    <mergeCell ref="HM112:HP112"/>
    <mergeCell ref="HT112:HW112"/>
    <mergeCell ref="GR113:GU113"/>
    <mergeCell ref="GY113:HB113"/>
    <mergeCell ref="HF113:HI113"/>
    <mergeCell ref="HM113:HP113"/>
    <mergeCell ref="HT113:HW113"/>
    <mergeCell ref="HF119:HI119"/>
    <mergeCell ref="HM119:HP119"/>
    <mergeCell ref="HT119:HW119"/>
    <mergeCell ref="GR120:GU120"/>
    <mergeCell ref="GY120:HB120"/>
    <mergeCell ref="HF120:HI120"/>
    <mergeCell ref="HM120:HP120"/>
    <mergeCell ref="HT120:HW120"/>
    <mergeCell ref="GR99:GU99"/>
    <mergeCell ref="GY99:HB99"/>
    <mergeCell ref="HF99:HI99"/>
    <mergeCell ref="HM99:HP99"/>
    <mergeCell ref="HT99:HW99"/>
    <mergeCell ref="GR100:GU100"/>
    <mergeCell ref="GY100:HB100"/>
    <mergeCell ref="HF100:HI100"/>
    <mergeCell ref="HM100:HP100"/>
    <mergeCell ref="HT100:HW100"/>
    <mergeCell ref="GR101:GU101"/>
    <mergeCell ref="GY101:HB101"/>
    <mergeCell ref="HF101:HI101"/>
    <mergeCell ref="HM101:HP101"/>
    <mergeCell ref="HT101:HW101"/>
    <mergeCell ref="GR102:GU102"/>
    <mergeCell ref="GY102:HB102"/>
    <mergeCell ref="HF102:HI102"/>
    <mergeCell ref="HM102:HP102"/>
    <mergeCell ref="HT102:HW102"/>
    <mergeCell ref="GR103:GU103"/>
    <mergeCell ref="GY103:HB103"/>
    <mergeCell ref="HF103:HI103"/>
    <mergeCell ref="HM103:HP103"/>
    <mergeCell ref="HT103:HW103"/>
    <mergeCell ref="HT106:HW106"/>
    <mergeCell ref="GR107:GU107"/>
    <mergeCell ref="GY107:HB107"/>
    <mergeCell ref="HF107:HI107"/>
    <mergeCell ref="HM107:HP107"/>
    <mergeCell ref="HT107:HW107"/>
    <mergeCell ref="GR108:GU108"/>
    <mergeCell ref="GY108:HB108"/>
    <mergeCell ref="HF108:HI108"/>
    <mergeCell ref="HM108:HP108"/>
    <mergeCell ref="HT108:HW108"/>
    <mergeCell ref="GR87:GU87"/>
    <mergeCell ref="GY87:HB87"/>
    <mergeCell ref="HF87:HI87"/>
    <mergeCell ref="HM87:HP87"/>
    <mergeCell ref="HT87:HW87"/>
    <mergeCell ref="GR88:GU88"/>
    <mergeCell ref="GY88:HB88"/>
    <mergeCell ref="HF88:HI88"/>
    <mergeCell ref="HM88:HP88"/>
    <mergeCell ref="HT88:HW88"/>
    <mergeCell ref="GR89:GU89"/>
    <mergeCell ref="GY89:HB89"/>
    <mergeCell ref="HF89:HI89"/>
    <mergeCell ref="HM89:HP89"/>
    <mergeCell ref="HT89:HW89"/>
    <mergeCell ref="GR90:GU90"/>
    <mergeCell ref="GY90:HB90"/>
    <mergeCell ref="HF90:HI90"/>
    <mergeCell ref="HM90:HP90"/>
    <mergeCell ref="HT90:HW90"/>
    <mergeCell ref="GR91:GU91"/>
    <mergeCell ref="GY91:HB91"/>
    <mergeCell ref="HF91:HI91"/>
    <mergeCell ref="HM91:HP91"/>
    <mergeCell ref="HT91:HW91"/>
    <mergeCell ref="GY97:HB97"/>
    <mergeCell ref="HF97:HI97"/>
    <mergeCell ref="HM97:HP97"/>
    <mergeCell ref="HT97:HW97"/>
    <mergeCell ref="GR98:GU98"/>
    <mergeCell ref="GY98:HB98"/>
    <mergeCell ref="HF98:HI98"/>
    <mergeCell ref="HM98:HP98"/>
    <mergeCell ref="HT98:HW98"/>
    <mergeCell ref="GR78:GU78"/>
    <mergeCell ref="GY78:HB78"/>
    <mergeCell ref="HF78:HI78"/>
    <mergeCell ref="HM78:HP78"/>
    <mergeCell ref="HT78:HW78"/>
    <mergeCell ref="GR79:GU79"/>
    <mergeCell ref="GY79:HB79"/>
    <mergeCell ref="HF79:HI79"/>
    <mergeCell ref="HM79:HP79"/>
    <mergeCell ref="HT79:HW79"/>
    <mergeCell ref="GR80:GU80"/>
    <mergeCell ref="GY80:HB80"/>
    <mergeCell ref="HF80:HI80"/>
    <mergeCell ref="HM80:HP80"/>
    <mergeCell ref="HT80:HW80"/>
    <mergeCell ref="GR81:GU81"/>
    <mergeCell ref="GY81:HB81"/>
    <mergeCell ref="HF81:HI81"/>
    <mergeCell ref="HM81:HP81"/>
    <mergeCell ref="HT81:HW81"/>
    <mergeCell ref="GR82:GU82"/>
    <mergeCell ref="GY82:HB82"/>
    <mergeCell ref="HF82:HI82"/>
    <mergeCell ref="HM82:HP82"/>
    <mergeCell ref="HT82:HW82"/>
    <mergeCell ref="HF85:HI85"/>
    <mergeCell ref="HM85:HP85"/>
    <mergeCell ref="HT85:HW85"/>
    <mergeCell ref="GR86:GU86"/>
    <mergeCell ref="GY86:HB86"/>
    <mergeCell ref="HF86:HI86"/>
    <mergeCell ref="HM86:HP86"/>
    <mergeCell ref="HT86:HW86"/>
    <mergeCell ref="GR67:GU67"/>
    <mergeCell ref="GY67:HB67"/>
    <mergeCell ref="HF67:HI67"/>
    <mergeCell ref="HM67:HP67"/>
    <mergeCell ref="HT67:HW67"/>
    <mergeCell ref="GR68:GU68"/>
    <mergeCell ref="GY68:HB68"/>
    <mergeCell ref="HF68:HI68"/>
    <mergeCell ref="HM68:HP68"/>
    <mergeCell ref="HT68:HW68"/>
    <mergeCell ref="GR69:GU69"/>
    <mergeCell ref="GY69:HB69"/>
    <mergeCell ref="HF69:HI69"/>
    <mergeCell ref="HM69:HP69"/>
    <mergeCell ref="HT69:HW69"/>
    <mergeCell ref="GR70:GU70"/>
    <mergeCell ref="GY70:HB70"/>
    <mergeCell ref="HF70:HI70"/>
    <mergeCell ref="HM70:HP70"/>
    <mergeCell ref="HT70:HW70"/>
    <mergeCell ref="GR71:GU71"/>
    <mergeCell ref="GY71:HB71"/>
    <mergeCell ref="HF71:HI71"/>
    <mergeCell ref="HM71:HP71"/>
    <mergeCell ref="HT71:HW71"/>
    <mergeCell ref="GR76:GU76"/>
    <mergeCell ref="GY76:HB76"/>
    <mergeCell ref="HF76:HI76"/>
    <mergeCell ref="HM76:HP76"/>
    <mergeCell ref="HT76:HW76"/>
    <mergeCell ref="GR77:GU77"/>
    <mergeCell ref="GY77:HB77"/>
    <mergeCell ref="HF77:HI77"/>
    <mergeCell ref="HM77:HP77"/>
    <mergeCell ref="HT77:HW77"/>
    <mergeCell ref="GR41:GU41"/>
    <mergeCell ref="GY41:HB41"/>
    <mergeCell ref="HF41:HI41"/>
    <mergeCell ref="HM41:HP41"/>
    <mergeCell ref="HT41:HW41"/>
    <mergeCell ref="GR42:GU42"/>
    <mergeCell ref="GY42:HB42"/>
    <mergeCell ref="HF42:HI42"/>
    <mergeCell ref="HM42:HP42"/>
    <mergeCell ref="HT42:HW42"/>
    <mergeCell ref="GR54:GU54"/>
    <mergeCell ref="GY54:HB54"/>
    <mergeCell ref="HF54:HI54"/>
    <mergeCell ref="HM54:HP54"/>
    <mergeCell ref="HT54:HW54"/>
    <mergeCell ref="GR55:GU55"/>
    <mergeCell ref="GY55:HB55"/>
    <mergeCell ref="HF55:HI55"/>
    <mergeCell ref="HM55:HP55"/>
    <mergeCell ref="HT55:HW55"/>
    <mergeCell ref="GR56:GU56"/>
    <mergeCell ref="GY56:HB56"/>
    <mergeCell ref="HF56:HI56"/>
    <mergeCell ref="HM56:HP56"/>
    <mergeCell ref="HT56:HW56"/>
    <mergeCell ref="GR65:GU65"/>
    <mergeCell ref="GY65:HB65"/>
    <mergeCell ref="HF65:HI65"/>
    <mergeCell ref="HM65:HP65"/>
    <mergeCell ref="HT65:HW65"/>
    <mergeCell ref="GR66:GU66"/>
    <mergeCell ref="GY66:HB66"/>
    <mergeCell ref="HF66:HI66"/>
    <mergeCell ref="HM66:HP66"/>
    <mergeCell ref="HT66:HW66"/>
    <mergeCell ref="HT43:HW43"/>
    <mergeCell ref="HM46:HP46"/>
    <mergeCell ref="HT46:HW46"/>
    <mergeCell ref="HT32:HW32"/>
    <mergeCell ref="GR33:GU33"/>
    <mergeCell ref="GY33:HB33"/>
    <mergeCell ref="HF33:HI33"/>
    <mergeCell ref="HM33:HP33"/>
    <mergeCell ref="HT33:HW33"/>
    <mergeCell ref="GR34:GU34"/>
    <mergeCell ref="GY34:HB34"/>
    <mergeCell ref="HF34:HI34"/>
    <mergeCell ref="HM34:HP34"/>
    <mergeCell ref="HT34:HW34"/>
    <mergeCell ref="GR35:GU35"/>
    <mergeCell ref="GY35:HB35"/>
    <mergeCell ref="HF35:HI35"/>
    <mergeCell ref="HM35:HP35"/>
    <mergeCell ref="HT35:HW35"/>
    <mergeCell ref="GR36:GU36"/>
    <mergeCell ref="GY36:HB36"/>
    <mergeCell ref="HF36:HI36"/>
    <mergeCell ref="HM36:HP36"/>
    <mergeCell ref="HT36:HW36"/>
    <mergeCell ref="GR37:GU37"/>
    <mergeCell ref="GY37:HB37"/>
    <mergeCell ref="HF37:HI37"/>
    <mergeCell ref="HM37:HP37"/>
    <mergeCell ref="HT37:HW37"/>
    <mergeCell ref="GR39:GU39"/>
    <mergeCell ref="GY39:HB39"/>
    <mergeCell ref="HF39:HI39"/>
    <mergeCell ref="HM39:HP39"/>
    <mergeCell ref="HT39:HW39"/>
    <mergeCell ref="GR40:GU40"/>
    <mergeCell ref="GY40:HB40"/>
    <mergeCell ref="HF40:HI40"/>
    <mergeCell ref="HM40:HP40"/>
    <mergeCell ref="HT40:HW40"/>
    <mergeCell ref="GR22:GU22"/>
    <mergeCell ref="GY22:HB22"/>
    <mergeCell ref="HF22:HI22"/>
    <mergeCell ref="HM22:HP22"/>
    <mergeCell ref="HT22:HW22"/>
    <mergeCell ref="GR23:GU23"/>
    <mergeCell ref="GY23:HB23"/>
    <mergeCell ref="HF23:HI23"/>
    <mergeCell ref="HM23:HP23"/>
    <mergeCell ref="HT23:HW23"/>
    <mergeCell ref="GR24:GU24"/>
    <mergeCell ref="GY24:HB24"/>
    <mergeCell ref="HF24:HI24"/>
    <mergeCell ref="HM24:HP24"/>
    <mergeCell ref="HT24:HW24"/>
    <mergeCell ref="GR25:GU25"/>
    <mergeCell ref="GY25:HB25"/>
    <mergeCell ref="HF25:HI25"/>
    <mergeCell ref="HM25:HP25"/>
    <mergeCell ref="HT25:HW25"/>
    <mergeCell ref="GR26:GU26"/>
    <mergeCell ref="GY26:HB26"/>
    <mergeCell ref="HF26:HI26"/>
    <mergeCell ref="HM26:HP26"/>
    <mergeCell ref="HT26:HW26"/>
    <mergeCell ref="GR27:GU27"/>
    <mergeCell ref="GY27:HB27"/>
    <mergeCell ref="HF27:HI27"/>
    <mergeCell ref="HM27:HP27"/>
    <mergeCell ref="HT27:HW27"/>
    <mergeCell ref="GR31:GU31"/>
    <mergeCell ref="GY31:HB31"/>
    <mergeCell ref="HF31:HI31"/>
    <mergeCell ref="HM31:HP31"/>
    <mergeCell ref="HT31:HW31"/>
    <mergeCell ref="FI213:FL213"/>
    <mergeCell ref="FP213:FS213"/>
    <mergeCell ref="FW213:FZ213"/>
    <mergeCell ref="GD213:GG213"/>
    <mergeCell ref="GK213:GN213"/>
    <mergeCell ref="FI214:FL214"/>
    <mergeCell ref="FP214:FS214"/>
    <mergeCell ref="FW214:FZ214"/>
    <mergeCell ref="GD214:GG214"/>
    <mergeCell ref="GK214:GN214"/>
    <mergeCell ref="FI215:FL215"/>
    <mergeCell ref="FP215:FS215"/>
    <mergeCell ref="FW215:FZ215"/>
    <mergeCell ref="GD215:GG215"/>
    <mergeCell ref="GK215:GN215"/>
    <mergeCell ref="FI216:FL216"/>
    <mergeCell ref="FP216:FS216"/>
    <mergeCell ref="FW216:FZ216"/>
    <mergeCell ref="GD216:GG216"/>
    <mergeCell ref="GK216:GN216"/>
    <mergeCell ref="GR11:GU11"/>
    <mergeCell ref="GY11:HB11"/>
    <mergeCell ref="HF11:HI11"/>
    <mergeCell ref="HM11:HP11"/>
    <mergeCell ref="HT11:HW11"/>
    <mergeCell ref="GR12:GU12"/>
    <mergeCell ref="GY12:HB12"/>
    <mergeCell ref="HF12:HI12"/>
    <mergeCell ref="HM12:HP12"/>
    <mergeCell ref="HT12:HW12"/>
    <mergeCell ref="GR13:GU13"/>
    <mergeCell ref="GY13:HB13"/>
    <mergeCell ref="HF13:HI13"/>
    <mergeCell ref="HM13:HP13"/>
    <mergeCell ref="HT13:HW13"/>
    <mergeCell ref="GR14:GU14"/>
    <mergeCell ref="GY14:HB14"/>
    <mergeCell ref="HF14:HI14"/>
    <mergeCell ref="HM14:HP14"/>
    <mergeCell ref="HT14:HW14"/>
    <mergeCell ref="GR15:GU15"/>
    <mergeCell ref="GY15:HB15"/>
    <mergeCell ref="HF15:HI15"/>
    <mergeCell ref="HM15:HP15"/>
    <mergeCell ref="HT15:HW15"/>
    <mergeCell ref="GR16:GU16"/>
    <mergeCell ref="GY16:HB16"/>
    <mergeCell ref="HF16:HI16"/>
    <mergeCell ref="HM16:HP16"/>
    <mergeCell ref="HT16:HW16"/>
    <mergeCell ref="GR17:GU17"/>
    <mergeCell ref="GY17:HB17"/>
    <mergeCell ref="HF17:HI17"/>
    <mergeCell ref="HM17:HP17"/>
    <mergeCell ref="HT17:HW17"/>
    <mergeCell ref="GR18:GU18"/>
    <mergeCell ref="GY18:HB18"/>
    <mergeCell ref="HF18:HI18"/>
    <mergeCell ref="HM18:HP18"/>
    <mergeCell ref="GR21:GU21"/>
    <mergeCell ref="GY21:HB21"/>
    <mergeCell ref="HF21:HI21"/>
    <mergeCell ref="HM21:HP21"/>
    <mergeCell ref="HT21:HW21"/>
    <mergeCell ref="FI202:FL202"/>
    <mergeCell ref="FP202:FS202"/>
    <mergeCell ref="FW202:FZ202"/>
    <mergeCell ref="GD202:GG202"/>
    <mergeCell ref="GK202:GN202"/>
    <mergeCell ref="FI203:FL203"/>
    <mergeCell ref="FP203:FS203"/>
    <mergeCell ref="FW203:FZ203"/>
    <mergeCell ref="GD203:GG203"/>
    <mergeCell ref="GK203:GN203"/>
    <mergeCell ref="FI204:FL204"/>
    <mergeCell ref="FP204:FS204"/>
    <mergeCell ref="FW204:FZ204"/>
    <mergeCell ref="GD204:GG204"/>
    <mergeCell ref="GK204:GN204"/>
    <mergeCell ref="FI205:FL205"/>
    <mergeCell ref="FP205:FS205"/>
    <mergeCell ref="FW205:FZ205"/>
    <mergeCell ref="GD205:GG205"/>
    <mergeCell ref="GK205:GN205"/>
    <mergeCell ref="FI206:FL206"/>
    <mergeCell ref="FP206:FS206"/>
    <mergeCell ref="FW206:FZ206"/>
    <mergeCell ref="GD206:GG206"/>
    <mergeCell ref="GK206:GN206"/>
    <mergeCell ref="FI207:FL207"/>
    <mergeCell ref="FP207:FS207"/>
    <mergeCell ref="FW207:FZ207"/>
    <mergeCell ref="GD207:GG207"/>
    <mergeCell ref="GK207:GN207"/>
    <mergeCell ref="FI208:FL208"/>
    <mergeCell ref="FP208:FS208"/>
    <mergeCell ref="FW208:FZ208"/>
    <mergeCell ref="GD208:GG208"/>
    <mergeCell ref="GK208:GN208"/>
    <mergeCell ref="FI193:FL193"/>
    <mergeCell ref="FP193:FS193"/>
    <mergeCell ref="FW193:FZ193"/>
    <mergeCell ref="GD193:GG193"/>
    <mergeCell ref="GK193:GN193"/>
    <mergeCell ref="FI194:FL194"/>
    <mergeCell ref="FP194:FS194"/>
    <mergeCell ref="FW194:FZ194"/>
    <mergeCell ref="GD194:GG194"/>
    <mergeCell ref="GK194:GN194"/>
    <mergeCell ref="FI195:FL195"/>
    <mergeCell ref="FP195:FS195"/>
    <mergeCell ref="FW195:FZ195"/>
    <mergeCell ref="GD195:GG195"/>
    <mergeCell ref="GK195:GN195"/>
    <mergeCell ref="FI196:FL196"/>
    <mergeCell ref="FP196:FS196"/>
    <mergeCell ref="FW196:FZ196"/>
    <mergeCell ref="GD196:GG196"/>
    <mergeCell ref="GK196:GN196"/>
    <mergeCell ref="FI197:FL197"/>
    <mergeCell ref="FP197:FS197"/>
    <mergeCell ref="FW197:FZ197"/>
    <mergeCell ref="GD197:GG197"/>
    <mergeCell ref="GK197:GN197"/>
    <mergeCell ref="FI198:FL198"/>
    <mergeCell ref="FP198:FS198"/>
    <mergeCell ref="FW198:FZ198"/>
    <mergeCell ref="GD198:GG198"/>
    <mergeCell ref="GK198:GN198"/>
    <mergeCell ref="FI199:FL199"/>
    <mergeCell ref="FP199:FS199"/>
    <mergeCell ref="FW199:FZ199"/>
    <mergeCell ref="GD199:GG199"/>
    <mergeCell ref="GK199:GN199"/>
    <mergeCell ref="FI181:FL181"/>
    <mergeCell ref="FP181:FS181"/>
    <mergeCell ref="FW181:FZ181"/>
    <mergeCell ref="GD181:GG181"/>
    <mergeCell ref="GK181:GN181"/>
    <mergeCell ref="FI182:FL182"/>
    <mergeCell ref="FP182:FS182"/>
    <mergeCell ref="FW182:FZ182"/>
    <mergeCell ref="GD182:GG182"/>
    <mergeCell ref="GK182:GN182"/>
    <mergeCell ref="FI183:FL183"/>
    <mergeCell ref="FP183:FS183"/>
    <mergeCell ref="FW183:FZ183"/>
    <mergeCell ref="GD183:GG183"/>
    <mergeCell ref="GK183:GN183"/>
    <mergeCell ref="FI184:FL184"/>
    <mergeCell ref="FP184:FS184"/>
    <mergeCell ref="FW184:FZ184"/>
    <mergeCell ref="GD184:GG184"/>
    <mergeCell ref="GK184:GN184"/>
    <mergeCell ref="FI185:FL185"/>
    <mergeCell ref="FP185:FS185"/>
    <mergeCell ref="FW185:FZ185"/>
    <mergeCell ref="GD185:GG185"/>
    <mergeCell ref="GK185:GN185"/>
    <mergeCell ref="FI186:FL186"/>
    <mergeCell ref="FP186:FS186"/>
    <mergeCell ref="FW186:FZ186"/>
    <mergeCell ref="GD186:GG186"/>
    <mergeCell ref="GK186:GN186"/>
    <mergeCell ref="FI187:FL187"/>
    <mergeCell ref="FP187:FS187"/>
    <mergeCell ref="FW187:FZ187"/>
    <mergeCell ref="GD187:GG187"/>
    <mergeCell ref="GK187:GN187"/>
    <mergeCell ref="FI174:FL174"/>
    <mergeCell ref="FP174:FS174"/>
    <mergeCell ref="FW174:FZ174"/>
    <mergeCell ref="GD174:GG174"/>
    <mergeCell ref="GK174:GN174"/>
    <mergeCell ref="FI175:FL175"/>
    <mergeCell ref="FP175:FS175"/>
    <mergeCell ref="FW175:FZ175"/>
    <mergeCell ref="GD175:GG175"/>
    <mergeCell ref="GK175:GN175"/>
    <mergeCell ref="FI176:FL176"/>
    <mergeCell ref="FP176:FS176"/>
    <mergeCell ref="FW176:FZ176"/>
    <mergeCell ref="GD176:GG176"/>
    <mergeCell ref="GK176:GN176"/>
    <mergeCell ref="FI177:FL177"/>
    <mergeCell ref="FP177:FS177"/>
    <mergeCell ref="FW177:FZ177"/>
    <mergeCell ref="GD177:GG177"/>
    <mergeCell ref="GK177:GN177"/>
    <mergeCell ref="FI178:FL178"/>
    <mergeCell ref="FP178:FS178"/>
    <mergeCell ref="FW178:FZ178"/>
    <mergeCell ref="GD178:GG178"/>
    <mergeCell ref="GK178:GN178"/>
    <mergeCell ref="FI179:FL179"/>
    <mergeCell ref="FP179:FS179"/>
    <mergeCell ref="FW179:FZ179"/>
    <mergeCell ref="GD179:GG179"/>
    <mergeCell ref="GK179:GN179"/>
    <mergeCell ref="FI180:FL180"/>
    <mergeCell ref="FP180:FS180"/>
    <mergeCell ref="FW180:FZ180"/>
    <mergeCell ref="GD180:GG180"/>
    <mergeCell ref="GK180:GN180"/>
    <mergeCell ref="FI167:FL167"/>
    <mergeCell ref="FP167:FS167"/>
    <mergeCell ref="FW167:FZ167"/>
    <mergeCell ref="GD167:GG167"/>
    <mergeCell ref="GK167:GN167"/>
    <mergeCell ref="FI168:FL168"/>
    <mergeCell ref="FP168:FS168"/>
    <mergeCell ref="FW168:FZ168"/>
    <mergeCell ref="GD168:GG168"/>
    <mergeCell ref="GK168:GN168"/>
    <mergeCell ref="FI169:FL169"/>
    <mergeCell ref="FP169:FS169"/>
    <mergeCell ref="FW169:FZ169"/>
    <mergeCell ref="GD169:GG169"/>
    <mergeCell ref="GK169:GN169"/>
    <mergeCell ref="FI170:FL170"/>
    <mergeCell ref="FP170:FS170"/>
    <mergeCell ref="FW170:FZ170"/>
    <mergeCell ref="GD170:GG170"/>
    <mergeCell ref="GK170:GN170"/>
    <mergeCell ref="FI171:FL171"/>
    <mergeCell ref="FP171:FS171"/>
    <mergeCell ref="FW171:FZ171"/>
    <mergeCell ref="GD171:GG171"/>
    <mergeCell ref="GK171:GN171"/>
    <mergeCell ref="FI172:FL172"/>
    <mergeCell ref="FP172:FS172"/>
    <mergeCell ref="FW172:FZ172"/>
    <mergeCell ref="GD172:GG172"/>
    <mergeCell ref="GK172:GN172"/>
    <mergeCell ref="FI173:FL173"/>
    <mergeCell ref="FP173:FS173"/>
    <mergeCell ref="FW173:FZ173"/>
    <mergeCell ref="GD173:GG173"/>
    <mergeCell ref="GK173:GN173"/>
    <mergeCell ref="FI160:FL160"/>
    <mergeCell ref="FP160:FS160"/>
    <mergeCell ref="FW160:FZ160"/>
    <mergeCell ref="GD160:GG160"/>
    <mergeCell ref="GK160:GN160"/>
    <mergeCell ref="FI161:FL161"/>
    <mergeCell ref="FP161:FS161"/>
    <mergeCell ref="FW161:FZ161"/>
    <mergeCell ref="GD161:GG161"/>
    <mergeCell ref="GK161:GN161"/>
    <mergeCell ref="FI162:FL162"/>
    <mergeCell ref="FP162:FS162"/>
    <mergeCell ref="FW162:FZ162"/>
    <mergeCell ref="GD162:GG162"/>
    <mergeCell ref="GK162:GN162"/>
    <mergeCell ref="FI163:FL163"/>
    <mergeCell ref="FP163:FS163"/>
    <mergeCell ref="FW163:FZ163"/>
    <mergeCell ref="GD163:GG163"/>
    <mergeCell ref="GK163:GN163"/>
    <mergeCell ref="FI164:FL164"/>
    <mergeCell ref="FP164:FS164"/>
    <mergeCell ref="FW164:FZ164"/>
    <mergeCell ref="GD164:GG164"/>
    <mergeCell ref="GK164:GN164"/>
    <mergeCell ref="FI165:FL165"/>
    <mergeCell ref="FP165:FS165"/>
    <mergeCell ref="FW165:FZ165"/>
    <mergeCell ref="GD165:GG165"/>
    <mergeCell ref="GK165:GN165"/>
    <mergeCell ref="FI166:FL166"/>
    <mergeCell ref="FP166:FS166"/>
    <mergeCell ref="FW166:FZ166"/>
    <mergeCell ref="GD166:GG166"/>
    <mergeCell ref="GK166:GN166"/>
    <mergeCell ref="FI141:FL141"/>
    <mergeCell ref="FP141:FS141"/>
    <mergeCell ref="FW141:FZ141"/>
    <mergeCell ref="GD141:GG141"/>
    <mergeCell ref="GK141:GN141"/>
    <mergeCell ref="FI142:FL142"/>
    <mergeCell ref="FP142:FS142"/>
    <mergeCell ref="FW142:FZ142"/>
    <mergeCell ref="GD142:GG142"/>
    <mergeCell ref="GK142:GN142"/>
    <mergeCell ref="FI143:FL143"/>
    <mergeCell ref="FP143:FS143"/>
    <mergeCell ref="FW143:FZ143"/>
    <mergeCell ref="GD143:GG143"/>
    <mergeCell ref="GK143:GN143"/>
    <mergeCell ref="FI144:FL144"/>
    <mergeCell ref="FP144:FS144"/>
    <mergeCell ref="FW144:FZ144"/>
    <mergeCell ref="GD144:GG144"/>
    <mergeCell ref="GK144:GN144"/>
    <mergeCell ref="FI145:FL145"/>
    <mergeCell ref="FP145:FS145"/>
    <mergeCell ref="FW145:FZ145"/>
    <mergeCell ref="GD145:GG145"/>
    <mergeCell ref="GK145:GN145"/>
    <mergeCell ref="FP151:FS151"/>
    <mergeCell ref="FW151:FZ151"/>
    <mergeCell ref="GD151:GG151"/>
    <mergeCell ref="GK151:GN151"/>
    <mergeCell ref="FI152:FL152"/>
    <mergeCell ref="FP152:FS152"/>
    <mergeCell ref="FW152:FZ152"/>
    <mergeCell ref="GD152:GG152"/>
    <mergeCell ref="GK152:GN152"/>
    <mergeCell ref="FI133:FL133"/>
    <mergeCell ref="FP133:FS133"/>
    <mergeCell ref="FW133:FZ133"/>
    <mergeCell ref="GD133:GG133"/>
    <mergeCell ref="GK133:GN133"/>
    <mergeCell ref="FI134:FL134"/>
    <mergeCell ref="FP134:FS134"/>
    <mergeCell ref="FW134:FZ134"/>
    <mergeCell ref="GD134:GG134"/>
    <mergeCell ref="GK134:GN134"/>
    <mergeCell ref="FI135:FL135"/>
    <mergeCell ref="FP135:FS135"/>
    <mergeCell ref="FW135:FZ135"/>
    <mergeCell ref="GD135:GG135"/>
    <mergeCell ref="GK135:GN135"/>
    <mergeCell ref="FI136:FL136"/>
    <mergeCell ref="FP136:FS136"/>
    <mergeCell ref="FW136:FZ136"/>
    <mergeCell ref="GD136:GG136"/>
    <mergeCell ref="GK136:GN136"/>
    <mergeCell ref="FI137:FL137"/>
    <mergeCell ref="FP137:FS137"/>
    <mergeCell ref="FW137:FZ137"/>
    <mergeCell ref="GD137:GG137"/>
    <mergeCell ref="GK137:GN137"/>
    <mergeCell ref="FW139:FZ139"/>
    <mergeCell ref="GD139:GG139"/>
    <mergeCell ref="GK139:GN139"/>
    <mergeCell ref="FI140:FL140"/>
    <mergeCell ref="FP140:FS140"/>
    <mergeCell ref="FW140:FZ140"/>
    <mergeCell ref="GD140:GG140"/>
    <mergeCell ref="GK140:GN140"/>
    <mergeCell ref="FI122:FL122"/>
    <mergeCell ref="FP122:FS122"/>
    <mergeCell ref="FW122:FZ122"/>
    <mergeCell ref="GD122:GG122"/>
    <mergeCell ref="GK122:GN122"/>
    <mergeCell ref="FI123:FL123"/>
    <mergeCell ref="FP123:FS123"/>
    <mergeCell ref="FW123:FZ123"/>
    <mergeCell ref="GD123:GG123"/>
    <mergeCell ref="GK123:GN123"/>
    <mergeCell ref="FI124:FL124"/>
    <mergeCell ref="FP124:FS124"/>
    <mergeCell ref="FW124:FZ124"/>
    <mergeCell ref="GD124:GG124"/>
    <mergeCell ref="GK124:GN124"/>
    <mergeCell ref="FI125:FL125"/>
    <mergeCell ref="FP125:FS125"/>
    <mergeCell ref="FW125:FZ125"/>
    <mergeCell ref="GD125:GG125"/>
    <mergeCell ref="GK125:GN125"/>
    <mergeCell ref="FI126:FL126"/>
    <mergeCell ref="FP126:FS126"/>
    <mergeCell ref="FW126:FZ126"/>
    <mergeCell ref="GD126:GG126"/>
    <mergeCell ref="GK126:GN126"/>
    <mergeCell ref="FI131:FL131"/>
    <mergeCell ref="FP131:FS131"/>
    <mergeCell ref="FW131:FZ131"/>
    <mergeCell ref="GD131:GG131"/>
    <mergeCell ref="GK131:GN131"/>
    <mergeCell ref="FI132:FL132"/>
    <mergeCell ref="FP132:FS132"/>
    <mergeCell ref="FW132:FZ132"/>
    <mergeCell ref="GD132:GG132"/>
    <mergeCell ref="GK132:GN132"/>
    <mergeCell ref="FI109:FL109"/>
    <mergeCell ref="FP109:FS109"/>
    <mergeCell ref="FW109:FZ109"/>
    <mergeCell ref="GD109:GG109"/>
    <mergeCell ref="GK109:GN109"/>
    <mergeCell ref="FI110:FL110"/>
    <mergeCell ref="FP110:FS110"/>
    <mergeCell ref="FW110:FZ110"/>
    <mergeCell ref="GD110:GG110"/>
    <mergeCell ref="GK110:GN110"/>
    <mergeCell ref="FI111:FL111"/>
    <mergeCell ref="FP111:FS111"/>
    <mergeCell ref="FW111:FZ111"/>
    <mergeCell ref="GD111:GG111"/>
    <mergeCell ref="GK111:GN111"/>
    <mergeCell ref="FI112:FL112"/>
    <mergeCell ref="FP112:FS112"/>
    <mergeCell ref="FW112:FZ112"/>
    <mergeCell ref="GD112:GG112"/>
    <mergeCell ref="GK112:GN112"/>
    <mergeCell ref="FI113:FL113"/>
    <mergeCell ref="FP113:FS113"/>
    <mergeCell ref="FW113:FZ113"/>
    <mergeCell ref="GD113:GG113"/>
    <mergeCell ref="GK113:GN113"/>
    <mergeCell ref="FI114:FL114"/>
    <mergeCell ref="FP114:FS114"/>
    <mergeCell ref="FW114:FZ114"/>
    <mergeCell ref="GD114:GG114"/>
    <mergeCell ref="GK114:GN114"/>
    <mergeCell ref="FI115:FL115"/>
    <mergeCell ref="FP115:FS115"/>
    <mergeCell ref="FW115:FZ115"/>
    <mergeCell ref="GD115:GG115"/>
    <mergeCell ref="GK115:GN115"/>
    <mergeCell ref="FI89:FL89"/>
    <mergeCell ref="FP89:FS89"/>
    <mergeCell ref="FW89:FZ89"/>
    <mergeCell ref="GD89:GG89"/>
    <mergeCell ref="GK89:GN89"/>
    <mergeCell ref="FI90:FL90"/>
    <mergeCell ref="FP90:FS90"/>
    <mergeCell ref="FW90:FZ90"/>
    <mergeCell ref="GD90:GG90"/>
    <mergeCell ref="GK90:GN90"/>
    <mergeCell ref="FI91:FL91"/>
    <mergeCell ref="FP91:FS91"/>
    <mergeCell ref="FW91:FZ91"/>
    <mergeCell ref="GD91:GG91"/>
    <mergeCell ref="GK91:GN91"/>
    <mergeCell ref="FI92:FL92"/>
    <mergeCell ref="FP92:FS92"/>
    <mergeCell ref="FW92:FZ92"/>
    <mergeCell ref="GD92:GG92"/>
    <mergeCell ref="GK92:GN92"/>
    <mergeCell ref="FI93:FL93"/>
    <mergeCell ref="FP93:FS93"/>
    <mergeCell ref="FW93:FZ93"/>
    <mergeCell ref="GD93:GG93"/>
    <mergeCell ref="GK93:GN93"/>
    <mergeCell ref="FI98:FL98"/>
    <mergeCell ref="FP98:FS98"/>
    <mergeCell ref="FW98:FZ98"/>
    <mergeCell ref="GD98:GG98"/>
    <mergeCell ref="GK98:GN98"/>
    <mergeCell ref="FI99:FL99"/>
    <mergeCell ref="FP99:FS99"/>
    <mergeCell ref="FW99:FZ99"/>
    <mergeCell ref="GD99:GG99"/>
    <mergeCell ref="GK99:GN99"/>
    <mergeCell ref="FI78:FL78"/>
    <mergeCell ref="FP78:FS78"/>
    <mergeCell ref="FW78:FZ78"/>
    <mergeCell ref="GD78:GG78"/>
    <mergeCell ref="GK78:GN78"/>
    <mergeCell ref="FI79:FL79"/>
    <mergeCell ref="FP79:FS79"/>
    <mergeCell ref="FW79:FZ79"/>
    <mergeCell ref="GD79:GG79"/>
    <mergeCell ref="GK79:GN79"/>
    <mergeCell ref="FI80:FL80"/>
    <mergeCell ref="FP80:FS80"/>
    <mergeCell ref="FW80:FZ80"/>
    <mergeCell ref="GD80:GG80"/>
    <mergeCell ref="GK80:GN80"/>
    <mergeCell ref="FI81:FL81"/>
    <mergeCell ref="FP81:FS81"/>
    <mergeCell ref="FW81:FZ81"/>
    <mergeCell ref="GD81:GG81"/>
    <mergeCell ref="GK81:GN81"/>
    <mergeCell ref="FI82:FL82"/>
    <mergeCell ref="FP82:FS82"/>
    <mergeCell ref="FW82:FZ82"/>
    <mergeCell ref="GD82:GG82"/>
    <mergeCell ref="GK82:GN82"/>
    <mergeCell ref="FI87:FL87"/>
    <mergeCell ref="FP87:FS87"/>
    <mergeCell ref="FW87:FZ87"/>
    <mergeCell ref="GD87:GG87"/>
    <mergeCell ref="GK87:GN87"/>
    <mergeCell ref="FI88:FL88"/>
    <mergeCell ref="FP88:FS88"/>
    <mergeCell ref="FW88:FZ88"/>
    <mergeCell ref="GD88:GG88"/>
    <mergeCell ref="GK88:GN88"/>
    <mergeCell ref="FP41:FS41"/>
    <mergeCell ref="FW41:FZ41"/>
    <mergeCell ref="GD41:GG41"/>
    <mergeCell ref="GK41:GN41"/>
    <mergeCell ref="FI42:FL42"/>
    <mergeCell ref="FP42:FS42"/>
    <mergeCell ref="FW42:FZ42"/>
    <mergeCell ref="GD42:GG42"/>
    <mergeCell ref="GK42:GN42"/>
    <mergeCell ref="FI54:FL54"/>
    <mergeCell ref="FP54:FS54"/>
    <mergeCell ref="FW54:FZ54"/>
    <mergeCell ref="GD54:GG54"/>
    <mergeCell ref="GK54:GN54"/>
    <mergeCell ref="FI55:FL55"/>
    <mergeCell ref="FP55:FS55"/>
    <mergeCell ref="FW55:FZ55"/>
    <mergeCell ref="GD55:GG55"/>
    <mergeCell ref="GK55:GN55"/>
    <mergeCell ref="FI56:FL56"/>
    <mergeCell ref="FP56:FS56"/>
    <mergeCell ref="FW56:FZ56"/>
    <mergeCell ref="GD56:GG56"/>
    <mergeCell ref="GK56:GN56"/>
    <mergeCell ref="FI76:FL76"/>
    <mergeCell ref="FP76:FS76"/>
    <mergeCell ref="FW76:FZ76"/>
    <mergeCell ref="GD76:GG76"/>
    <mergeCell ref="GK76:GN76"/>
    <mergeCell ref="FI77:FL77"/>
    <mergeCell ref="FP77:FS77"/>
    <mergeCell ref="FW77:FZ77"/>
    <mergeCell ref="GD77:GG77"/>
    <mergeCell ref="GK77:GN77"/>
    <mergeCell ref="FP29:FS29"/>
    <mergeCell ref="FW29:FZ29"/>
    <mergeCell ref="GD29:GG29"/>
    <mergeCell ref="GK29:GN29"/>
    <mergeCell ref="FW31:FZ31"/>
    <mergeCell ref="GD31:GG31"/>
    <mergeCell ref="GK31:GN31"/>
    <mergeCell ref="FI32:FL32"/>
    <mergeCell ref="FP32:FS32"/>
    <mergeCell ref="FW32:FZ32"/>
    <mergeCell ref="GD32:GG32"/>
    <mergeCell ref="GK32:GN32"/>
    <mergeCell ref="FI33:FL33"/>
    <mergeCell ref="FP33:FS33"/>
    <mergeCell ref="FW33:FZ33"/>
    <mergeCell ref="GD33:GG33"/>
    <mergeCell ref="GK33:GN33"/>
    <mergeCell ref="FI34:FL34"/>
    <mergeCell ref="FP34:FS34"/>
    <mergeCell ref="FW34:FZ34"/>
    <mergeCell ref="GD34:GG34"/>
    <mergeCell ref="GK34:GN34"/>
    <mergeCell ref="FI35:FL35"/>
    <mergeCell ref="FP35:FS35"/>
    <mergeCell ref="FW35:FZ35"/>
    <mergeCell ref="GD35:GG35"/>
    <mergeCell ref="GK35:GN35"/>
    <mergeCell ref="FI36:FL36"/>
    <mergeCell ref="FP36:FS36"/>
    <mergeCell ref="FW36:FZ36"/>
    <mergeCell ref="GD36:GG36"/>
    <mergeCell ref="GK36:GN36"/>
    <mergeCell ref="FI37:FL37"/>
    <mergeCell ref="FP37:FS37"/>
    <mergeCell ref="FW37:FZ37"/>
    <mergeCell ref="GD37:GG37"/>
    <mergeCell ref="GK37:GN37"/>
    <mergeCell ref="FI14:FL14"/>
    <mergeCell ref="FP14:FS14"/>
    <mergeCell ref="FW14:FZ14"/>
    <mergeCell ref="GD14:GG14"/>
    <mergeCell ref="GK14:GN14"/>
    <mergeCell ref="FI15:FL15"/>
    <mergeCell ref="FP15:FS15"/>
    <mergeCell ref="FW15:FZ15"/>
    <mergeCell ref="GD15:GG15"/>
    <mergeCell ref="GK15:GN15"/>
    <mergeCell ref="FI16:FL16"/>
    <mergeCell ref="FP16:FS16"/>
    <mergeCell ref="FW16:FZ16"/>
    <mergeCell ref="GD16:GG16"/>
    <mergeCell ref="GK16:GN16"/>
    <mergeCell ref="FI17:FL17"/>
    <mergeCell ref="FP17:FS17"/>
    <mergeCell ref="FW17:FZ17"/>
    <mergeCell ref="GD17:GG17"/>
    <mergeCell ref="GK17:GN17"/>
    <mergeCell ref="FI18:FL18"/>
    <mergeCell ref="FP18:FS18"/>
    <mergeCell ref="FW18:FZ18"/>
    <mergeCell ref="GD18:GG18"/>
    <mergeCell ref="GD22:GG22"/>
    <mergeCell ref="GK22:GN22"/>
    <mergeCell ref="FI23:FL23"/>
    <mergeCell ref="FP23:FS23"/>
    <mergeCell ref="FW23:FZ23"/>
    <mergeCell ref="GD23:GG23"/>
    <mergeCell ref="GK23:GN23"/>
    <mergeCell ref="FI24:FL24"/>
    <mergeCell ref="FP24:FS24"/>
    <mergeCell ref="FW24:FZ24"/>
    <mergeCell ref="GD24:GG24"/>
    <mergeCell ref="GK24:GN24"/>
    <mergeCell ref="EG197:EJ197"/>
    <mergeCell ref="EN197:EQ197"/>
    <mergeCell ref="EU197:EX197"/>
    <mergeCell ref="FB197:FE197"/>
    <mergeCell ref="DZ198:EC198"/>
    <mergeCell ref="EG198:EJ198"/>
    <mergeCell ref="EN198:EQ198"/>
    <mergeCell ref="EU198:EX198"/>
    <mergeCell ref="FB198:FE198"/>
    <mergeCell ref="DZ199:EC199"/>
    <mergeCell ref="EG199:EJ199"/>
    <mergeCell ref="EN199:EQ199"/>
    <mergeCell ref="EU199:EX199"/>
    <mergeCell ref="FB199:FE199"/>
    <mergeCell ref="DZ202:EC202"/>
    <mergeCell ref="EG202:EJ202"/>
    <mergeCell ref="EN202:EQ202"/>
    <mergeCell ref="EU202:EX202"/>
    <mergeCell ref="FB202:FE202"/>
    <mergeCell ref="DZ203:EC203"/>
    <mergeCell ref="EG203:EJ203"/>
    <mergeCell ref="EN203:EQ203"/>
    <mergeCell ref="EU203:EX203"/>
    <mergeCell ref="FB203:FE203"/>
    <mergeCell ref="DZ204:EC204"/>
    <mergeCell ref="EG204:EJ204"/>
    <mergeCell ref="EN204:EQ204"/>
    <mergeCell ref="EU204:EX204"/>
    <mergeCell ref="FB204:FE204"/>
    <mergeCell ref="DZ205:EC205"/>
    <mergeCell ref="EG205:EJ205"/>
    <mergeCell ref="EN205:EQ205"/>
    <mergeCell ref="EU205:EX205"/>
    <mergeCell ref="FB205:FE205"/>
    <mergeCell ref="DZ184:EC184"/>
    <mergeCell ref="EG184:EJ184"/>
    <mergeCell ref="EN184:EQ184"/>
    <mergeCell ref="EU184:EX184"/>
    <mergeCell ref="FB184:FE184"/>
    <mergeCell ref="DZ185:EC185"/>
    <mergeCell ref="EG185:EJ185"/>
    <mergeCell ref="EN185:EQ185"/>
    <mergeCell ref="EU185:EX185"/>
    <mergeCell ref="FB185:FE185"/>
    <mergeCell ref="DZ186:EC186"/>
    <mergeCell ref="EG186:EJ186"/>
    <mergeCell ref="EN186:EQ186"/>
    <mergeCell ref="EU186:EX186"/>
    <mergeCell ref="FB186:FE186"/>
    <mergeCell ref="DZ187:EC187"/>
    <mergeCell ref="EG187:EJ187"/>
    <mergeCell ref="EN187:EQ187"/>
    <mergeCell ref="EU187:EX187"/>
    <mergeCell ref="FB187:FE187"/>
    <mergeCell ref="DZ193:EC193"/>
    <mergeCell ref="EG193:EJ193"/>
    <mergeCell ref="EN193:EQ193"/>
    <mergeCell ref="EU193:EX193"/>
    <mergeCell ref="FB193:FE193"/>
    <mergeCell ref="DZ194:EC194"/>
    <mergeCell ref="EG194:EJ194"/>
    <mergeCell ref="EN194:EQ194"/>
    <mergeCell ref="EU194:EX194"/>
    <mergeCell ref="FB194:FE194"/>
    <mergeCell ref="DZ195:EC195"/>
    <mergeCell ref="EG195:EJ195"/>
    <mergeCell ref="EN195:EQ195"/>
    <mergeCell ref="EU195:EX195"/>
    <mergeCell ref="FB195:FE195"/>
    <mergeCell ref="DZ177:EC177"/>
    <mergeCell ref="EG177:EJ177"/>
    <mergeCell ref="EN177:EQ177"/>
    <mergeCell ref="EU177:EX177"/>
    <mergeCell ref="FB177:FE177"/>
    <mergeCell ref="DZ178:EC178"/>
    <mergeCell ref="EG178:EJ178"/>
    <mergeCell ref="EN178:EQ178"/>
    <mergeCell ref="EU178:EX178"/>
    <mergeCell ref="FB178:FE178"/>
    <mergeCell ref="DZ179:EC179"/>
    <mergeCell ref="EG179:EJ179"/>
    <mergeCell ref="EN179:EQ179"/>
    <mergeCell ref="EU179:EX179"/>
    <mergeCell ref="FB179:FE179"/>
    <mergeCell ref="DZ180:EC180"/>
    <mergeCell ref="EG180:EJ180"/>
    <mergeCell ref="EN180:EQ180"/>
    <mergeCell ref="EU180:EX180"/>
    <mergeCell ref="FB180:FE180"/>
    <mergeCell ref="DZ181:EC181"/>
    <mergeCell ref="EG181:EJ181"/>
    <mergeCell ref="EN181:EQ181"/>
    <mergeCell ref="EU181:EX181"/>
    <mergeCell ref="FB181:FE181"/>
    <mergeCell ref="DZ182:EC182"/>
    <mergeCell ref="EG182:EJ182"/>
    <mergeCell ref="EN182:EQ182"/>
    <mergeCell ref="EU182:EX182"/>
    <mergeCell ref="FB182:FE182"/>
    <mergeCell ref="DZ183:EC183"/>
    <mergeCell ref="EG183:EJ183"/>
    <mergeCell ref="EN183:EQ183"/>
    <mergeCell ref="EU183:EX183"/>
    <mergeCell ref="FB183:FE183"/>
    <mergeCell ref="DZ170:EC170"/>
    <mergeCell ref="EG170:EJ170"/>
    <mergeCell ref="EN170:EQ170"/>
    <mergeCell ref="EU170:EX170"/>
    <mergeCell ref="FB170:FE170"/>
    <mergeCell ref="DZ171:EC171"/>
    <mergeCell ref="EG171:EJ171"/>
    <mergeCell ref="EN171:EQ171"/>
    <mergeCell ref="EU171:EX171"/>
    <mergeCell ref="FB171:FE171"/>
    <mergeCell ref="DZ172:EC172"/>
    <mergeCell ref="EG172:EJ172"/>
    <mergeCell ref="EN172:EQ172"/>
    <mergeCell ref="EU172:EX172"/>
    <mergeCell ref="FB172:FE172"/>
    <mergeCell ref="DZ173:EC173"/>
    <mergeCell ref="EG173:EJ173"/>
    <mergeCell ref="EN173:EQ173"/>
    <mergeCell ref="EU173:EX173"/>
    <mergeCell ref="FB173:FE173"/>
    <mergeCell ref="DZ174:EC174"/>
    <mergeCell ref="EG174:EJ174"/>
    <mergeCell ref="EN174:EQ174"/>
    <mergeCell ref="EU174:EX174"/>
    <mergeCell ref="FB174:FE174"/>
    <mergeCell ref="DZ175:EC175"/>
    <mergeCell ref="EG175:EJ175"/>
    <mergeCell ref="EN175:EQ175"/>
    <mergeCell ref="EU175:EX175"/>
    <mergeCell ref="FB175:FE175"/>
    <mergeCell ref="DZ176:EC176"/>
    <mergeCell ref="EG176:EJ176"/>
    <mergeCell ref="EN176:EQ176"/>
    <mergeCell ref="EU176:EX176"/>
    <mergeCell ref="FB176:FE176"/>
    <mergeCell ref="DZ160:EC160"/>
    <mergeCell ref="EG160:EJ160"/>
    <mergeCell ref="EN160:EQ160"/>
    <mergeCell ref="EU160:EX160"/>
    <mergeCell ref="FB160:FE160"/>
    <mergeCell ref="DZ161:EC161"/>
    <mergeCell ref="EG161:EJ161"/>
    <mergeCell ref="EN161:EQ161"/>
    <mergeCell ref="EU161:EX161"/>
    <mergeCell ref="FB161:FE161"/>
    <mergeCell ref="DZ162:EC162"/>
    <mergeCell ref="EG162:EJ162"/>
    <mergeCell ref="EN162:EQ162"/>
    <mergeCell ref="EU162:EX162"/>
    <mergeCell ref="FB162:FE162"/>
    <mergeCell ref="DZ163:EC163"/>
    <mergeCell ref="EG163:EJ163"/>
    <mergeCell ref="EN163:EQ163"/>
    <mergeCell ref="EU163:EX163"/>
    <mergeCell ref="FB163:FE163"/>
    <mergeCell ref="DZ164:EC164"/>
    <mergeCell ref="EG164:EJ164"/>
    <mergeCell ref="EN164:EQ164"/>
    <mergeCell ref="EU164:EX164"/>
    <mergeCell ref="FB164:FE164"/>
    <mergeCell ref="DZ165:EC165"/>
    <mergeCell ref="EG165:EJ165"/>
    <mergeCell ref="EN165:EQ165"/>
    <mergeCell ref="EU165:EX165"/>
    <mergeCell ref="FB165:FE165"/>
    <mergeCell ref="DZ166:EC166"/>
    <mergeCell ref="EG166:EJ166"/>
    <mergeCell ref="EN166:EQ166"/>
    <mergeCell ref="EU166:EX166"/>
    <mergeCell ref="FB166:FE166"/>
    <mergeCell ref="DZ148:EC148"/>
    <mergeCell ref="EG148:EJ148"/>
    <mergeCell ref="EN148:EQ148"/>
    <mergeCell ref="EU148:EX148"/>
    <mergeCell ref="FB148:FE148"/>
    <mergeCell ref="EU152:EX152"/>
    <mergeCell ref="FB152:FE152"/>
    <mergeCell ref="DZ153:EC153"/>
    <mergeCell ref="EG153:EJ153"/>
    <mergeCell ref="EN153:EQ153"/>
    <mergeCell ref="EU153:EX153"/>
    <mergeCell ref="FB153:FE153"/>
    <mergeCell ref="DZ154:EC154"/>
    <mergeCell ref="EG154:EJ154"/>
    <mergeCell ref="EN154:EQ154"/>
    <mergeCell ref="EU154:EX154"/>
    <mergeCell ref="FB154:FE154"/>
    <mergeCell ref="DZ155:EC155"/>
    <mergeCell ref="EG155:EJ155"/>
    <mergeCell ref="EN155:EQ155"/>
    <mergeCell ref="EU155:EX155"/>
    <mergeCell ref="FB155:FE155"/>
    <mergeCell ref="DZ156:EC156"/>
    <mergeCell ref="EG156:EJ156"/>
    <mergeCell ref="EN156:EQ156"/>
    <mergeCell ref="EU156:EX156"/>
    <mergeCell ref="FB156:FE156"/>
    <mergeCell ref="DZ157:EC157"/>
    <mergeCell ref="EG157:EJ157"/>
    <mergeCell ref="EN157:EQ157"/>
    <mergeCell ref="EU157:EX157"/>
    <mergeCell ref="FB157:FE157"/>
    <mergeCell ref="DZ158:EC158"/>
    <mergeCell ref="EG158:EJ158"/>
    <mergeCell ref="EN158:EQ158"/>
    <mergeCell ref="EU158:EX158"/>
    <mergeCell ref="FB158:FE158"/>
    <mergeCell ref="DZ109:EC109"/>
    <mergeCell ref="EG109:EJ109"/>
    <mergeCell ref="EN109:EQ109"/>
    <mergeCell ref="EU109:EX109"/>
    <mergeCell ref="FB109:FE109"/>
    <mergeCell ref="DZ110:EC110"/>
    <mergeCell ref="EN110:EQ110"/>
    <mergeCell ref="EU110:EX110"/>
    <mergeCell ref="FB110:FE110"/>
    <mergeCell ref="DZ111:EC111"/>
    <mergeCell ref="EG111:EJ111"/>
    <mergeCell ref="EN111:EQ111"/>
    <mergeCell ref="EU111:EX111"/>
    <mergeCell ref="FB111:FE111"/>
    <mergeCell ref="DZ112:EC112"/>
    <mergeCell ref="EG112:EJ112"/>
    <mergeCell ref="EN112:EQ112"/>
    <mergeCell ref="EU112:EX112"/>
    <mergeCell ref="FB112:FE112"/>
    <mergeCell ref="DZ113:EC113"/>
    <mergeCell ref="EG113:EJ113"/>
    <mergeCell ref="EN113:EQ113"/>
    <mergeCell ref="EU113:EX113"/>
    <mergeCell ref="FB113:FE113"/>
    <mergeCell ref="DZ114:EC114"/>
    <mergeCell ref="EG114:EJ114"/>
    <mergeCell ref="EN114:EQ114"/>
    <mergeCell ref="EU114:EX114"/>
    <mergeCell ref="FB114:FE114"/>
    <mergeCell ref="DZ115:EC115"/>
    <mergeCell ref="EG115:EJ115"/>
    <mergeCell ref="EN115:EQ115"/>
    <mergeCell ref="EU115:EX115"/>
    <mergeCell ref="FB115:FE115"/>
    <mergeCell ref="EN98:EQ98"/>
    <mergeCell ref="EU98:EX98"/>
    <mergeCell ref="FB98:FE98"/>
    <mergeCell ref="DZ99:EC99"/>
    <mergeCell ref="EG99:EJ99"/>
    <mergeCell ref="EN99:EQ99"/>
    <mergeCell ref="EU99:EX99"/>
    <mergeCell ref="FB99:FE99"/>
    <mergeCell ref="DZ100:EC100"/>
    <mergeCell ref="EG100:EJ100"/>
    <mergeCell ref="EN100:EQ100"/>
    <mergeCell ref="EU100:EX100"/>
    <mergeCell ref="FB100:FE100"/>
    <mergeCell ref="DZ101:EC101"/>
    <mergeCell ref="EG101:EJ101"/>
    <mergeCell ref="EN101:EQ101"/>
    <mergeCell ref="EU101:EX101"/>
    <mergeCell ref="FB101:FE101"/>
    <mergeCell ref="DZ102:EC102"/>
    <mergeCell ref="EG102:EJ102"/>
    <mergeCell ref="EN102:EQ102"/>
    <mergeCell ref="EU102:EX102"/>
    <mergeCell ref="FB102:FE102"/>
    <mergeCell ref="DZ103:EC103"/>
    <mergeCell ref="EG103:EJ103"/>
    <mergeCell ref="EN103:EQ103"/>
    <mergeCell ref="EU103:EX103"/>
    <mergeCell ref="FB103:FE103"/>
    <mergeCell ref="DZ104:EC104"/>
    <mergeCell ref="EG104:EJ104"/>
    <mergeCell ref="EN104:EQ104"/>
    <mergeCell ref="EU104:EX104"/>
    <mergeCell ref="FB104:FE104"/>
    <mergeCell ref="EU59:EX59"/>
    <mergeCell ref="FB59:FE59"/>
    <mergeCell ref="EN87:EQ87"/>
    <mergeCell ref="EU87:EX87"/>
    <mergeCell ref="FB87:FE87"/>
    <mergeCell ref="DZ88:EC88"/>
    <mergeCell ref="EG88:EJ88"/>
    <mergeCell ref="EN88:EQ88"/>
    <mergeCell ref="EU88:EX88"/>
    <mergeCell ref="FB88:FE88"/>
    <mergeCell ref="DZ89:EC89"/>
    <mergeCell ref="EG89:EJ89"/>
    <mergeCell ref="EN89:EQ89"/>
    <mergeCell ref="EU89:EX89"/>
    <mergeCell ref="FB89:FE89"/>
    <mergeCell ref="DZ90:EC90"/>
    <mergeCell ref="EG90:EJ90"/>
    <mergeCell ref="EN90:EQ90"/>
    <mergeCell ref="EU90:EX90"/>
    <mergeCell ref="FB90:FE90"/>
    <mergeCell ref="DZ91:EC91"/>
    <mergeCell ref="EG91:EJ91"/>
    <mergeCell ref="EN91:EQ91"/>
    <mergeCell ref="EU91:EX91"/>
    <mergeCell ref="FB91:FE91"/>
    <mergeCell ref="DZ92:EC92"/>
    <mergeCell ref="EG92:EJ92"/>
    <mergeCell ref="EN92:EQ92"/>
    <mergeCell ref="EU92:EX92"/>
    <mergeCell ref="FB92:FE92"/>
    <mergeCell ref="DZ93:EC93"/>
    <mergeCell ref="EG93:EJ93"/>
    <mergeCell ref="EN93:EQ93"/>
    <mergeCell ref="EU93:EX93"/>
    <mergeCell ref="FB93:FE93"/>
    <mergeCell ref="DE202:DH202"/>
    <mergeCell ref="DE203:DH203"/>
    <mergeCell ref="DE204:DH204"/>
    <mergeCell ref="DE205:DH205"/>
    <mergeCell ref="DE206:DH206"/>
    <mergeCell ref="DE207:DH207"/>
    <mergeCell ref="DE208:DH208"/>
    <mergeCell ref="DE209:DH209"/>
    <mergeCell ref="DE210:DH210"/>
    <mergeCell ref="DE211:DH211"/>
    <mergeCell ref="DE212:DH212"/>
    <mergeCell ref="DE213:DH213"/>
    <mergeCell ref="EN14:EQ14"/>
    <mergeCell ref="EU14:EX14"/>
    <mergeCell ref="FB14:FE14"/>
    <mergeCell ref="DZ15:EC15"/>
    <mergeCell ref="EG15:EJ15"/>
    <mergeCell ref="EN15:EQ15"/>
    <mergeCell ref="EU15:EX15"/>
    <mergeCell ref="FB15:FE15"/>
    <mergeCell ref="DZ16:EC16"/>
    <mergeCell ref="EG16:EJ16"/>
    <mergeCell ref="EN16:EQ16"/>
    <mergeCell ref="EU16:EX16"/>
    <mergeCell ref="FB16:FE16"/>
    <mergeCell ref="DZ17:EC17"/>
    <mergeCell ref="EG17:EJ17"/>
    <mergeCell ref="EN17:EQ17"/>
    <mergeCell ref="EU17:EX17"/>
    <mergeCell ref="FB17:FE17"/>
    <mergeCell ref="DZ18:EC18"/>
    <mergeCell ref="EG18:EJ18"/>
    <mergeCell ref="EN18:EQ18"/>
    <mergeCell ref="EU18:EX18"/>
    <mergeCell ref="FB18:FE18"/>
    <mergeCell ref="DZ19:EC19"/>
    <mergeCell ref="EG19:EJ19"/>
    <mergeCell ref="EN19:EQ19"/>
    <mergeCell ref="EU19:EX19"/>
    <mergeCell ref="FB19:FE19"/>
    <mergeCell ref="DZ20:EC20"/>
    <mergeCell ref="EG20:EJ20"/>
    <mergeCell ref="EN20:EQ20"/>
    <mergeCell ref="EU20:EX20"/>
    <mergeCell ref="FB20:FE20"/>
    <mergeCell ref="DZ32:EC32"/>
    <mergeCell ref="EG32:EJ32"/>
    <mergeCell ref="EN32:EQ32"/>
    <mergeCell ref="EU32:EX32"/>
    <mergeCell ref="FB32:FE32"/>
    <mergeCell ref="DZ33:EC33"/>
    <mergeCell ref="EG33:EJ33"/>
    <mergeCell ref="EN33:EQ33"/>
    <mergeCell ref="EU33:EX33"/>
    <mergeCell ref="FB33:FE33"/>
    <mergeCell ref="DZ34:EC34"/>
    <mergeCell ref="EG34:EJ34"/>
    <mergeCell ref="EN34:EQ34"/>
    <mergeCell ref="EU34:EX34"/>
    <mergeCell ref="FB34:FE34"/>
    <mergeCell ref="DZ35:EC35"/>
    <mergeCell ref="EG35:EJ35"/>
    <mergeCell ref="EN35:EQ35"/>
    <mergeCell ref="EU35:EX35"/>
    <mergeCell ref="DE161:DH161"/>
    <mergeCell ref="DE162:DH162"/>
    <mergeCell ref="DE163:DH163"/>
    <mergeCell ref="DE164:DH164"/>
    <mergeCell ref="DE165:DH165"/>
    <mergeCell ref="DE166:DH166"/>
    <mergeCell ref="DE167:DH167"/>
    <mergeCell ref="DE168:DH168"/>
    <mergeCell ref="DE169:DH169"/>
    <mergeCell ref="DE170:DH170"/>
    <mergeCell ref="DE171:DH171"/>
    <mergeCell ref="DE172:DH172"/>
    <mergeCell ref="DE173:DH173"/>
    <mergeCell ref="DE174:DH174"/>
    <mergeCell ref="DE181:DH181"/>
    <mergeCell ref="DE182:DH182"/>
    <mergeCell ref="DE183:DH183"/>
    <mergeCell ref="DE184:DH184"/>
    <mergeCell ref="DE185:DH185"/>
    <mergeCell ref="DE186:DH186"/>
    <mergeCell ref="DE187:DH187"/>
    <mergeCell ref="DE188:DH188"/>
    <mergeCell ref="DE189:DH189"/>
    <mergeCell ref="DE190:DH190"/>
    <mergeCell ref="DE191:DH191"/>
    <mergeCell ref="DE192:DH192"/>
    <mergeCell ref="DE193:DH193"/>
    <mergeCell ref="DE194:DH194"/>
    <mergeCell ref="DE195:DH195"/>
    <mergeCell ref="DE196:DH196"/>
    <mergeCell ref="DE197:DH197"/>
    <mergeCell ref="DE198:DH198"/>
    <mergeCell ref="DE199:DH199"/>
    <mergeCell ref="DE128:DH128"/>
    <mergeCell ref="DE129:DH129"/>
    <mergeCell ref="DE130:DH130"/>
    <mergeCell ref="DE131:DH131"/>
    <mergeCell ref="DE132:DH132"/>
    <mergeCell ref="DE133:DH133"/>
    <mergeCell ref="DE134:DH134"/>
    <mergeCell ref="DE135:DH135"/>
    <mergeCell ref="DE136:DH136"/>
    <mergeCell ref="DE137:DH137"/>
    <mergeCell ref="DE138:DH138"/>
    <mergeCell ref="DE139:DH139"/>
    <mergeCell ref="DE140:DH140"/>
    <mergeCell ref="DE141:DH141"/>
    <mergeCell ref="DE142:DH142"/>
    <mergeCell ref="DE143:DH143"/>
    <mergeCell ref="DE144:DH144"/>
    <mergeCell ref="DE145:DH145"/>
    <mergeCell ref="DE146:DH146"/>
    <mergeCell ref="DE147:DH147"/>
    <mergeCell ref="DE148:DH148"/>
    <mergeCell ref="DE149:DH149"/>
    <mergeCell ref="DE150:DH150"/>
    <mergeCell ref="DE151:DH151"/>
    <mergeCell ref="DE152:DH152"/>
    <mergeCell ref="DE153:DH153"/>
    <mergeCell ref="DE154:DH154"/>
    <mergeCell ref="DE155:DH155"/>
    <mergeCell ref="DE156:DH156"/>
    <mergeCell ref="DE157:DH157"/>
    <mergeCell ref="DE158:DH158"/>
    <mergeCell ref="DE159:DH159"/>
    <mergeCell ref="DE160:DH160"/>
    <mergeCell ref="CX202:DA202"/>
    <mergeCell ref="CX203:DA203"/>
    <mergeCell ref="CX204:DA204"/>
    <mergeCell ref="CX205:DA205"/>
    <mergeCell ref="CX206:DA206"/>
    <mergeCell ref="CX207:DA207"/>
    <mergeCell ref="CX208:DA208"/>
    <mergeCell ref="CX209:DA209"/>
    <mergeCell ref="CX210:DA210"/>
    <mergeCell ref="CX211:DA211"/>
    <mergeCell ref="CX212:DA212"/>
    <mergeCell ref="CX213:DA213"/>
    <mergeCell ref="DE17:DH17"/>
    <mergeCell ref="DE18:DH18"/>
    <mergeCell ref="DE19:DH19"/>
    <mergeCell ref="DE20:DH20"/>
    <mergeCell ref="DE21:DH21"/>
    <mergeCell ref="DE22:DH22"/>
    <mergeCell ref="DE23:DH23"/>
    <mergeCell ref="DE24:DH24"/>
    <mergeCell ref="DE25:DH25"/>
    <mergeCell ref="DE26:DH26"/>
    <mergeCell ref="DE27:DH27"/>
    <mergeCell ref="DE28:DH28"/>
    <mergeCell ref="DE29:DH29"/>
    <mergeCell ref="DE30:DH30"/>
    <mergeCell ref="DE31:DH31"/>
    <mergeCell ref="DE32:DH32"/>
    <mergeCell ref="DE33:DH33"/>
    <mergeCell ref="DE34:DH34"/>
    <mergeCell ref="DE35:DH35"/>
    <mergeCell ref="DE36:DH36"/>
    <mergeCell ref="DE37:DH37"/>
    <mergeCell ref="DE38:DH38"/>
    <mergeCell ref="DE39:DH39"/>
    <mergeCell ref="DE40:DH40"/>
    <mergeCell ref="DE41:DH41"/>
    <mergeCell ref="DE42:DH42"/>
    <mergeCell ref="DE54:DH54"/>
    <mergeCell ref="DE55:DH55"/>
    <mergeCell ref="DE56:DH56"/>
    <mergeCell ref="DE57:DH57"/>
    <mergeCell ref="DE58:DH58"/>
    <mergeCell ref="DE59:DH59"/>
    <mergeCell ref="DE60:DH60"/>
    <mergeCell ref="DE109:DH109"/>
    <mergeCell ref="DE110:DH110"/>
    <mergeCell ref="DE111:DH111"/>
    <mergeCell ref="DE112:DH112"/>
    <mergeCell ref="DE113:DH113"/>
    <mergeCell ref="DE114:DH114"/>
    <mergeCell ref="DE115:DH115"/>
    <mergeCell ref="DE116:DH116"/>
    <mergeCell ref="DE117:DH117"/>
    <mergeCell ref="DE118:DH118"/>
    <mergeCell ref="DE119:DH119"/>
    <mergeCell ref="DE120:DH120"/>
    <mergeCell ref="DE121:DH121"/>
    <mergeCell ref="DE122:DH122"/>
    <mergeCell ref="DE123:DH123"/>
    <mergeCell ref="DE124:DH124"/>
    <mergeCell ref="DE125:DH125"/>
    <mergeCell ref="DE126:DH126"/>
    <mergeCell ref="DE127:DH127"/>
    <mergeCell ref="CX160:DA160"/>
    <mergeCell ref="CX161:DA161"/>
    <mergeCell ref="CX162:DA162"/>
    <mergeCell ref="CX163:DA163"/>
    <mergeCell ref="CX164:DA164"/>
    <mergeCell ref="CX165:DA165"/>
    <mergeCell ref="CX166:DA166"/>
    <mergeCell ref="CX167:DA167"/>
    <mergeCell ref="CX168:DA168"/>
    <mergeCell ref="CX169:DA169"/>
    <mergeCell ref="CX170:DA170"/>
    <mergeCell ref="CX171:DA171"/>
    <mergeCell ref="CX172:DA172"/>
    <mergeCell ref="CX173:DA173"/>
    <mergeCell ref="CX174:DA174"/>
    <mergeCell ref="CX181:DA181"/>
    <mergeCell ref="CX182:DA182"/>
    <mergeCell ref="CX183:DA183"/>
    <mergeCell ref="CX184:DA184"/>
    <mergeCell ref="CX185:DA185"/>
    <mergeCell ref="CX186:DA186"/>
    <mergeCell ref="CX187:DA187"/>
    <mergeCell ref="CX188:DA188"/>
    <mergeCell ref="CX189:DA189"/>
    <mergeCell ref="CX190:DA190"/>
    <mergeCell ref="CX191:DA191"/>
    <mergeCell ref="CX192:DA192"/>
    <mergeCell ref="CX193:DA193"/>
    <mergeCell ref="CX194:DA194"/>
    <mergeCell ref="CX195:DA195"/>
    <mergeCell ref="CX196:DA196"/>
    <mergeCell ref="CX197:DA197"/>
    <mergeCell ref="CX198:DA198"/>
    <mergeCell ref="CX111:DA111"/>
    <mergeCell ref="CX112:DA112"/>
    <mergeCell ref="CX113:DA113"/>
    <mergeCell ref="CX114:DA114"/>
    <mergeCell ref="CX115:DA115"/>
    <mergeCell ref="CX116:DA116"/>
    <mergeCell ref="CX117:DA117"/>
    <mergeCell ref="CX118:DA118"/>
    <mergeCell ref="CX119:DA119"/>
    <mergeCell ref="CX120:DA120"/>
    <mergeCell ref="CX121:DA121"/>
    <mergeCell ref="CX122:DA122"/>
    <mergeCell ref="CX123:DA123"/>
    <mergeCell ref="CX124:DA124"/>
    <mergeCell ref="CX125:DA125"/>
    <mergeCell ref="CX126:DA126"/>
    <mergeCell ref="CX127:DA127"/>
    <mergeCell ref="CX128:DA128"/>
    <mergeCell ref="CX129:DA129"/>
    <mergeCell ref="CX130:DA130"/>
    <mergeCell ref="CX131:DA131"/>
    <mergeCell ref="CX132:DA132"/>
    <mergeCell ref="CX133:DA133"/>
    <mergeCell ref="CX134:DA134"/>
    <mergeCell ref="CX135:DA135"/>
    <mergeCell ref="CX136:DA136"/>
    <mergeCell ref="CX137:DA137"/>
    <mergeCell ref="CX138:DA138"/>
    <mergeCell ref="CX139:DA139"/>
    <mergeCell ref="CX140:DA140"/>
    <mergeCell ref="CX141:DA141"/>
    <mergeCell ref="CX142:DA142"/>
    <mergeCell ref="CX143:DA143"/>
    <mergeCell ref="CQ195:CT195"/>
    <mergeCell ref="CQ196:CT196"/>
    <mergeCell ref="CQ197:CT197"/>
    <mergeCell ref="CQ198:CT198"/>
    <mergeCell ref="CQ199:CT199"/>
    <mergeCell ref="CQ200:CT200"/>
    <mergeCell ref="CQ201:CT201"/>
    <mergeCell ref="CQ202:CT202"/>
    <mergeCell ref="CQ203:CT203"/>
    <mergeCell ref="CQ204:CT204"/>
    <mergeCell ref="CQ205:CT205"/>
    <mergeCell ref="CQ206:CT206"/>
    <mergeCell ref="CQ207:CT207"/>
    <mergeCell ref="CQ208:CT208"/>
    <mergeCell ref="CQ209:CT209"/>
    <mergeCell ref="CQ210:CT210"/>
    <mergeCell ref="CQ211:CT211"/>
    <mergeCell ref="CQ212:CT212"/>
    <mergeCell ref="CQ213:CT213"/>
    <mergeCell ref="CQ214:CT214"/>
    <mergeCell ref="CQ215:CT215"/>
    <mergeCell ref="CQ216:CT216"/>
    <mergeCell ref="CX11:DA11"/>
    <mergeCell ref="CX12:DA12"/>
    <mergeCell ref="CX13:DA13"/>
    <mergeCell ref="CX14:DA14"/>
    <mergeCell ref="CX15:DA15"/>
    <mergeCell ref="CX16:DA16"/>
    <mergeCell ref="CX17:DA17"/>
    <mergeCell ref="CX18:DA18"/>
    <mergeCell ref="CX19:DA19"/>
    <mergeCell ref="CX20:DA20"/>
    <mergeCell ref="CX21:DA21"/>
    <mergeCell ref="CX22:DA22"/>
    <mergeCell ref="CX23:DA23"/>
    <mergeCell ref="CX24:DA24"/>
    <mergeCell ref="CX25:DA25"/>
    <mergeCell ref="CX26:DA26"/>
    <mergeCell ref="CX27:DA27"/>
    <mergeCell ref="CX28:DA28"/>
    <mergeCell ref="CX29:DA29"/>
    <mergeCell ref="CX30:DA30"/>
    <mergeCell ref="CX31:DA31"/>
    <mergeCell ref="CX32:DA32"/>
    <mergeCell ref="CX33:DA33"/>
    <mergeCell ref="CX34:DA34"/>
    <mergeCell ref="CX35:DA35"/>
    <mergeCell ref="CX36:DA36"/>
    <mergeCell ref="CX37:DA37"/>
    <mergeCell ref="CX38:DA38"/>
    <mergeCell ref="CX39:DA39"/>
    <mergeCell ref="CX40:DA40"/>
    <mergeCell ref="CX41:DA41"/>
    <mergeCell ref="CX42:DA42"/>
    <mergeCell ref="CX54:DA54"/>
    <mergeCell ref="CX55:DA55"/>
    <mergeCell ref="CX56:DA56"/>
    <mergeCell ref="CX57:DA57"/>
    <mergeCell ref="CX58:DA58"/>
    <mergeCell ref="CX59:DA59"/>
    <mergeCell ref="CX60:DA60"/>
    <mergeCell ref="CX61:DA61"/>
    <mergeCell ref="CX109:DA109"/>
    <mergeCell ref="CX110:DA110"/>
    <mergeCell ref="CQ162:CT162"/>
    <mergeCell ref="CQ163:CT163"/>
    <mergeCell ref="CQ164:CT164"/>
    <mergeCell ref="CQ165:CT165"/>
    <mergeCell ref="CQ166:CT166"/>
    <mergeCell ref="CQ167:CT167"/>
    <mergeCell ref="CQ168:CT168"/>
    <mergeCell ref="CQ169:CT169"/>
    <mergeCell ref="CQ170:CT170"/>
    <mergeCell ref="CQ171:CT171"/>
    <mergeCell ref="CQ172:CT172"/>
    <mergeCell ref="CQ173:CT173"/>
    <mergeCell ref="CQ174:CT174"/>
    <mergeCell ref="CQ175:CT175"/>
    <mergeCell ref="CQ176:CT176"/>
    <mergeCell ref="CQ177:CT177"/>
    <mergeCell ref="CQ178:CT178"/>
    <mergeCell ref="CQ179:CT179"/>
    <mergeCell ref="CQ180:CT180"/>
    <mergeCell ref="CQ181:CT181"/>
    <mergeCell ref="CQ182:CT182"/>
    <mergeCell ref="CQ183:CT183"/>
    <mergeCell ref="CQ184:CT184"/>
    <mergeCell ref="CQ185:CT185"/>
    <mergeCell ref="CQ186:CT186"/>
    <mergeCell ref="CQ187:CT187"/>
    <mergeCell ref="CQ188:CT188"/>
    <mergeCell ref="CQ189:CT189"/>
    <mergeCell ref="CQ190:CT190"/>
    <mergeCell ref="CQ191:CT191"/>
    <mergeCell ref="CQ192:CT192"/>
    <mergeCell ref="CQ193:CT193"/>
    <mergeCell ref="CQ194:CT194"/>
    <mergeCell ref="CQ111:CT111"/>
    <mergeCell ref="CQ112:CT112"/>
    <mergeCell ref="CQ113:CT113"/>
    <mergeCell ref="CQ114:CT114"/>
    <mergeCell ref="CQ115:CT115"/>
    <mergeCell ref="CQ116:CT116"/>
    <mergeCell ref="CQ117:CT117"/>
    <mergeCell ref="CQ118:CT118"/>
    <mergeCell ref="CQ119:CT119"/>
    <mergeCell ref="CQ120:CT120"/>
    <mergeCell ref="CQ121:CT121"/>
    <mergeCell ref="CQ122:CT122"/>
    <mergeCell ref="CQ123:CT123"/>
    <mergeCell ref="CQ124:CT124"/>
    <mergeCell ref="CQ125:CT125"/>
    <mergeCell ref="CQ126:CT126"/>
    <mergeCell ref="CQ127:CT127"/>
    <mergeCell ref="CQ128:CT128"/>
    <mergeCell ref="CQ129:CT129"/>
    <mergeCell ref="CQ130:CT130"/>
    <mergeCell ref="CQ131:CT131"/>
    <mergeCell ref="CQ132:CT132"/>
    <mergeCell ref="CQ133:CT133"/>
    <mergeCell ref="CQ134:CT134"/>
    <mergeCell ref="CQ135:CT135"/>
    <mergeCell ref="CQ136:CT136"/>
    <mergeCell ref="CQ137:CT137"/>
    <mergeCell ref="CQ138:CT138"/>
    <mergeCell ref="CQ139:CT139"/>
    <mergeCell ref="CQ140:CT140"/>
    <mergeCell ref="CQ141:CT141"/>
    <mergeCell ref="CQ160:CT160"/>
    <mergeCell ref="CQ161:CT161"/>
    <mergeCell ref="CJ195:CM195"/>
    <mergeCell ref="CJ196:CM196"/>
    <mergeCell ref="CJ197:CM197"/>
    <mergeCell ref="CJ198:CM198"/>
    <mergeCell ref="CJ199:CM199"/>
    <mergeCell ref="CJ200:CM200"/>
    <mergeCell ref="CJ201:CM201"/>
    <mergeCell ref="CJ202:CM202"/>
    <mergeCell ref="CJ203:CM203"/>
    <mergeCell ref="CJ204:CM204"/>
    <mergeCell ref="CJ205:CM205"/>
    <mergeCell ref="CJ206:CM206"/>
    <mergeCell ref="CJ207:CM207"/>
    <mergeCell ref="CJ208:CM208"/>
    <mergeCell ref="CJ209:CM209"/>
    <mergeCell ref="CJ210:CM210"/>
    <mergeCell ref="CJ211:CM211"/>
    <mergeCell ref="CJ212:CM212"/>
    <mergeCell ref="CJ213:CM213"/>
    <mergeCell ref="CJ214:CM214"/>
    <mergeCell ref="CJ215:CM215"/>
    <mergeCell ref="CJ216:CM216"/>
    <mergeCell ref="CQ11:CT11"/>
    <mergeCell ref="CQ12:CT12"/>
    <mergeCell ref="CQ13:CT13"/>
    <mergeCell ref="CQ14:CT14"/>
    <mergeCell ref="CQ15:CT15"/>
    <mergeCell ref="CQ16:CT16"/>
    <mergeCell ref="CQ17:CT17"/>
    <mergeCell ref="CQ18:CT18"/>
    <mergeCell ref="CQ19:CT19"/>
    <mergeCell ref="CQ20:CT20"/>
    <mergeCell ref="CQ21:CT21"/>
    <mergeCell ref="CQ22:CT22"/>
    <mergeCell ref="CQ23:CT23"/>
    <mergeCell ref="CQ24:CT24"/>
    <mergeCell ref="CQ25:CT25"/>
    <mergeCell ref="CQ26:CT26"/>
    <mergeCell ref="CQ27:CT27"/>
    <mergeCell ref="CQ28:CT28"/>
    <mergeCell ref="CQ29:CT29"/>
    <mergeCell ref="CQ30:CT30"/>
    <mergeCell ref="CQ31:CT31"/>
    <mergeCell ref="CQ32:CT32"/>
    <mergeCell ref="CQ33:CT33"/>
    <mergeCell ref="CQ34:CT34"/>
    <mergeCell ref="CQ35:CT35"/>
    <mergeCell ref="CQ36:CT36"/>
    <mergeCell ref="CQ37:CT37"/>
    <mergeCell ref="CQ38:CT38"/>
    <mergeCell ref="CQ39:CT39"/>
    <mergeCell ref="CQ40:CT40"/>
    <mergeCell ref="CQ41:CT41"/>
    <mergeCell ref="CQ42:CT42"/>
    <mergeCell ref="CQ54:CT54"/>
    <mergeCell ref="CQ55:CT55"/>
    <mergeCell ref="CQ56:CT56"/>
    <mergeCell ref="CQ57:CT57"/>
    <mergeCell ref="CQ58:CT58"/>
    <mergeCell ref="CQ59:CT59"/>
    <mergeCell ref="CQ60:CT60"/>
    <mergeCell ref="CQ61:CT61"/>
    <mergeCell ref="CQ109:CT109"/>
    <mergeCell ref="CQ110:CT110"/>
    <mergeCell ref="CJ162:CM162"/>
    <mergeCell ref="CJ163:CM163"/>
    <mergeCell ref="CJ164:CM164"/>
    <mergeCell ref="CJ165:CM165"/>
    <mergeCell ref="CJ166:CM166"/>
    <mergeCell ref="CJ167:CM167"/>
    <mergeCell ref="CJ168:CM168"/>
    <mergeCell ref="CJ169:CM169"/>
    <mergeCell ref="CJ170:CM170"/>
    <mergeCell ref="CJ171:CM171"/>
    <mergeCell ref="CJ172:CM172"/>
    <mergeCell ref="CJ173:CM173"/>
    <mergeCell ref="CJ174:CM174"/>
    <mergeCell ref="CJ175:CM175"/>
    <mergeCell ref="CJ176:CM176"/>
    <mergeCell ref="CJ177:CM177"/>
    <mergeCell ref="CJ178:CM178"/>
    <mergeCell ref="CJ179:CM179"/>
    <mergeCell ref="CJ180:CM180"/>
    <mergeCell ref="CJ181:CM181"/>
    <mergeCell ref="CJ182:CM182"/>
    <mergeCell ref="CJ183:CM183"/>
    <mergeCell ref="CJ184:CM184"/>
    <mergeCell ref="CJ185:CM185"/>
    <mergeCell ref="CJ186:CM186"/>
    <mergeCell ref="CJ187:CM187"/>
    <mergeCell ref="CJ188:CM188"/>
    <mergeCell ref="CJ189:CM189"/>
    <mergeCell ref="CJ190:CM190"/>
    <mergeCell ref="CJ191:CM191"/>
    <mergeCell ref="CJ192:CM192"/>
    <mergeCell ref="CJ193:CM193"/>
    <mergeCell ref="CJ194:CM194"/>
    <mergeCell ref="CC195:CF195"/>
    <mergeCell ref="CC196:CF196"/>
    <mergeCell ref="CC197:CF197"/>
    <mergeCell ref="CC198:CF198"/>
    <mergeCell ref="CC199:CF199"/>
    <mergeCell ref="CC200:CF200"/>
    <mergeCell ref="CC201:CF201"/>
    <mergeCell ref="CC202:CF202"/>
    <mergeCell ref="CC203:CF203"/>
    <mergeCell ref="CC204:CF204"/>
    <mergeCell ref="CC205:CF205"/>
    <mergeCell ref="CC206:CF206"/>
    <mergeCell ref="CC207:CF207"/>
    <mergeCell ref="CC208:CF208"/>
    <mergeCell ref="CC209:CF209"/>
    <mergeCell ref="CC210:CF210"/>
    <mergeCell ref="CC211:CF211"/>
    <mergeCell ref="CC212:CF212"/>
    <mergeCell ref="CC213:CF213"/>
    <mergeCell ref="CC214:CF214"/>
    <mergeCell ref="CC215:CF215"/>
    <mergeCell ref="CC216:CF216"/>
    <mergeCell ref="CJ11:CM11"/>
    <mergeCell ref="CJ12:CM12"/>
    <mergeCell ref="CJ13:CM13"/>
    <mergeCell ref="CJ14:CM14"/>
    <mergeCell ref="CJ15:CM15"/>
    <mergeCell ref="CJ16:CM16"/>
    <mergeCell ref="CJ17:CM17"/>
    <mergeCell ref="CJ18:CM18"/>
    <mergeCell ref="CJ19:CM19"/>
    <mergeCell ref="CJ20:CM20"/>
    <mergeCell ref="CJ21:CM21"/>
    <mergeCell ref="CJ22:CM22"/>
    <mergeCell ref="CJ23:CM23"/>
    <mergeCell ref="CJ24:CM24"/>
    <mergeCell ref="CJ25:CM25"/>
    <mergeCell ref="CJ26:CM26"/>
    <mergeCell ref="CJ27:CM27"/>
    <mergeCell ref="CJ28:CM28"/>
    <mergeCell ref="CJ29:CM29"/>
    <mergeCell ref="CJ30:CM30"/>
    <mergeCell ref="CJ31:CM31"/>
    <mergeCell ref="CJ32:CM32"/>
    <mergeCell ref="CJ33:CM33"/>
    <mergeCell ref="CJ34:CM34"/>
    <mergeCell ref="CJ35:CM35"/>
    <mergeCell ref="CJ36:CM36"/>
    <mergeCell ref="CJ37:CM37"/>
    <mergeCell ref="CJ38:CM38"/>
    <mergeCell ref="CJ39:CM39"/>
    <mergeCell ref="CJ40:CM40"/>
    <mergeCell ref="CJ41:CM41"/>
    <mergeCell ref="CJ42:CM42"/>
    <mergeCell ref="CJ54:CM54"/>
    <mergeCell ref="CJ55:CM55"/>
    <mergeCell ref="CJ56:CM56"/>
    <mergeCell ref="CJ57:CM57"/>
    <mergeCell ref="CJ58:CM58"/>
    <mergeCell ref="CJ59:CM59"/>
    <mergeCell ref="CJ60:CM60"/>
    <mergeCell ref="CJ61:CM61"/>
    <mergeCell ref="CJ160:CM160"/>
    <mergeCell ref="CJ161:CM161"/>
    <mergeCell ref="CC162:CF162"/>
    <mergeCell ref="CC163:CF163"/>
    <mergeCell ref="CC164:CF164"/>
    <mergeCell ref="CC165:CF165"/>
    <mergeCell ref="CC166:CF166"/>
    <mergeCell ref="CC167:CF167"/>
    <mergeCell ref="CC168:CF168"/>
    <mergeCell ref="CC169:CF169"/>
    <mergeCell ref="CC170:CF170"/>
    <mergeCell ref="CC171:CF171"/>
    <mergeCell ref="CC172:CF172"/>
    <mergeCell ref="CC173:CF173"/>
    <mergeCell ref="CC174:CF174"/>
    <mergeCell ref="CC175:CF175"/>
    <mergeCell ref="CC176:CF176"/>
    <mergeCell ref="CC177:CF177"/>
    <mergeCell ref="CC178:CF178"/>
    <mergeCell ref="CC179:CF179"/>
    <mergeCell ref="CC180:CF180"/>
    <mergeCell ref="CC181:CF181"/>
    <mergeCell ref="CC182:CF182"/>
    <mergeCell ref="CC183:CF183"/>
    <mergeCell ref="CC184:CF184"/>
    <mergeCell ref="CC185:CF185"/>
    <mergeCell ref="CC186:CF186"/>
    <mergeCell ref="CC187:CF187"/>
    <mergeCell ref="CC188:CF188"/>
    <mergeCell ref="CC189:CF189"/>
    <mergeCell ref="CC190:CF190"/>
    <mergeCell ref="CC191:CF191"/>
    <mergeCell ref="CC192:CF192"/>
    <mergeCell ref="CC193:CF193"/>
    <mergeCell ref="CC194:CF194"/>
    <mergeCell ref="BV195:BY195"/>
    <mergeCell ref="BV196:BY196"/>
    <mergeCell ref="BV197:BY197"/>
    <mergeCell ref="BV198:BY198"/>
    <mergeCell ref="BV199:BY199"/>
    <mergeCell ref="BV200:BY200"/>
    <mergeCell ref="BV201:BY201"/>
    <mergeCell ref="BV202:BY202"/>
    <mergeCell ref="BV203:BY203"/>
    <mergeCell ref="BV204:BY204"/>
    <mergeCell ref="BV205:BY205"/>
    <mergeCell ref="BV206:BY206"/>
    <mergeCell ref="BV207:BY207"/>
    <mergeCell ref="BV208:BY208"/>
    <mergeCell ref="BV209:BY209"/>
    <mergeCell ref="BV210:BY210"/>
    <mergeCell ref="BV211:BY211"/>
    <mergeCell ref="BV212:BY212"/>
    <mergeCell ref="BV213:BY213"/>
    <mergeCell ref="BV214:BY214"/>
    <mergeCell ref="BV215:BY215"/>
    <mergeCell ref="BV216:BY216"/>
    <mergeCell ref="CC11:CF11"/>
    <mergeCell ref="CC12:CF12"/>
    <mergeCell ref="CC13:CF13"/>
    <mergeCell ref="CC14:CF14"/>
    <mergeCell ref="CC15:CF15"/>
    <mergeCell ref="CC16:CF16"/>
    <mergeCell ref="CC17:CF17"/>
    <mergeCell ref="CC18:CF18"/>
    <mergeCell ref="CC19:CF19"/>
    <mergeCell ref="CC20:CF20"/>
    <mergeCell ref="CC21:CF21"/>
    <mergeCell ref="CC22:CF22"/>
    <mergeCell ref="CC23:CF23"/>
    <mergeCell ref="CC24:CF24"/>
    <mergeCell ref="CC25:CF25"/>
    <mergeCell ref="CC26:CF26"/>
    <mergeCell ref="CC27:CF27"/>
    <mergeCell ref="CC28:CF28"/>
    <mergeCell ref="CC29:CF29"/>
    <mergeCell ref="CC30:CF30"/>
    <mergeCell ref="CC31:CF31"/>
    <mergeCell ref="CC32:CF32"/>
    <mergeCell ref="CC33:CF33"/>
    <mergeCell ref="CC34:CF34"/>
    <mergeCell ref="CC35:CF35"/>
    <mergeCell ref="CC36:CF36"/>
    <mergeCell ref="CC37:CF37"/>
    <mergeCell ref="CC38:CF38"/>
    <mergeCell ref="CC39:CF39"/>
    <mergeCell ref="CC40:CF40"/>
    <mergeCell ref="CC41:CF41"/>
    <mergeCell ref="CC42:CF42"/>
    <mergeCell ref="CC54:CF54"/>
    <mergeCell ref="CC55:CF55"/>
    <mergeCell ref="CC56:CF56"/>
    <mergeCell ref="CC57:CF57"/>
    <mergeCell ref="CC58:CF58"/>
    <mergeCell ref="CC59:CF59"/>
    <mergeCell ref="CC60:CF60"/>
    <mergeCell ref="CC61:CF61"/>
    <mergeCell ref="CC160:CF160"/>
    <mergeCell ref="CC161:CF161"/>
    <mergeCell ref="BV162:BY162"/>
    <mergeCell ref="BV163:BY163"/>
    <mergeCell ref="BV164:BY164"/>
    <mergeCell ref="BV165:BY165"/>
    <mergeCell ref="BV166:BY166"/>
    <mergeCell ref="BV167:BY167"/>
    <mergeCell ref="BV168:BY168"/>
    <mergeCell ref="BV169:BY169"/>
    <mergeCell ref="BV170:BY170"/>
    <mergeCell ref="BV171:BY171"/>
    <mergeCell ref="BV172:BY172"/>
    <mergeCell ref="BV173:BY173"/>
    <mergeCell ref="BV174:BY174"/>
    <mergeCell ref="BV175:BY175"/>
    <mergeCell ref="BV176:BY176"/>
    <mergeCell ref="BV177:BY177"/>
    <mergeCell ref="BV178:BY178"/>
    <mergeCell ref="BV179:BY179"/>
    <mergeCell ref="BV180:BY180"/>
    <mergeCell ref="BV181:BY181"/>
    <mergeCell ref="BV182:BY182"/>
    <mergeCell ref="BV183:BY183"/>
    <mergeCell ref="BV184:BY184"/>
    <mergeCell ref="BV185:BY185"/>
    <mergeCell ref="BV186:BY186"/>
    <mergeCell ref="BV187:BY187"/>
    <mergeCell ref="BV188:BY188"/>
    <mergeCell ref="BV189:BY189"/>
    <mergeCell ref="BV190:BY190"/>
    <mergeCell ref="BV191:BY191"/>
    <mergeCell ref="BV192:BY192"/>
    <mergeCell ref="BV193:BY193"/>
    <mergeCell ref="BV194:BY194"/>
    <mergeCell ref="BO195:BR195"/>
    <mergeCell ref="BO196:BR196"/>
    <mergeCell ref="BO197:BR197"/>
    <mergeCell ref="BO198:BR198"/>
    <mergeCell ref="BO199:BR199"/>
    <mergeCell ref="BO200:BR200"/>
    <mergeCell ref="BO201:BR201"/>
    <mergeCell ref="BO202:BR202"/>
    <mergeCell ref="BO203:BR203"/>
    <mergeCell ref="BO204:BR204"/>
    <mergeCell ref="BO205:BR205"/>
    <mergeCell ref="BO206:BR206"/>
    <mergeCell ref="BO207:BR207"/>
    <mergeCell ref="BO208:BR208"/>
    <mergeCell ref="BO209:BR209"/>
    <mergeCell ref="BO210:BR210"/>
    <mergeCell ref="BO211:BR211"/>
    <mergeCell ref="BO212:BR212"/>
    <mergeCell ref="BO213:BR213"/>
    <mergeCell ref="BO214:BR214"/>
    <mergeCell ref="BO215:BR215"/>
    <mergeCell ref="BO216:BR216"/>
    <mergeCell ref="BV11:BY11"/>
    <mergeCell ref="BV12:BY12"/>
    <mergeCell ref="BV13:BY13"/>
    <mergeCell ref="BV14:BY14"/>
    <mergeCell ref="BV15:BY15"/>
    <mergeCell ref="BV16:BY16"/>
    <mergeCell ref="BV17:BY17"/>
    <mergeCell ref="BV18:BY18"/>
    <mergeCell ref="BV19:BY19"/>
    <mergeCell ref="BV20:BY20"/>
    <mergeCell ref="BV22:BY22"/>
    <mergeCell ref="BV23:BY23"/>
    <mergeCell ref="BV24:BY24"/>
    <mergeCell ref="BV25:BY25"/>
    <mergeCell ref="BV26:BY26"/>
    <mergeCell ref="BV27:BY27"/>
    <mergeCell ref="BV28:BY28"/>
    <mergeCell ref="BV29:BY29"/>
    <mergeCell ref="BV30:BY30"/>
    <mergeCell ref="BV31:BY31"/>
    <mergeCell ref="BV33:BY33"/>
    <mergeCell ref="BV34:BY34"/>
    <mergeCell ref="BV35:BY35"/>
    <mergeCell ref="BV36:BY36"/>
    <mergeCell ref="BV37:BY37"/>
    <mergeCell ref="BV38:BY38"/>
    <mergeCell ref="BV39:BY39"/>
    <mergeCell ref="BV40:BY40"/>
    <mergeCell ref="BV41:BY41"/>
    <mergeCell ref="BV42:BY42"/>
    <mergeCell ref="BV54:BY54"/>
    <mergeCell ref="BV55:BY55"/>
    <mergeCell ref="BV56:BY56"/>
    <mergeCell ref="BV57:BY57"/>
    <mergeCell ref="BV58:BY58"/>
    <mergeCell ref="BV59:BY59"/>
    <mergeCell ref="BV60:BY60"/>
    <mergeCell ref="BV61:BY61"/>
    <mergeCell ref="BO160:BR160"/>
    <mergeCell ref="BO161:BR161"/>
    <mergeCell ref="BV160:BY160"/>
    <mergeCell ref="BV161:BY161"/>
    <mergeCell ref="BO169:BR169"/>
    <mergeCell ref="BO170:BR170"/>
    <mergeCell ref="BO171:BR171"/>
    <mergeCell ref="BO172:BR172"/>
    <mergeCell ref="BO173:BR173"/>
    <mergeCell ref="BO174:BR174"/>
    <mergeCell ref="BO175:BR175"/>
    <mergeCell ref="BO176:BR176"/>
    <mergeCell ref="BO177:BR177"/>
    <mergeCell ref="BO178:BR178"/>
    <mergeCell ref="BO179:BR179"/>
    <mergeCell ref="BO180:BR180"/>
    <mergeCell ref="BO181:BR181"/>
    <mergeCell ref="BO182:BR182"/>
    <mergeCell ref="BO183:BR183"/>
    <mergeCell ref="BO184:BR184"/>
    <mergeCell ref="BO185:BR185"/>
    <mergeCell ref="BO186:BR186"/>
    <mergeCell ref="BO187:BR187"/>
    <mergeCell ref="BO188:BR188"/>
    <mergeCell ref="BO189:BR189"/>
    <mergeCell ref="BO190:BR190"/>
    <mergeCell ref="BO191:BR191"/>
    <mergeCell ref="BO192:BR192"/>
    <mergeCell ref="BH193:BK193"/>
    <mergeCell ref="BH194:BK194"/>
    <mergeCell ref="BH162:BK162"/>
    <mergeCell ref="BH163:BK163"/>
    <mergeCell ref="BH164:BK164"/>
    <mergeCell ref="BH165:BK165"/>
    <mergeCell ref="BH166:BK166"/>
    <mergeCell ref="BH167:BK167"/>
    <mergeCell ref="BH168:BK168"/>
    <mergeCell ref="BH169:BK169"/>
    <mergeCell ref="BH170:BK170"/>
    <mergeCell ref="BH171:BK171"/>
    <mergeCell ref="BH172:BK172"/>
    <mergeCell ref="BH173:BK173"/>
    <mergeCell ref="BH174:BK174"/>
    <mergeCell ref="BH175:BK175"/>
    <mergeCell ref="BH176:BK176"/>
    <mergeCell ref="BH177:BK177"/>
    <mergeCell ref="BH178:BK178"/>
    <mergeCell ref="BH179:BK179"/>
    <mergeCell ref="BH180:BK180"/>
    <mergeCell ref="BH181:BK181"/>
    <mergeCell ref="BH182:BK182"/>
    <mergeCell ref="BH183:BK183"/>
    <mergeCell ref="BH184:BK184"/>
    <mergeCell ref="BH185:BK185"/>
    <mergeCell ref="BH186:BK186"/>
    <mergeCell ref="BH187:BK187"/>
    <mergeCell ref="BH188:BK188"/>
    <mergeCell ref="BH189:BK189"/>
    <mergeCell ref="BH190:BK190"/>
    <mergeCell ref="BH191:BK191"/>
    <mergeCell ref="BH192:BK192"/>
    <mergeCell ref="BO193:BR193"/>
    <mergeCell ref="BO194:BR194"/>
    <mergeCell ref="BH202:BK202"/>
    <mergeCell ref="BH203:BK203"/>
    <mergeCell ref="BH204:BK204"/>
    <mergeCell ref="BH205:BK205"/>
    <mergeCell ref="BH206:BK206"/>
    <mergeCell ref="BH207:BK207"/>
    <mergeCell ref="BH208:BK208"/>
    <mergeCell ref="BH209:BK209"/>
    <mergeCell ref="BH210:BK210"/>
    <mergeCell ref="BH211:BK211"/>
    <mergeCell ref="BH212:BK212"/>
    <mergeCell ref="BH213:BK213"/>
    <mergeCell ref="BH214:BK214"/>
    <mergeCell ref="BH215:BK215"/>
    <mergeCell ref="BH216:BK216"/>
    <mergeCell ref="BO21:BR21"/>
    <mergeCell ref="BO22:BR22"/>
    <mergeCell ref="BO23:BR23"/>
    <mergeCell ref="BO24:BR24"/>
    <mergeCell ref="BO25:BR25"/>
    <mergeCell ref="BO26:BR26"/>
    <mergeCell ref="BO27:BR27"/>
    <mergeCell ref="BO28:BR28"/>
    <mergeCell ref="BO29:BR29"/>
    <mergeCell ref="BO30:BR30"/>
    <mergeCell ref="BO31:BR31"/>
    <mergeCell ref="BO32:BR32"/>
    <mergeCell ref="BO33:BR33"/>
    <mergeCell ref="BO34:BR34"/>
    <mergeCell ref="BO35:BR35"/>
    <mergeCell ref="BO36:BR36"/>
    <mergeCell ref="BO37:BR37"/>
    <mergeCell ref="BO38:BR38"/>
    <mergeCell ref="BO39:BR39"/>
    <mergeCell ref="BO40:BR40"/>
    <mergeCell ref="BO41:BR41"/>
    <mergeCell ref="BO42:BR42"/>
    <mergeCell ref="BO54:BR54"/>
    <mergeCell ref="BO55:BR55"/>
    <mergeCell ref="BO56:BR56"/>
    <mergeCell ref="BO57:BR57"/>
    <mergeCell ref="BO58:BR58"/>
    <mergeCell ref="BO59:BR59"/>
    <mergeCell ref="BO60:BR60"/>
    <mergeCell ref="BO61:BR61"/>
    <mergeCell ref="BO62:BR62"/>
    <mergeCell ref="BO63:BR63"/>
    <mergeCell ref="BO64:BR64"/>
    <mergeCell ref="BO65:BR65"/>
    <mergeCell ref="BO66:BR66"/>
    <mergeCell ref="BO67:BR67"/>
    <mergeCell ref="BO68:BR68"/>
    <mergeCell ref="BO69:BR69"/>
    <mergeCell ref="BO70:BR70"/>
    <mergeCell ref="BO71:BR71"/>
    <mergeCell ref="BH160:BK160"/>
    <mergeCell ref="BH161:BK161"/>
    <mergeCell ref="BO162:BR162"/>
    <mergeCell ref="BO163:BR163"/>
    <mergeCell ref="BO164:BR164"/>
    <mergeCell ref="BO165:BR165"/>
    <mergeCell ref="BO166:BR166"/>
    <mergeCell ref="BO167:BR167"/>
    <mergeCell ref="BO168:BR168"/>
    <mergeCell ref="BA195:BD195"/>
    <mergeCell ref="BA196:BD196"/>
    <mergeCell ref="BA197:BD197"/>
    <mergeCell ref="BA198:BD198"/>
    <mergeCell ref="BA199:BD199"/>
    <mergeCell ref="BA200:BD200"/>
    <mergeCell ref="BA201:BD201"/>
    <mergeCell ref="BA202:BD202"/>
    <mergeCell ref="BA203:BD203"/>
    <mergeCell ref="BA204:BD204"/>
    <mergeCell ref="BA205:BD205"/>
    <mergeCell ref="BA206:BD206"/>
    <mergeCell ref="BA207:BD207"/>
    <mergeCell ref="BA208:BD208"/>
    <mergeCell ref="BA209:BD209"/>
    <mergeCell ref="BA210:BD210"/>
    <mergeCell ref="BA211:BD211"/>
    <mergeCell ref="BA212:BD212"/>
    <mergeCell ref="BA213:BD213"/>
    <mergeCell ref="BA214:BD214"/>
    <mergeCell ref="BA215:BD215"/>
    <mergeCell ref="BA216:BD216"/>
    <mergeCell ref="BH21:BK21"/>
    <mergeCell ref="BH22:BK22"/>
    <mergeCell ref="BH23:BK23"/>
    <mergeCell ref="BH24:BK24"/>
    <mergeCell ref="BH25:BK25"/>
    <mergeCell ref="BH26:BK26"/>
    <mergeCell ref="BH27:BK27"/>
    <mergeCell ref="BH28:BK28"/>
    <mergeCell ref="BH29:BK29"/>
    <mergeCell ref="BH30:BK30"/>
    <mergeCell ref="BH31:BK31"/>
    <mergeCell ref="BH32:BK32"/>
    <mergeCell ref="BH33:BK33"/>
    <mergeCell ref="BH34:BK34"/>
    <mergeCell ref="BH35:BK35"/>
    <mergeCell ref="BH36:BK36"/>
    <mergeCell ref="BH37:BK37"/>
    <mergeCell ref="BH38:BK38"/>
    <mergeCell ref="BH39:BK39"/>
    <mergeCell ref="BH40:BK40"/>
    <mergeCell ref="BH41:BK41"/>
    <mergeCell ref="BH42:BK42"/>
    <mergeCell ref="BH54:BK54"/>
    <mergeCell ref="BH55:BK55"/>
    <mergeCell ref="BH56:BK56"/>
    <mergeCell ref="BH57:BK57"/>
    <mergeCell ref="BH58:BK58"/>
    <mergeCell ref="BH59:BK59"/>
    <mergeCell ref="BH60:BK60"/>
    <mergeCell ref="BH61:BK61"/>
    <mergeCell ref="BH62:BK62"/>
    <mergeCell ref="BH63:BK63"/>
    <mergeCell ref="BH64:BK64"/>
    <mergeCell ref="BH65:BK65"/>
    <mergeCell ref="BH66:BK66"/>
    <mergeCell ref="BH67:BK67"/>
    <mergeCell ref="BH68:BK68"/>
    <mergeCell ref="BH69:BK69"/>
    <mergeCell ref="BH70:BK70"/>
    <mergeCell ref="BH71:BK71"/>
    <mergeCell ref="BH195:BK195"/>
    <mergeCell ref="BH196:BK196"/>
    <mergeCell ref="BA162:BD162"/>
    <mergeCell ref="BA163:BD163"/>
    <mergeCell ref="BA164:BD164"/>
    <mergeCell ref="BA165:BD165"/>
    <mergeCell ref="BA166:BD166"/>
    <mergeCell ref="BA167:BD167"/>
    <mergeCell ref="BA168:BD168"/>
    <mergeCell ref="BA169:BD169"/>
    <mergeCell ref="BA170:BD170"/>
    <mergeCell ref="BA171:BD171"/>
    <mergeCell ref="BA172:BD172"/>
    <mergeCell ref="BA173:BD173"/>
    <mergeCell ref="BA174:BD174"/>
    <mergeCell ref="BA175:BD175"/>
    <mergeCell ref="BA176:BD176"/>
    <mergeCell ref="BA177:BD177"/>
    <mergeCell ref="BA178:BD178"/>
    <mergeCell ref="BA179:BD179"/>
    <mergeCell ref="BA180:BD180"/>
    <mergeCell ref="BA181:BD181"/>
    <mergeCell ref="BA182:BD182"/>
    <mergeCell ref="BA183:BD183"/>
    <mergeCell ref="BA184:BD184"/>
    <mergeCell ref="BA185:BD185"/>
    <mergeCell ref="BA186:BD186"/>
    <mergeCell ref="BA187:BD187"/>
    <mergeCell ref="BA188:BD188"/>
    <mergeCell ref="BA189:BD189"/>
    <mergeCell ref="BA190:BD190"/>
    <mergeCell ref="BA191:BD191"/>
    <mergeCell ref="BA192:BD192"/>
    <mergeCell ref="BA193:BD193"/>
    <mergeCell ref="BA194:BD194"/>
    <mergeCell ref="AT204:AW204"/>
    <mergeCell ref="AT205:AW205"/>
    <mergeCell ref="AT206:AW206"/>
    <mergeCell ref="AT207:AW207"/>
    <mergeCell ref="AT208:AW208"/>
    <mergeCell ref="AT209:AW209"/>
    <mergeCell ref="AT210:AW210"/>
    <mergeCell ref="AT211:AW211"/>
    <mergeCell ref="AT212:AW212"/>
    <mergeCell ref="AT213:AW213"/>
    <mergeCell ref="AT214:AW214"/>
    <mergeCell ref="AT215:AW215"/>
    <mergeCell ref="AT216:AW216"/>
    <mergeCell ref="BA21:BD21"/>
    <mergeCell ref="BA22:BD22"/>
    <mergeCell ref="BA23:BD23"/>
    <mergeCell ref="BA24:BD24"/>
    <mergeCell ref="BA25:BD25"/>
    <mergeCell ref="BA26:BD26"/>
    <mergeCell ref="BA27:BD27"/>
    <mergeCell ref="BA28:BD28"/>
    <mergeCell ref="BA29:BD29"/>
    <mergeCell ref="BA30:BD30"/>
    <mergeCell ref="BA31:BD31"/>
    <mergeCell ref="BA32:BD32"/>
    <mergeCell ref="BA33:BD33"/>
    <mergeCell ref="BA34:BD34"/>
    <mergeCell ref="BA35:BD35"/>
    <mergeCell ref="BA36:BD36"/>
    <mergeCell ref="BA37:BD37"/>
    <mergeCell ref="BA38:BD38"/>
    <mergeCell ref="BA39:BD39"/>
    <mergeCell ref="BA40:BD40"/>
    <mergeCell ref="BA41:BD41"/>
    <mergeCell ref="BA42:BD42"/>
    <mergeCell ref="BA54:BD54"/>
    <mergeCell ref="BA55:BD55"/>
    <mergeCell ref="BA56:BD56"/>
    <mergeCell ref="BA57:BD57"/>
    <mergeCell ref="BA58:BD58"/>
    <mergeCell ref="BA59:BD59"/>
    <mergeCell ref="BA60:BD60"/>
    <mergeCell ref="BA61:BD61"/>
    <mergeCell ref="BA62:BD62"/>
    <mergeCell ref="BA63:BD63"/>
    <mergeCell ref="BA64:BD64"/>
    <mergeCell ref="BA65:BD65"/>
    <mergeCell ref="BA66:BD66"/>
    <mergeCell ref="BA67:BD67"/>
    <mergeCell ref="BA68:BD68"/>
    <mergeCell ref="BA69:BD69"/>
    <mergeCell ref="BA70:BD70"/>
    <mergeCell ref="BA71:BD71"/>
    <mergeCell ref="BA72:BD72"/>
    <mergeCell ref="BA73:BD73"/>
    <mergeCell ref="BA74:BD74"/>
    <mergeCell ref="BA75:BD75"/>
    <mergeCell ref="BA76:BD76"/>
    <mergeCell ref="BA77:BD77"/>
    <mergeCell ref="BA78:BD78"/>
    <mergeCell ref="BA79:BD79"/>
    <mergeCell ref="BA80:BD80"/>
    <mergeCell ref="BA160:BD160"/>
    <mergeCell ref="BA161:BD161"/>
    <mergeCell ref="AT169:AW169"/>
    <mergeCell ref="AT170:AW170"/>
    <mergeCell ref="AT171:AW171"/>
    <mergeCell ref="AT172:AW172"/>
    <mergeCell ref="AT173:AW173"/>
    <mergeCell ref="AT174:AW174"/>
    <mergeCell ref="AT175:AW175"/>
    <mergeCell ref="AT176:AW176"/>
    <mergeCell ref="AT177:AW177"/>
    <mergeCell ref="AT178:AW178"/>
    <mergeCell ref="AT179:AW179"/>
    <mergeCell ref="AT180:AW180"/>
    <mergeCell ref="AT181:AW181"/>
    <mergeCell ref="AT182:AW182"/>
    <mergeCell ref="AT183:AW183"/>
    <mergeCell ref="AT184:AW184"/>
    <mergeCell ref="AT185:AW185"/>
    <mergeCell ref="AT186:AW186"/>
    <mergeCell ref="AT187:AW187"/>
    <mergeCell ref="AT188:AW188"/>
    <mergeCell ref="AT189:AW189"/>
    <mergeCell ref="AT190:AW190"/>
    <mergeCell ref="AT191:AW191"/>
    <mergeCell ref="AT192:AW192"/>
    <mergeCell ref="AT193:AW193"/>
    <mergeCell ref="AT194:AW194"/>
    <mergeCell ref="AT195:AW195"/>
    <mergeCell ref="AT196:AW196"/>
    <mergeCell ref="AT197:AW197"/>
    <mergeCell ref="AT198:AW198"/>
    <mergeCell ref="AT199:AW199"/>
    <mergeCell ref="AT202:AW202"/>
    <mergeCell ref="AT203:AW203"/>
    <mergeCell ref="AT136:AW136"/>
    <mergeCell ref="AT137:AW137"/>
    <mergeCell ref="AT138:AW138"/>
    <mergeCell ref="AT139:AW139"/>
    <mergeCell ref="AT140:AW140"/>
    <mergeCell ref="AT141:AW141"/>
    <mergeCell ref="AT142:AW142"/>
    <mergeCell ref="AT143:AW143"/>
    <mergeCell ref="AT144:AW144"/>
    <mergeCell ref="AT145:AW145"/>
    <mergeCell ref="AT146:AW146"/>
    <mergeCell ref="AT147:AW147"/>
    <mergeCell ref="AT148:AW148"/>
    <mergeCell ref="AT149:AW149"/>
    <mergeCell ref="AT150:AW150"/>
    <mergeCell ref="AT151:AW151"/>
    <mergeCell ref="AT152:AW152"/>
    <mergeCell ref="AT153:AW153"/>
    <mergeCell ref="AT154:AW154"/>
    <mergeCell ref="AT155:AW155"/>
    <mergeCell ref="AT156:AW156"/>
    <mergeCell ref="AT157:AW157"/>
    <mergeCell ref="AT158:AW158"/>
    <mergeCell ref="AT159:AW159"/>
    <mergeCell ref="AT160:AW160"/>
    <mergeCell ref="AT161:AW161"/>
    <mergeCell ref="AT162:AW162"/>
    <mergeCell ref="AT163:AW163"/>
    <mergeCell ref="AT164:AW164"/>
    <mergeCell ref="AT165:AW165"/>
    <mergeCell ref="AT166:AW166"/>
    <mergeCell ref="AT167:AW167"/>
    <mergeCell ref="AT168:AW168"/>
    <mergeCell ref="AM204:AP204"/>
    <mergeCell ref="AM205:AP205"/>
    <mergeCell ref="AM206:AP206"/>
    <mergeCell ref="AM207:AP207"/>
    <mergeCell ref="AM208:AP208"/>
    <mergeCell ref="AM209:AP209"/>
    <mergeCell ref="AM210:AP210"/>
    <mergeCell ref="AM211:AP211"/>
    <mergeCell ref="AM212:AP212"/>
    <mergeCell ref="AM213:AP213"/>
    <mergeCell ref="AM214:AP214"/>
    <mergeCell ref="AM215:AP215"/>
    <mergeCell ref="AM216:AP216"/>
    <mergeCell ref="AT21:AW21"/>
    <mergeCell ref="AT22:AW22"/>
    <mergeCell ref="AT23:AW23"/>
    <mergeCell ref="AT24:AW24"/>
    <mergeCell ref="AT25:AW25"/>
    <mergeCell ref="AT26:AW26"/>
    <mergeCell ref="AT27:AW27"/>
    <mergeCell ref="AT28:AW28"/>
    <mergeCell ref="AT29:AW29"/>
    <mergeCell ref="AT30:AW30"/>
    <mergeCell ref="AT31:AW31"/>
    <mergeCell ref="AT32:AW32"/>
    <mergeCell ref="AT33:AW33"/>
    <mergeCell ref="AT34:AW34"/>
    <mergeCell ref="AT35:AW35"/>
    <mergeCell ref="AT36:AW36"/>
    <mergeCell ref="AT37:AW37"/>
    <mergeCell ref="AT38:AW38"/>
    <mergeCell ref="AT39:AW39"/>
    <mergeCell ref="AT40:AW40"/>
    <mergeCell ref="AT41:AW41"/>
    <mergeCell ref="AT42:AW42"/>
    <mergeCell ref="AT54:AW54"/>
    <mergeCell ref="AT55:AW55"/>
    <mergeCell ref="AT56:AW56"/>
    <mergeCell ref="AT57:AW57"/>
    <mergeCell ref="AT58:AW58"/>
    <mergeCell ref="AT59:AW59"/>
    <mergeCell ref="AT60:AW60"/>
    <mergeCell ref="AT61:AW61"/>
    <mergeCell ref="AT62:AW62"/>
    <mergeCell ref="AT63:AW63"/>
    <mergeCell ref="AT64:AW64"/>
    <mergeCell ref="AT65:AW65"/>
    <mergeCell ref="AT66:AW66"/>
    <mergeCell ref="AT67:AW67"/>
    <mergeCell ref="AT68:AW68"/>
    <mergeCell ref="AT69:AW69"/>
    <mergeCell ref="AT70:AW70"/>
    <mergeCell ref="AT71:AW71"/>
    <mergeCell ref="AT72:AW72"/>
    <mergeCell ref="AT73:AW73"/>
    <mergeCell ref="AT74:AW74"/>
    <mergeCell ref="AT75:AW75"/>
    <mergeCell ref="AT76:AW76"/>
    <mergeCell ref="AT77:AW77"/>
    <mergeCell ref="AT78:AW78"/>
    <mergeCell ref="AT79:AW79"/>
    <mergeCell ref="AT80:AW80"/>
    <mergeCell ref="AT134:AW134"/>
    <mergeCell ref="AT135:AW135"/>
    <mergeCell ref="AM169:AP169"/>
    <mergeCell ref="AM170:AP170"/>
    <mergeCell ref="AM171:AP171"/>
    <mergeCell ref="AM172:AP172"/>
    <mergeCell ref="AM173:AP173"/>
    <mergeCell ref="AM174:AP174"/>
    <mergeCell ref="AM175:AP175"/>
    <mergeCell ref="AM176:AP176"/>
    <mergeCell ref="AM177:AP177"/>
    <mergeCell ref="AM178:AP178"/>
    <mergeCell ref="AM179:AP179"/>
    <mergeCell ref="AM180:AP180"/>
    <mergeCell ref="AM181:AP181"/>
    <mergeCell ref="AM182:AP182"/>
    <mergeCell ref="AM183:AP183"/>
    <mergeCell ref="AM184:AP184"/>
    <mergeCell ref="AM185:AP185"/>
    <mergeCell ref="AM186:AP186"/>
    <mergeCell ref="AM187:AP187"/>
    <mergeCell ref="AM188:AP188"/>
    <mergeCell ref="AM189:AP189"/>
    <mergeCell ref="AM190:AP190"/>
    <mergeCell ref="AM191:AP191"/>
    <mergeCell ref="AM192:AP192"/>
    <mergeCell ref="AM193:AP193"/>
    <mergeCell ref="AM194:AP194"/>
    <mergeCell ref="AM195:AP195"/>
    <mergeCell ref="AM196:AP196"/>
    <mergeCell ref="AM197:AP197"/>
    <mergeCell ref="AM198:AP198"/>
    <mergeCell ref="AM199:AP199"/>
    <mergeCell ref="AM202:AP202"/>
    <mergeCell ref="AM203:AP203"/>
    <mergeCell ref="AM136:AP136"/>
    <mergeCell ref="AM137:AP137"/>
    <mergeCell ref="AM138:AP138"/>
    <mergeCell ref="AM139:AP139"/>
    <mergeCell ref="AM140:AP140"/>
    <mergeCell ref="AM141:AP141"/>
    <mergeCell ref="AM142:AP142"/>
    <mergeCell ref="AM143:AP143"/>
    <mergeCell ref="AM144:AP144"/>
    <mergeCell ref="AM145:AP145"/>
    <mergeCell ref="AM146:AP146"/>
    <mergeCell ref="AM147:AP147"/>
    <mergeCell ref="AM148:AP148"/>
    <mergeCell ref="AM149:AP149"/>
    <mergeCell ref="AM150:AP150"/>
    <mergeCell ref="AM151:AP151"/>
    <mergeCell ref="AM152:AP152"/>
    <mergeCell ref="AM153:AP153"/>
    <mergeCell ref="AM154:AP154"/>
    <mergeCell ref="AM155:AP155"/>
    <mergeCell ref="AM156:AP156"/>
    <mergeCell ref="AM157:AP157"/>
    <mergeCell ref="AM158:AP158"/>
    <mergeCell ref="AM159:AP159"/>
    <mergeCell ref="AM160:AP160"/>
    <mergeCell ref="AM161:AP161"/>
    <mergeCell ref="AM162:AP162"/>
    <mergeCell ref="AM163:AP163"/>
    <mergeCell ref="AM164:AP164"/>
    <mergeCell ref="AM165:AP165"/>
    <mergeCell ref="AM166:AP166"/>
    <mergeCell ref="AM167:AP167"/>
    <mergeCell ref="AM168:AP168"/>
    <mergeCell ref="AF204:AI204"/>
    <mergeCell ref="AF205:AI205"/>
    <mergeCell ref="AF206:AI206"/>
    <mergeCell ref="AF207:AI207"/>
    <mergeCell ref="AF208:AI208"/>
    <mergeCell ref="AF209:AI209"/>
    <mergeCell ref="AF210:AI210"/>
    <mergeCell ref="AF211:AI211"/>
    <mergeCell ref="AF212:AI212"/>
    <mergeCell ref="AF213:AI213"/>
    <mergeCell ref="AF214:AI214"/>
    <mergeCell ref="AF215:AI215"/>
    <mergeCell ref="AF216:AI216"/>
    <mergeCell ref="AM21:AP21"/>
    <mergeCell ref="AM22:AP22"/>
    <mergeCell ref="AM23:AP23"/>
    <mergeCell ref="AM24:AP24"/>
    <mergeCell ref="AM25:AP25"/>
    <mergeCell ref="AM26:AP26"/>
    <mergeCell ref="AM27:AP27"/>
    <mergeCell ref="AM28:AP28"/>
    <mergeCell ref="AM29:AP29"/>
    <mergeCell ref="AM30:AP30"/>
    <mergeCell ref="AM31:AP31"/>
    <mergeCell ref="AM32:AP32"/>
    <mergeCell ref="AM33:AP33"/>
    <mergeCell ref="AM34:AP34"/>
    <mergeCell ref="AM35:AP35"/>
    <mergeCell ref="AM36:AP36"/>
    <mergeCell ref="AM37:AP37"/>
    <mergeCell ref="AM38:AP38"/>
    <mergeCell ref="AM39:AP39"/>
    <mergeCell ref="AM40:AP40"/>
    <mergeCell ref="AM41:AP41"/>
    <mergeCell ref="AM42:AP42"/>
    <mergeCell ref="AM54:AP54"/>
    <mergeCell ref="AM55:AP55"/>
    <mergeCell ref="AM56:AP56"/>
    <mergeCell ref="AM57:AP57"/>
    <mergeCell ref="AM58:AP58"/>
    <mergeCell ref="AM59:AP59"/>
    <mergeCell ref="AM60:AP60"/>
    <mergeCell ref="AM61:AP61"/>
    <mergeCell ref="AM62:AP62"/>
    <mergeCell ref="AM63:AP63"/>
    <mergeCell ref="AM64:AP64"/>
    <mergeCell ref="AM65:AP65"/>
    <mergeCell ref="AM66:AP66"/>
    <mergeCell ref="AM67:AP67"/>
    <mergeCell ref="AM68:AP68"/>
    <mergeCell ref="AM69:AP69"/>
    <mergeCell ref="AM70:AP70"/>
    <mergeCell ref="AM71:AP71"/>
    <mergeCell ref="AM72:AP72"/>
    <mergeCell ref="AM73:AP73"/>
    <mergeCell ref="AM74:AP74"/>
    <mergeCell ref="AM75:AP75"/>
    <mergeCell ref="AM76:AP76"/>
    <mergeCell ref="AM77:AP77"/>
    <mergeCell ref="AM78:AP78"/>
    <mergeCell ref="AM79:AP79"/>
    <mergeCell ref="AM80:AP80"/>
    <mergeCell ref="AM134:AP134"/>
    <mergeCell ref="AM135:AP135"/>
    <mergeCell ref="AF169:AI169"/>
    <mergeCell ref="AF170:AI170"/>
    <mergeCell ref="AF171:AI171"/>
    <mergeCell ref="AF172:AI172"/>
    <mergeCell ref="AF173:AI173"/>
    <mergeCell ref="AF174:AI174"/>
    <mergeCell ref="AF175:AI175"/>
    <mergeCell ref="AF176:AI176"/>
    <mergeCell ref="AF177:AI177"/>
    <mergeCell ref="AF178:AI178"/>
    <mergeCell ref="AF179:AI179"/>
    <mergeCell ref="AF180:AI180"/>
    <mergeCell ref="AF181:AI181"/>
    <mergeCell ref="AF182:AI182"/>
    <mergeCell ref="AF183:AI183"/>
    <mergeCell ref="AF184:AI184"/>
    <mergeCell ref="AF185:AI185"/>
    <mergeCell ref="AF186:AI186"/>
    <mergeCell ref="AF187:AI187"/>
    <mergeCell ref="AF188:AI188"/>
    <mergeCell ref="AF189:AI189"/>
    <mergeCell ref="AF190:AI190"/>
    <mergeCell ref="AF191:AI191"/>
    <mergeCell ref="AF192:AI192"/>
    <mergeCell ref="AF193:AI193"/>
    <mergeCell ref="AF194:AI194"/>
    <mergeCell ref="AF195:AI195"/>
    <mergeCell ref="AF196:AI196"/>
    <mergeCell ref="AF197:AI197"/>
    <mergeCell ref="AF198:AI198"/>
    <mergeCell ref="AF199:AI199"/>
    <mergeCell ref="AF202:AI202"/>
    <mergeCell ref="AF203:AI203"/>
    <mergeCell ref="AF136:AI136"/>
    <mergeCell ref="AF137:AI137"/>
    <mergeCell ref="AF138:AI138"/>
    <mergeCell ref="AF139:AI139"/>
    <mergeCell ref="AF140:AI140"/>
    <mergeCell ref="AF141:AI141"/>
    <mergeCell ref="AF142:AI142"/>
    <mergeCell ref="AF143:AI143"/>
    <mergeCell ref="AF144:AI144"/>
    <mergeCell ref="AF145:AI145"/>
    <mergeCell ref="AF146:AI146"/>
    <mergeCell ref="AF147:AI147"/>
    <mergeCell ref="AF148:AI148"/>
    <mergeCell ref="AF149:AI149"/>
    <mergeCell ref="AF150:AI150"/>
    <mergeCell ref="AF151:AI151"/>
    <mergeCell ref="AF152:AI152"/>
    <mergeCell ref="AF153:AI153"/>
    <mergeCell ref="AF154:AI154"/>
    <mergeCell ref="AF155:AI155"/>
    <mergeCell ref="AF156:AI156"/>
    <mergeCell ref="AF157:AI157"/>
    <mergeCell ref="AF158:AI158"/>
    <mergeCell ref="AF159:AI159"/>
    <mergeCell ref="AF160:AI160"/>
    <mergeCell ref="AF161:AI161"/>
    <mergeCell ref="AF162:AI162"/>
    <mergeCell ref="AF163:AI163"/>
    <mergeCell ref="AF164:AI164"/>
    <mergeCell ref="AF165:AI165"/>
    <mergeCell ref="AF166:AI166"/>
    <mergeCell ref="AF167:AI167"/>
    <mergeCell ref="AF168:AI168"/>
    <mergeCell ref="Y204:AB204"/>
    <mergeCell ref="Y205:AB205"/>
    <mergeCell ref="Y206:AB206"/>
    <mergeCell ref="Y207:AB207"/>
    <mergeCell ref="Y208:AB208"/>
    <mergeCell ref="Y209:AB209"/>
    <mergeCell ref="Y210:AB210"/>
    <mergeCell ref="Y211:AB211"/>
    <mergeCell ref="Y212:AB212"/>
    <mergeCell ref="Y213:AB213"/>
    <mergeCell ref="Y214:AB214"/>
    <mergeCell ref="Y215:AB215"/>
    <mergeCell ref="Y216:AB216"/>
    <mergeCell ref="AF21:AI21"/>
    <mergeCell ref="AF22:AI22"/>
    <mergeCell ref="AF23:AI23"/>
    <mergeCell ref="AF24:AI24"/>
    <mergeCell ref="AF25:AI25"/>
    <mergeCell ref="AF26:AI26"/>
    <mergeCell ref="AF27:AI27"/>
    <mergeCell ref="AF28:AI28"/>
    <mergeCell ref="AF29:AI29"/>
    <mergeCell ref="AF30:AI30"/>
    <mergeCell ref="AF31:AI31"/>
    <mergeCell ref="AF32:AI32"/>
    <mergeCell ref="AF33:AI33"/>
    <mergeCell ref="AF34:AI34"/>
    <mergeCell ref="AF35:AI35"/>
    <mergeCell ref="AF36:AI36"/>
    <mergeCell ref="AF37:AI37"/>
    <mergeCell ref="AF38:AI38"/>
    <mergeCell ref="AF39:AI39"/>
    <mergeCell ref="AF40:AI40"/>
    <mergeCell ref="AF41:AI41"/>
    <mergeCell ref="AF42:AI42"/>
    <mergeCell ref="AF54:AI54"/>
    <mergeCell ref="AF55:AI55"/>
    <mergeCell ref="AF56:AI56"/>
    <mergeCell ref="AF57:AI57"/>
    <mergeCell ref="AF58:AI58"/>
    <mergeCell ref="AF59:AI59"/>
    <mergeCell ref="AF60:AI60"/>
    <mergeCell ref="AF61:AI61"/>
    <mergeCell ref="AF62:AI62"/>
    <mergeCell ref="AF63:AI63"/>
    <mergeCell ref="AF64:AI64"/>
    <mergeCell ref="AF65:AI65"/>
    <mergeCell ref="AF66:AI66"/>
    <mergeCell ref="AF67:AI67"/>
    <mergeCell ref="AF68:AI68"/>
    <mergeCell ref="AF69:AI69"/>
    <mergeCell ref="AF70:AI70"/>
    <mergeCell ref="AF71:AI71"/>
    <mergeCell ref="AF72:AI72"/>
    <mergeCell ref="AF73:AI73"/>
    <mergeCell ref="AF74:AI74"/>
    <mergeCell ref="AF75:AI75"/>
    <mergeCell ref="AF76:AI76"/>
    <mergeCell ref="AF77:AI77"/>
    <mergeCell ref="AF78:AI78"/>
    <mergeCell ref="AF79:AI79"/>
    <mergeCell ref="AF80:AI80"/>
    <mergeCell ref="AF134:AI134"/>
    <mergeCell ref="AF135:AI135"/>
    <mergeCell ref="Y169:AB169"/>
    <mergeCell ref="Y170:AB170"/>
    <mergeCell ref="Y171:AB171"/>
    <mergeCell ref="Y172:AB172"/>
    <mergeCell ref="Y173:AB173"/>
    <mergeCell ref="Y174:AB174"/>
    <mergeCell ref="Y175:AB175"/>
    <mergeCell ref="Y176:AB176"/>
    <mergeCell ref="Y177:AB177"/>
    <mergeCell ref="Y178:AB178"/>
    <mergeCell ref="Y179:AB179"/>
    <mergeCell ref="Y180:AB180"/>
    <mergeCell ref="Y181:AB181"/>
    <mergeCell ref="Y182:AB182"/>
    <mergeCell ref="Y183:AB183"/>
    <mergeCell ref="Y184:AB184"/>
    <mergeCell ref="Y185:AB185"/>
    <mergeCell ref="Y186:AB186"/>
    <mergeCell ref="Y187:AB187"/>
    <mergeCell ref="Y188:AB188"/>
    <mergeCell ref="Y189:AB189"/>
    <mergeCell ref="Y190:AB190"/>
    <mergeCell ref="Y191:AB191"/>
    <mergeCell ref="Y192:AB192"/>
    <mergeCell ref="Y193:AB193"/>
    <mergeCell ref="Y194:AB194"/>
    <mergeCell ref="Y195:AB195"/>
    <mergeCell ref="Y196:AB196"/>
    <mergeCell ref="Y197:AB197"/>
    <mergeCell ref="Y198:AB198"/>
    <mergeCell ref="Y199:AB199"/>
    <mergeCell ref="Y202:AB202"/>
    <mergeCell ref="Y203:AB203"/>
    <mergeCell ref="Y136:AB136"/>
    <mergeCell ref="Y137:AB137"/>
    <mergeCell ref="Y138:AB138"/>
    <mergeCell ref="Y139:AB139"/>
    <mergeCell ref="Y140:AB140"/>
    <mergeCell ref="Y141:AB141"/>
    <mergeCell ref="Y142:AB142"/>
    <mergeCell ref="Y143:AB143"/>
    <mergeCell ref="Y144:AB144"/>
    <mergeCell ref="Y145:AB145"/>
    <mergeCell ref="Y146:AB146"/>
    <mergeCell ref="Y147:AB147"/>
    <mergeCell ref="Y148:AB148"/>
    <mergeCell ref="Y149:AB149"/>
    <mergeCell ref="Y150:AB150"/>
    <mergeCell ref="Y151:AB151"/>
    <mergeCell ref="Y152:AB152"/>
    <mergeCell ref="Y153:AB153"/>
    <mergeCell ref="Y154:AB154"/>
    <mergeCell ref="Y155:AB155"/>
    <mergeCell ref="Y156:AB156"/>
    <mergeCell ref="Y157:AB157"/>
    <mergeCell ref="Y158:AB158"/>
    <mergeCell ref="Y159:AB159"/>
    <mergeCell ref="Y160:AB160"/>
    <mergeCell ref="Y161:AB161"/>
    <mergeCell ref="Y162:AB162"/>
    <mergeCell ref="Y163:AB163"/>
    <mergeCell ref="Y164:AB164"/>
    <mergeCell ref="Y165:AB165"/>
    <mergeCell ref="Y166:AB166"/>
    <mergeCell ref="Y167:AB167"/>
    <mergeCell ref="Y168:AB168"/>
    <mergeCell ref="R204:U204"/>
    <mergeCell ref="R205:U205"/>
    <mergeCell ref="R206:U206"/>
    <mergeCell ref="R207:U207"/>
    <mergeCell ref="R208:U208"/>
    <mergeCell ref="R209:U209"/>
    <mergeCell ref="R210:U210"/>
    <mergeCell ref="R211:U211"/>
    <mergeCell ref="R212:U212"/>
    <mergeCell ref="R213:U213"/>
    <mergeCell ref="R214:U214"/>
    <mergeCell ref="R215:U215"/>
    <mergeCell ref="R216:U216"/>
    <mergeCell ref="Y21:AB21"/>
    <mergeCell ref="Y22:AB22"/>
    <mergeCell ref="Y23:AB23"/>
    <mergeCell ref="Y24:AB24"/>
    <mergeCell ref="Y25:AB25"/>
    <mergeCell ref="Y26:AB26"/>
    <mergeCell ref="Y27:AB27"/>
    <mergeCell ref="Y28:AB28"/>
    <mergeCell ref="Y29:AB29"/>
    <mergeCell ref="Y30:AB30"/>
    <mergeCell ref="Y31:AB31"/>
    <mergeCell ref="Y32:AB32"/>
    <mergeCell ref="Y33:AB33"/>
    <mergeCell ref="Y34:AB34"/>
    <mergeCell ref="Y35:AB35"/>
    <mergeCell ref="Y36:AB36"/>
    <mergeCell ref="Y37:AB37"/>
    <mergeCell ref="Y38:AB38"/>
    <mergeCell ref="Y39:AB39"/>
    <mergeCell ref="Y40:AB40"/>
    <mergeCell ref="Y41:AB41"/>
    <mergeCell ref="Y42:AB42"/>
    <mergeCell ref="Y54:AB54"/>
    <mergeCell ref="Y55:AB55"/>
    <mergeCell ref="Y56:AB56"/>
    <mergeCell ref="Y57:AB57"/>
    <mergeCell ref="Y58:AB58"/>
    <mergeCell ref="Y59:AB59"/>
    <mergeCell ref="Y60:AB60"/>
    <mergeCell ref="Y61:AB61"/>
    <mergeCell ref="Y62:AB62"/>
    <mergeCell ref="Y63:AB63"/>
    <mergeCell ref="Y64:AB64"/>
    <mergeCell ref="Y65:AB65"/>
    <mergeCell ref="Y66:AB66"/>
    <mergeCell ref="Y67:AB67"/>
    <mergeCell ref="Y68:AB68"/>
    <mergeCell ref="Y69:AB69"/>
    <mergeCell ref="Y70:AB70"/>
    <mergeCell ref="Y71:AB71"/>
    <mergeCell ref="Y72:AB72"/>
    <mergeCell ref="Y73:AB73"/>
    <mergeCell ref="Y74:AB74"/>
    <mergeCell ref="Y75:AB75"/>
    <mergeCell ref="Y76:AB76"/>
    <mergeCell ref="Y77:AB77"/>
    <mergeCell ref="Y78:AB78"/>
    <mergeCell ref="Y79:AB79"/>
    <mergeCell ref="Y80:AB80"/>
    <mergeCell ref="Y134:AB134"/>
    <mergeCell ref="Y135:AB135"/>
    <mergeCell ref="R169:U169"/>
    <mergeCell ref="R170:U170"/>
    <mergeCell ref="R171:U171"/>
    <mergeCell ref="R172:U172"/>
    <mergeCell ref="R173:U173"/>
    <mergeCell ref="R174:U174"/>
    <mergeCell ref="R175:U175"/>
    <mergeCell ref="R176:U176"/>
    <mergeCell ref="R177:U177"/>
    <mergeCell ref="R178:U178"/>
    <mergeCell ref="R179:U179"/>
    <mergeCell ref="R180:U180"/>
    <mergeCell ref="R181:U181"/>
    <mergeCell ref="R182:U182"/>
    <mergeCell ref="R183:U183"/>
    <mergeCell ref="R184:U184"/>
    <mergeCell ref="R185:U185"/>
    <mergeCell ref="R186:U186"/>
    <mergeCell ref="R187:U187"/>
    <mergeCell ref="R188:U188"/>
    <mergeCell ref="R189:U189"/>
    <mergeCell ref="R190:U190"/>
    <mergeCell ref="R191:U191"/>
    <mergeCell ref="R192:U192"/>
    <mergeCell ref="R193:U193"/>
    <mergeCell ref="R194:U194"/>
    <mergeCell ref="R195:U195"/>
    <mergeCell ref="R196:U196"/>
    <mergeCell ref="R197:U197"/>
    <mergeCell ref="R198:U198"/>
    <mergeCell ref="R199:U199"/>
    <mergeCell ref="R202:U202"/>
    <mergeCell ref="R203:U203"/>
    <mergeCell ref="R136:U136"/>
    <mergeCell ref="R137:U137"/>
    <mergeCell ref="R138:U138"/>
    <mergeCell ref="R139:U139"/>
    <mergeCell ref="R140:U140"/>
    <mergeCell ref="R141:U141"/>
    <mergeCell ref="R142:U142"/>
    <mergeCell ref="R143:U143"/>
    <mergeCell ref="R144:U144"/>
    <mergeCell ref="R145:U145"/>
    <mergeCell ref="R146:U146"/>
    <mergeCell ref="R147:U147"/>
    <mergeCell ref="R148:U148"/>
    <mergeCell ref="R149:U149"/>
    <mergeCell ref="R150:U150"/>
    <mergeCell ref="R151:U151"/>
    <mergeCell ref="R152:U152"/>
    <mergeCell ref="R153:U153"/>
    <mergeCell ref="R154:U154"/>
    <mergeCell ref="R155:U155"/>
    <mergeCell ref="R156:U156"/>
    <mergeCell ref="R157:U157"/>
    <mergeCell ref="R158:U158"/>
    <mergeCell ref="R159:U159"/>
    <mergeCell ref="R160:U160"/>
    <mergeCell ref="R161:U161"/>
    <mergeCell ref="R162:U162"/>
    <mergeCell ref="R163:U163"/>
    <mergeCell ref="R164:U164"/>
    <mergeCell ref="R165:U165"/>
    <mergeCell ref="R166:U166"/>
    <mergeCell ref="R167:U167"/>
    <mergeCell ref="R168:U168"/>
    <mergeCell ref="K204:N204"/>
    <mergeCell ref="K205:N205"/>
    <mergeCell ref="K206:N206"/>
    <mergeCell ref="K207:N207"/>
    <mergeCell ref="K208:N208"/>
    <mergeCell ref="K209:N209"/>
    <mergeCell ref="K210:N210"/>
    <mergeCell ref="K211:N211"/>
    <mergeCell ref="K212:N212"/>
    <mergeCell ref="K213:N213"/>
    <mergeCell ref="K214:N214"/>
    <mergeCell ref="K215:N215"/>
    <mergeCell ref="K216:N216"/>
    <mergeCell ref="R21:U21"/>
    <mergeCell ref="R22:U22"/>
    <mergeCell ref="R23:U23"/>
    <mergeCell ref="R24:U24"/>
    <mergeCell ref="R25:U25"/>
    <mergeCell ref="R26:U26"/>
    <mergeCell ref="R27:U27"/>
    <mergeCell ref="R28:U28"/>
    <mergeCell ref="R29:U29"/>
    <mergeCell ref="R30:U30"/>
    <mergeCell ref="R31:U31"/>
    <mergeCell ref="R32:U32"/>
    <mergeCell ref="R33:U33"/>
    <mergeCell ref="R34:U34"/>
    <mergeCell ref="R35:U35"/>
    <mergeCell ref="R36:U36"/>
    <mergeCell ref="R37:U37"/>
    <mergeCell ref="R38:U38"/>
    <mergeCell ref="R39:U39"/>
    <mergeCell ref="R40:U40"/>
    <mergeCell ref="R41:U41"/>
    <mergeCell ref="R42:U42"/>
    <mergeCell ref="R54:U54"/>
    <mergeCell ref="R55:U55"/>
    <mergeCell ref="R56:U56"/>
    <mergeCell ref="R57:U57"/>
    <mergeCell ref="R58:U58"/>
    <mergeCell ref="R59:U59"/>
    <mergeCell ref="R60:U60"/>
    <mergeCell ref="R61:U61"/>
    <mergeCell ref="R62:U62"/>
    <mergeCell ref="R63:U63"/>
    <mergeCell ref="R64:U64"/>
    <mergeCell ref="R65:U65"/>
    <mergeCell ref="R66:U66"/>
    <mergeCell ref="R67:U67"/>
    <mergeCell ref="R68:U68"/>
    <mergeCell ref="R69:U69"/>
    <mergeCell ref="R70:U70"/>
    <mergeCell ref="R71:U71"/>
    <mergeCell ref="R72:U72"/>
    <mergeCell ref="R73:U73"/>
    <mergeCell ref="R74:U74"/>
    <mergeCell ref="R75:U75"/>
    <mergeCell ref="R76:U76"/>
    <mergeCell ref="R77:U77"/>
    <mergeCell ref="R78:U78"/>
    <mergeCell ref="R79:U79"/>
    <mergeCell ref="R80:U80"/>
    <mergeCell ref="R134:U134"/>
    <mergeCell ref="R135:U135"/>
    <mergeCell ref="K169:N169"/>
    <mergeCell ref="K170:N170"/>
    <mergeCell ref="K171:N171"/>
    <mergeCell ref="K172:N172"/>
    <mergeCell ref="K173:N173"/>
    <mergeCell ref="K174:N174"/>
    <mergeCell ref="K175:N175"/>
    <mergeCell ref="K176:N176"/>
    <mergeCell ref="K177:N177"/>
    <mergeCell ref="K178:N178"/>
    <mergeCell ref="K179:N179"/>
    <mergeCell ref="K180:N180"/>
    <mergeCell ref="K181:N181"/>
    <mergeCell ref="K182:N182"/>
    <mergeCell ref="K183:N183"/>
    <mergeCell ref="K184:N184"/>
    <mergeCell ref="K185:N185"/>
    <mergeCell ref="K186:N186"/>
    <mergeCell ref="K187:N187"/>
    <mergeCell ref="K188:N188"/>
    <mergeCell ref="K189:N189"/>
    <mergeCell ref="K190:N190"/>
    <mergeCell ref="K191:N191"/>
    <mergeCell ref="K192:N192"/>
    <mergeCell ref="K193:N193"/>
    <mergeCell ref="K194:N194"/>
    <mergeCell ref="K195:N195"/>
    <mergeCell ref="K196:N196"/>
    <mergeCell ref="K197:N197"/>
    <mergeCell ref="K198:N198"/>
    <mergeCell ref="K199:N199"/>
    <mergeCell ref="K202:N202"/>
    <mergeCell ref="K203:N203"/>
    <mergeCell ref="K136:N136"/>
    <mergeCell ref="K137:N137"/>
    <mergeCell ref="K138:N138"/>
    <mergeCell ref="K139:N139"/>
    <mergeCell ref="K140:N140"/>
    <mergeCell ref="K141:N141"/>
    <mergeCell ref="K142:N142"/>
    <mergeCell ref="K143:N143"/>
    <mergeCell ref="K144:N144"/>
    <mergeCell ref="K145:N145"/>
    <mergeCell ref="K146:N146"/>
    <mergeCell ref="K147:N147"/>
    <mergeCell ref="K148:N148"/>
    <mergeCell ref="K149:N149"/>
    <mergeCell ref="K150:N150"/>
    <mergeCell ref="K151:N151"/>
    <mergeCell ref="K152:N152"/>
    <mergeCell ref="K153:N153"/>
    <mergeCell ref="K154:N154"/>
    <mergeCell ref="K155:N155"/>
    <mergeCell ref="K156:N156"/>
    <mergeCell ref="K157:N157"/>
    <mergeCell ref="K158:N158"/>
    <mergeCell ref="K159:N159"/>
    <mergeCell ref="K160:N160"/>
    <mergeCell ref="K161:N161"/>
    <mergeCell ref="K162:N162"/>
    <mergeCell ref="K163:N163"/>
    <mergeCell ref="K164:N164"/>
    <mergeCell ref="K165:N165"/>
    <mergeCell ref="K166:N166"/>
    <mergeCell ref="K167:N167"/>
    <mergeCell ref="K168:N168"/>
    <mergeCell ref="OF10:OI10"/>
    <mergeCell ref="OM10:OP10"/>
    <mergeCell ref="OT10:OW10"/>
    <mergeCell ref="PA10:PD10"/>
    <mergeCell ref="PH10:PK10"/>
    <mergeCell ref="D21:G21"/>
    <mergeCell ref="D32:G32"/>
    <mergeCell ref="D54:G54"/>
    <mergeCell ref="D65:G65"/>
    <mergeCell ref="D76:G76"/>
    <mergeCell ref="D87:G87"/>
    <mergeCell ref="D98:G98"/>
    <mergeCell ref="D109:G109"/>
    <mergeCell ref="D120:G120"/>
    <mergeCell ref="D131:G131"/>
    <mergeCell ref="D142:G142"/>
    <mergeCell ref="D153:G153"/>
    <mergeCell ref="D160:G160"/>
    <mergeCell ref="D167:G167"/>
    <mergeCell ref="D174:G174"/>
    <mergeCell ref="D181:G181"/>
    <mergeCell ref="D189:G189"/>
    <mergeCell ref="D193:G193"/>
    <mergeCell ref="D197:G197"/>
    <mergeCell ref="D202:G202"/>
    <mergeCell ref="D207:G207"/>
    <mergeCell ref="D212:G212"/>
    <mergeCell ref="K21:N21"/>
    <mergeCell ref="K22:N22"/>
    <mergeCell ref="K23:N23"/>
    <mergeCell ref="K24:N24"/>
    <mergeCell ref="K25:N25"/>
    <mergeCell ref="K26:N26"/>
    <mergeCell ref="K27:N27"/>
    <mergeCell ref="K28:N28"/>
    <mergeCell ref="K29:N29"/>
    <mergeCell ref="K30:N30"/>
    <mergeCell ref="K31:N31"/>
    <mergeCell ref="K32:N32"/>
    <mergeCell ref="K33:N33"/>
    <mergeCell ref="K34:N34"/>
    <mergeCell ref="K35:N35"/>
    <mergeCell ref="K36:N36"/>
    <mergeCell ref="K37:N37"/>
    <mergeCell ref="K38:N38"/>
    <mergeCell ref="K39:N39"/>
    <mergeCell ref="K40:N40"/>
    <mergeCell ref="K41:N41"/>
    <mergeCell ref="K42:N42"/>
    <mergeCell ref="K54:N54"/>
    <mergeCell ref="K55:N55"/>
    <mergeCell ref="K56:N56"/>
    <mergeCell ref="K57:N57"/>
    <mergeCell ref="K58:N58"/>
    <mergeCell ref="K59:N59"/>
    <mergeCell ref="K60:N60"/>
    <mergeCell ref="K61:N61"/>
    <mergeCell ref="K62:N62"/>
    <mergeCell ref="K63:N63"/>
    <mergeCell ref="K64:N64"/>
    <mergeCell ref="K65:N65"/>
    <mergeCell ref="K66:N66"/>
    <mergeCell ref="K67:N67"/>
    <mergeCell ref="K68:N68"/>
    <mergeCell ref="D215:G215"/>
    <mergeCell ref="D216:G216"/>
    <mergeCell ref="D10:G10"/>
    <mergeCell ref="K10:N10"/>
    <mergeCell ref="R10:U10"/>
    <mergeCell ref="Y10:AB10"/>
    <mergeCell ref="AF10:AI10"/>
    <mergeCell ref="AM10:AP10"/>
    <mergeCell ref="AT10:AW10"/>
    <mergeCell ref="BA10:BD10"/>
    <mergeCell ref="BH10:BK10"/>
    <mergeCell ref="BO10:BR10"/>
    <mergeCell ref="BV10:BY10"/>
    <mergeCell ref="CC10:CF10"/>
    <mergeCell ref="CJ10:CM10"/>
    <mergeCell ref="CQ10:CT10"/>
    <mergeCell ref="CX10:DA10"/>
    <mergeCell ref="DE10:DH10"/>
    <mergeCell ref="DL10:DO10"/>
    <mergeCell ref="DS10:DV10"/>
    <mergeCell ref="DZ10:EC10"/>
    <mergeCell ref="EG10:EJ10"/>
    <mergeCell ref="EN10:EQ10"/>
    <mergeCell ref="EU10:EX10"/>
    <mergeCell ref="FB10:FE10"/>
    <mergeCell ref="FI10:FL10"/>
    <mergeCell ref="FP10:FS10"/>
    <mergeCell ref="FW10:FZ10"/>
    <mergeCell ref="GD10:GG10"/>
    <mergeCell ref="GK10:GN10"/>
    <mergeCell ref="GR10:GU10"/>
    <mergeCell ref="GY10:HB10"/>
    <mergeCell ref="HF10:HI10"/>
    <mergeCell ref="K69:N69"/>
    <mergeCell ref="K70:N70"/>
    <mergeCell ref="K71:N71"/>
    <mergeCell ref="K72:N72"/>
    <mergeCell ref="K73:N73"/>
    <mergeCell ref="K74:N74"/>
    <mergeCell ref="K75:N75"/>
    <mergeCell ref="K76:N76"/>
    <mergeCell ref="K77:N77"/>
    <mergeCell ref="K78:N78"/>
    <mergeCell ref="K79:N79"/>
    <mergeCell ref="K80:N80"/>
    <mergeCell ref="K81:N81"/>
    <mergeCell ref="K82:N82"/>
    <mergeCell ref="K83:N83"/>
    <mergeCell ref="K84:N84"/>
    <mergeCell ref="K85:N85"/>
    <mergeCell ref="K86:N86"/>
    <mergeCell ref="K87:N87"/>
    <mergeCell ref="K88:N88"/>
    <mergeCell ref="K89:N89"/>
    <mergeCell ref="K90:N90"/>
    <mergeCell ref="K91:N91"/>
    <mergeCell ref="K92:N92"/>
    <mergeCell ref="K93:N93"/>
    <mergeCell ref="K94:N94"/>
    <mergeCell ref="K95:N95"/>
    <mergeCell ref="K96:N96"/>
    <mergeCell ref="K97:N97"/>
    <mergeCell ref="K98:N98"/>
    <mergeCell ref="K99:N99"/>
    <mergeCell ref="D175:G175"/>
    <mergeCell ref="D176:G176"/>
    <mergeCell ref="D177:G177"/>
    <mergeCell ref="D178:G178"/>
    <mergeCell ref="D179:G179"/>
    <mergeCell ref="D180:G180"/>
    <mergeCell ref="D182:G182"/>
    <mergeCell ref="D183:G183"/>
    <mergeCell ref="D184:G184"/>
    <mergeCell ref="D185:G185"/>
    <mergeCell ref="D186:G186"/>
    <mergeCell ref="D187:G187"/>
    <mergeCell ref="D188:G188"/>
    <mergeCell ref="D190:G190"/>
    <mergeCell ref="D191:G191"/>
    <mergeCell ref="D192:G192"/>
    <mergeCell ref="D194:G194"/>
    <mergeCell ref="D195:G195"/>
    <mergeCell ref="D196:G196"/>
    <mergeCell ref="D198:G198"/>
    <mergeCell ref="D199:G199"/>
    <mergeCell ref="D200:G200"/>
    <mergeCell ref="D201:G201"/>
    <mergeCell ref="D203:G203"/>
    <mergeCell ref="D204:G204"/>
    <mergeCell ref="D205:G205"/>
    <mergeCell ref="D206:G206"/>
    <mergeCell ref="D208:G208"/>
    <mergeCell ref="D209:G209"/>
    <mergeCell ref="D210:G210"/>
    <mergeCell ref="D211:G211"/>
    <mergeCell ref="D213:G213"/>
    <mergeCell ref="D214:G214"/>
    <mergeCell ref="D137:G137"/>
    <mergeCell ref="D138:G138"/>
    <mergeCell ref="D139:G139"/>
    <mergeCell ref="D140:G140"/>
    <mergeCell ref="D141:G141"/>
    <mergeCell ref="D143:G143"/>
    <mergeCell ref="D144:G144"/>
    <mergeCell ref="D145:G145"/>
    <mergeCell ref="D146:G146"/>
    <mergeCell ref="D147:G147"/>
    <mergeCell ref="D148:G148"/>
    <mergeCell ref="D149:G149"/>
    <mergeCell ref="D150:G150"/>
    <mergeCell ref="D151:G151"/>
    <mergeCell ref="D152:G152"/>
    <mergeCell ref="D154:G154"/>
    <mergeCell ref="D155:G155"/>
    <mergeCell ref="D156:G156"/>
    <mergeCell ref="D157:G157"/>
    <mergeCell ref="D158:G158"/>
    <mergeCell ref="D159:G159"/>
    <mergeCell ref="D161:G161"/>
    <mergeCell ref="D162:G162"/>
    <mergeCell ref="D163:G163"/>
    <mergeCell ref="D164:G164"/>
    <mergeCell ref="D165:G165"/>
    <mergeCell ref="D166:G166"/>
    <mergeCell ref="D168:G168"/>
    <mergeCell ref="D169:G169"/>
    <mergeCell ref="D170:G170"/>
    <mergeCell ref="D171:G171"/>
    <mergeCell ref="D172:G172"/>
    <mergeCell ref="D173:G173"/>
    <mergeCell ref="D22:G22"/>
    <mergeCell ref="D23:G23"/>
    <mergeCell ref="D24:G24"/>
    <mergeCell ref="D25:G25"/>
    <mergeCell ref="D26:G26"/>
    <mergeCell ref="D72:G72"/>
    <mergeCell ref="D73:G73"/>
    <mergeCell ref="D74:G74"/>
    <mergeCell ref="D75:G75"/>
    <mergeCell ref="D77:G77"/>
    <mergeCell ref="D78:G78"/>
    <mergeCell ref="D79:G79"/>
    <mergeCell ref="D80:G80"/>
    <mergeCell ref="D81:G81"/>
    <mergeCell ref="D82:G82"/>
    <mergeCell ref="D83:G83"/>
    <mergeCell ref="D84:G84"/>
    <mergeCell ref="D85:G85"/>
    <mergeCell ref="D86:G86"/>
    <mergeCell ref="D88:G88"/>
    <mergeCell ref="D89:G89"/>
    <mergeCell ref="D90:G90"/>
    <mergeCell ref="D91:G91"/>
    <mergeCell ref="D92:G92"/>
    <mergeCell ref="D93:G93"/>
    <mergeCell ref="D94:G94"/>
    <mergeCell ref="D95:G95"/>
    <mergeCell ref="D96:G96"/>
    <mergeCell ref="D97:G97"/>
    <mergeCell ref="D99:G99"/>
    <mergeCell ref="D100:G100"/>
    <mergeCell ref="D101:G101"/>
    <mergeCell ref="D102:G102"/>
    <mergeCell ref="D49:G49"/>
    <mergeCell ref="D52:G52"/>
    <mergeCell ref="D11:G11"/>
    <mergeCell ref="D12:G12"/>
    <mergeCell ref="D13:G13"/>
    <mergeCell ref="D14:G14"/>
    <mergeCell ref="D15:G15"/>
    <mergeCell ref="D16:G16"/>
    <mergeCell ref="D17:G17"/>
    <mergeCell ref="D18:G18"/>
    <mergeCell ref="D19:G19"/>
    <mergeCell ref="D20:G20"/>
    <mergeCell ref="K11:N11"/>
    <mergeCell ref="R11:U11"/>
    <mergeCell ref="Y11:AB11"/>
    <mergeCell ref="AF11:AI11"/>
    <mergeCell ref="AM11:AP11"/>
    <mergeCell ref="AT11:AW11"/>
    <mergeCell ref="BA11:BD11"/>
    <mergeCell ref="BH11:BK11"/>
    <mergeCell ref="BO11:BR11"/>
    <mergeCell ref="K12:N12"/>
    <mergeCell ref="R12:U12"/>
    <mergeCell ref="Y12:AB12"/>
    <mergeCell ref="AF12:AI12"/>
    <mergeCell ref="AM12:AP12"/>
    <mergeCell ref="AT12:AW12"/>
    <mergeCell ref="BA12:BD12"/>
    <mergeCell ref="BH12:BK12"/>
    <mergeCell ref="BO12:BR12"/>
    <mergeCell ref="K13:N13"/>
    <mergeCell ref="R13:U13"/>
    <mergeCell ref="Y13:AB13"/>
    <mergeCell ref="AF13:AI13"/>
    <mergeCell ref="AM13:AP13"/>
    <mergeCell ref="AT13:AW13"/>
    <mergeCell ref="BA13:BD13"/>
    <mergeCell ref="BH13:BK13"/>
    <mergeCell ref="BO13:BR13"/>
    <mergeCell ref="K14:N14"/>
    <mergeCell ref="R14:U14"/>
    <mergeCell ref="Y14:AB14"/>
    <mergeCell ref="AF14:AI14"/>
    <mergeCell ref="K16:N16"/>
    <mergeCell ref="R16:U16"/>
    <mergeCell ref="Y16:AB16"/>
    <mergeCell ref="AF16:AI16"/>
    <mergeCell ref="AM16:AP16"/>
    <mergeCell ref="AT16:AW16"/>
    <mergeCell ref="BA16:BD16"/>
    <mergeCell ref="BH16:BK16"/>
    <mergeCell ref="BO16:BR16"/>
    <mergeCell ref="BO17:BR17"/>
    <mergeCell ref="K18:N18"/>
    <mergeCell ref="R18:U18"/>
    <mergeCell ref="Y18:AB18"/>
    <mergeCell ref="AF18:AI18"/>
    <mergeCell ref="AM18:AP18"/>
    <mergeCell ref="AT18:AW18"/>
    <mergeCell ref="BA18:BD18"/>
    <mergeCell ref="BH18:BK18"/>
    <mergeCell ref="BO18:BR18"/>
    <mergeCell ref="K19:N19"/>
    <mergeCell ref="R19:U19"/>
    <mergeCell ref="Y19:AB19"/>
    <mergeCell ref="AF19:AI19"/>
    <mergeCell ref="DZ189:EC189"/>
    <mergeCell ref="EG189:EJ189"/>
    <mergeCell ref="EN189:EQ189"/>
    <mergeCell ref="EU189:EX189"/>
    <mergeCell ref="FB189:FE189"/>
    <mergeCell ref="FI189:FL189"/>
    <mergeCell ref="FP189:FS189"/>
    <mergeCell ref="FW189:FZ189"/>
    <mergeCell ref="GD189:GG189"/>
    <mergeCell ref="GK189:GN189"/>
    <mergeCell ref="GR189:GU189"/>
    <mergeCell ref="GY189:HB189"/>
    <mergeCell ref="HF189:HI189"/>
    <mergeCell ref="HM189:HP189"/>
    <mergeCell ref="HT189:HW189"/>
    <mergeCell ref="IA189:ID189"/>
    <mergeCell ref="K120:N120"/>
    <mergeCell ref="K121:N121"/>
    <mergeCell ref="BU120:CA120"/>
    <mergeCell ref="BU109:CA109"/>
    <mergeCell ref="BU98:CA98"/>
    <mergeCell ref="DK54:DQ54"/>
    <mergeCell ref="DR54:DX54"/>
    <mergeCell ref="BU21:CA21"/>
    <mergeCell ref="DR21:DX21"/>
    <mergeCell ref="HM10:HP10"/>
    <mergeCell ref="HT10:HW10"/>
    <mergeCell ref="IA10:ID10"/>
    <mergeCell ref="IH10:IK10"/>
    <mergeCell ref="IO10:IR10"/>
    <mergeCell ref="IV10:IY10"/>
    <mergeCell ref="JC10:JF10"/>
    <mergeCell ref="EG27:EJ27"/>
    <mergeCell ref="EN27:EQ27"/>
    <mergeCell ref="EU27:EX27"/>
    <mergeCell ref="FB27:FE27"/>
    <mergeCell ref="EG28:EJ28"/>
    <mergeCell ref="EN28:EQ28"/>
    <mergeCell ref="EU28:EX28"/>
    <mergeCell ref="FB28:FE28"/>
    <mergeCell ref="EG29:EJ29"/>
    <mergeCell ref="EN29:EQ29"/>
    <mergeCell ref="EU29:EX29"/>
    <mergeCell ref="DS39:DV39"/>
    <mergeCell ref="DS40:DV40"/>
    <mergeCell ref="DS41:DV41"/>
    <mergeCell ref="DS42:DV42"/>
    <mergeCell ref="AM14:AP14"/>
    <mergeCell ref="AT14:AW14"/>
    <mergeCell ref="BA14:BD14"/>
    <mergeCell ref="BH14:BK14"/>
    <mergeCell ref="BO14:BR14"/>
    <mergeCell ref="K15:N15"/>
    <mergeCell ref="R15:U15"/>
    <mergeCell ref="Y15:AB15"/>
    <mergeCell ref="AF15:AI15"/>
    <mergeCell ref="AM15:AP15"/>
    <mergeCell ref="AT15:AW15"/>
    <mergeCell ref="BA15:BD15"/>
    <mergeCell ref="BH15:BK15"/>
    <mergeCell ref="BO15:BR15"/>
    <mergeCell ref="DE14:DH14"/>
    <mergeCell ref="DE15:DH15"/>
    <mergeCell ref="AM19:AP19"/>
    <mergeCell ref="JJ10:JM10"/>
    <mergeCell ref="JQ10:JT10"/>
    <mergeCell ref="JX10:KA10"/>
    <mergeCell ref="KE10:KH10"/>
    <mergeCell ref="KL10:KO10"/>
    <mergeCell ref="KS10:KV10"/>
    <mergeCell ref="KZ10:LC10"/>
    <mergeCell ref="LG10:LJ10"/>
    <mergeCell ref="LN10:LQ10"/>
    <mergeCell ref="LU10:LX10"/>
    <mergeCell ref="MB10:ME10"/>
    <mergeCell ref="MI10:ML10"/>
    <mergeCell ref="MP10:MS10"/>
    <mergeCell ref="MW10:MZ10"/>
    <mergeCell ref="ND10:NG10"/>
    <mergeCell ref="NK10:NN10"/>
    <mergeCell ref="NR10:NU10"/>
    <mergeCell ref="NY10:OB10"/>
    <mergeCell ref="BU32:CA32"/>
    <mergeCell ref="CI3:CO3"/>
    <mergeCell ref="CP3:CV3"/>
    <mergeCell ref="CW3:DC3"/>
    <mergeCell ref="DD3:DJ3"/>
    <mergeCell ref="DK3:DQ3"/>
    <mergeCell ref="DR3:DX3"/>
    <mergeCell ref="AS3:AY3"/>
    <mergeCell ref="AZ3:BF3"/>
    <mergeCell ref="BG3:BM3"/>
    <mergeCell ref="BN3:BT3"/>
    <mergeCell ref="BU3:CA3"/>
    <mergeCell ref="CB3:CH3"/>
    <mergeCell ref="ET6:EZ6"/>
    <mergeCell ref="FA6:FG6"/>
    <mergeCell ref="FH6:FN6"/>
    <mergeCell ref="FO6:FU6"/>
    <mergeCell ref="MA3:MG3"/>
    <mergeCell ref="MH3:MN3"/>
    <mergeCell ref="DZ23:EC23"/>
    <mergeCell ref="DZ24:EC24"/>
    <mergeCell ref="DZ25:EC25"/>
    <mergeCell ref="DZ26:EC26"/>
    <mergeCell ref="DZ27:EC27"/>
    <mergeCell ref="DZ28:EC28"/>
    <mergeCell ref="EG23:EJ23"/>
    <mergeCell ref="EN23:EQ23"/>
    <mergeCell ref="EU23:EX23"/>
    <mergeCell ref="FB23:FE23"/>
    <mergeCell ref="EG24:EJ24"/>
    <mergeCell ref="EN24:EQ24"/>
    <mergeCell ref="EU24:EX24"/>
    <mergeCell ref="FB24:FE24"/>
    <mergeCell ref="EG25:EJ25"/>
    <mergeCell ref="EN25:EQ25"/>
    <mergeCell ref="DZ29:EC29"/>
    <mergeCell ref="DZ30:EC30"/>
    <mergeCell ref="DZ31:EC31"/>
    <mergeCell ref="EU25:EX25"/>
    <mergeCell ref="FB25:FE25"/>
    <mergeCell ref="EG26:EJ26"/>
    <mergeCell ref="EN26:EQ26"/>
    <mergeCell ref="EU26:EX26"/>
    <mergeCell ref="FB26:FE26"/>
    <mergeCell ref="C3:I3"/>
    <mergeCell ref="J3:P3"/>
    <mergeCell ref="Q3:W3"/>
    <mergeCell ref="X3:AD3"/>
    <mergeCell ref="AE3:AK3"/>
    <mergeCell ref="AL3:AR3"/>
    <mergeCell ref="DK21:DQ21"/>
    <mergeCell ref="DS22:DV22"/>
    <mergeCell ref="DS23:DV23"/>
    <mergeCell ref="DS24:DV24"/>
    <mergeCell ref="DS25:DV25"/>
    <mergeCell ref="DS26:DV26"/>
    <mergeCell ref="DS27:DV27"/>
    <mergeCell ref="DS28:DV28"/>
    <mergeCell ref="DS29:DV29"/>
    <mergeCell ref="DS30:DV30"/>
    <mergeCell ref="DS31:DV31"/>
    <mergeCell ref="DS33:DV33"/>
    <mergeCell ref="DS34:DV34"/>
    <mergeCell ref="DL22:DO22"/>
    <mergeCell ref="DL23:DO23"/>
    <mergeCell ref="DL24:DO24"/>
    <mergeCell ref="DL25:DO25"/>
    <mergeCell ref="DL26:DO26"/>
    <mergeCell ref="DL27:DO27"/>
    <mergeCell ref="DL28:DO28"/>
    <mergeCell ref="DL29:DO29"/>
    <mergeCell ref="DL30:DO30"/>
    <mergeCell ref="DL31:DO31"/>
    <mergeCell ref="DL11:DO11"/>
    <mergeCell ref="DL12:DO12"/>
    <mergeCell ref="DL13:DO13"/>
    <mergeCell ref="DL14:DO14"/>
    <mergeCell ref="DL15:DO15"/>
    <mergeCell ref="DL16:DO16"/>
    <mergeCell ref="DL17:DO17"/>
    <mergeCell ref="DL18:DO18"/>
    <mergeCell ref="DL19:DO19"/>
    <mergeCell ref="DL20:DO20"/>
    <mergeCell ref="DS11:DV11"/>
    <mergeCell ref="DS12:DV12"/>
    <mergeCell ref="DS13:DV13"/>
    <mergeCell ref="DS14:DV14"/>
    <mergeCell ref="DS15:DV15"/>
    <mergeCell ref="DS16:DV16"/>
    <mergeCell ref="DS17:DV17"/>
    <mergeCell ref="DS18:DV18"/>
    <mergeCell ref="DS19:DV19"/>
    <mergeCell ref="DS20:DV20"/>
    <mergeCell ref="D27:G27"/>
    <mergeCell ref="D28:G28"/>
    <mergeCell ref="C6:I6"/>
    <mergeCell ref="C7:I7"/>
    <mergeCell ref="C8:I8"/>
    <mergeCell ref="C9:I9"/>
    <mergeCell ref="D29:G29"/>
    <mergeCell ref="D30:G30"/>
    <mergeCell ref="D31:G31"/>
    <mergeCell ref="D33:G33"/>
    <mergeCell ref="D34:G34"/>
    <mergeCell ref="DD6:DJ6"/>
    <mergeCell ref="DK6:DQ6"/>
    <mergeCell ref="DR6:DX6"/>
    <mergeCell ref="BN6:BT6"/>
    <mergeCell ref="OZ3:PF3"/>
    <mergeCell ref="PG3:PM3"/>
    <mergeCell ref="KK3:KQ3"/>
    <mergeCell ref="KR3:KX3"/>
    <mergeCell ref="KY3:LE3"/>
    <mergeCell ref="LF3:LL3"/>
    <mergeCell ref="LM3:LS3"/>
    <mergeCell ref="LT3:LZ3"/>
    <mergeCell ref="IU3:JA3"/>
    <mergeCell ref="JB3:JH3"/>
    <mergeCell ref="JI3:JO3"/>
    <mergeCell ref="JP3:JV3"/>
    <mergeCell ref="JW3:KC3"/>
    <mergeCell ref="KD3:KJ3"/>
    <mergeCell ref="HE3:HK3"/>
    <mergeCell ref="HL3:HR3"/>
    <mergeCell ref="HS3:HY3"/>
    <mergeCell ref="HZ3:IF3"/>
    <mergeCell ref="IG3:IM3"/>
    <mergeCell ref="IN3:IT3"/>
    <mergeCell ref="FO3:FU3"/>
    <mergeCell ref="FV3:GB3"/>
    <mergeCell ref="GC3:GI3"/>
    <mergeCell ref="GJ3:GP3"/>
    <mergeCell ref="GQ3:GW3"/>
    <mergeCell ref="GX3:HD3"/>
    <mergeCell ref="DY3:EE3"/>
    <mergeCell ref="EF3:EL3"/>
    <mergeCell ref="EM3:ES3"/>
    <mergeCell ref="ET3:EZ3"/>
    <mergeCell ref="FA3:FG3"/>
    <mergeCell ref="FH3:FN3"/>
    <mergeCell ref="DZ22:EC22"/>
    <mergeCell ref="DZ21:EC21"/>
    <mergeCell ref="EG21:EJ21"/>
    <mergeCell ref="EN21:EQ21"/>
    <mergeCell ref="EU21:EX21"/>
    <mergeCell ref="FB21:FE21"/>
    <mergeCell ref="EG22:EJ22"/>
    <mergeCell ref="EN22:EQ22"/>
    <mergeCell ref="EU22:EX22"/>
    <mergeCell ref="FB22:FE22"/>
    <mergeCell ref="NJ3:NP3"/>
    <mergeCell ref="NQ3:NW3"/>
    <mergeCell ref="NX3:OD3"/>
    <mergeCell ref="OE3:OK3"/>
    <mergeCell ref="OL3:OR3"/>
    <mergeCell ref="OS3:OY3"/>
    <mergeCell ref="MO3:MU3"/>
    <mergeCell ref="MV3:NB3"/>
    <mergeCell ref="NC3:NI3"/>
    <mergeCell ref="HE6:HK6"/>
    <mergeCell ref="DY6:EE6"/>
    <mergeCell ref="EF6:EL6"/>
    <mergeCell ref="EM6:ES6"/>
    <mergeCell ref="HZ9:IF9"/>
    <mergeCell ref="IG9:IM9"/>
    <mergeCell ref="IN9:IT9"/>
    <mergeCell ref="IU9:JA9"/>
    <mergeCell ref="FO9:FU9"/>
    <mergeCell ref="DZ14:EC14"/>
    <mergeCell ref="EG14:EJ14"/>
    <mergeCell ref="FI21:FL21"/>
    <mergeCell ref="FP21:FS21"/>
    <mergeCell ref="D35:G35"/>
    <mergeCell ref="D36:G36"/>
    <mergeCell ref="D37:G37"/>
    <mergeCell ref="D38:G38"/>
    <mergeCell ref="D39:G39"/>
    <mergeCell ref="D40:G40"/>
    <mergeCell ref="D41:G41"/>
    <mergeCell ref="D42:G42"/>
    <mergeCell ref="D55:G55"/>
    <mergeCell ref="D56:G56"/>
    <mergeCell ref="D57:G57"/>
    <mergeCell ref="D58:G58"/>
    <mergeCell ref="D59:G59"/>
    <mergeCell ref="D60:G60"/>
    <mergeCell ref="D61:G61"/>
    <mergeCell ref="D62:G62"/>
    <mergeCell ref="D63:G63"/>
    <mergeCell ref="D64:G64"/>
    <mergeCell ref="D66:G66"/>
    <mergeCell ref="D67:G67"/>
    <mergeCell ref="D68:G68"/>
    <mergeCell ref="D69:G69"/>
    <mergeCell ref="D70:G70"/>
    <mergeCell ref="D71:G71"/>
    <mergeCell ref="D108:G108"/>
    <mergeCell ref="D110:G110"/>
    <mergeCell ref="D111:G111"/>
    <mergeCell ref="D112:G112"/>
    <mergeCell ref="D113:G113"/>
    <mergeCell ref="D114:G114"/>
    <mergeCell ref="D115:G115"/>
    <mergeCell ref="D116:G116"/>
    <mergeCell ref="D117:G117"/>
    <mergeCell ref="D103:G103"/>
    <mergeCell ref="D104:G104"/>
    <mergeCell ref="D105:G105"/>
    <mergeCell ref="D106:G106"/>
    <mergeCell ref="D107:G107"/>
    <mergeCell ref="D118:G118"/>
    <mergeCell ref="D119:G119"/>
    <mergeCell ref="D121:G121"/>
    <mergeCell ref="D122:G122"/>
    <mergeCell ref="D123:G123"/>
    <mergeCell ref="D124:G124"/>
    <mergeCell ref="D125:G125"/>
    <mergeCell ref="D126:G126"/>
    <mergeCell ref="D127:G127"/>
    <mergeCell ref="D128:G128"/>
    <mergeCell ref="D129:G129"/>
    <mergeCell ref="D130:G130"/>
    <mergeCell ref="D132:G132"/>
    <mergeCell ref="D133:G133"/>
    <mergeCell ref="D134:G134"/>
    <mergeCell ref="D135:G135"/>
    <mergeCell ref="D136:G136"/>
    <mergeCell ref="J6:P6"/>
    <mergeCell ref="Q6:W6"/>
    <mergeCell ref="J7:P7"/>
    <mergeCell ref="Q7:W7"/>
    <mergeCell ref="J8:P8"/>
    <mergeCell ref="Q8:W8"/>
    <mergeCell ref="HL7:HR7"/>
    <mergeCell ref="HS7:HY7"/>
    <mergeCell ref="HZ7:IF7"/>
    <mergeCell ref="IG7:IM7"/>
    <mergeCell ref="IN7:IT7"/>
    <mergeCell ref="IU7:JA7"/>
    <mergeCell ref="FV7:GB7"/>
    <mergeCell ref="GC7:GI7"/>
    <mergeCell ref="GJ7:GP7"/>
    <mergeCell ref="GQ7:GW7"/>
    <mergeCell ref="GX7:HD7"/>
    <mergeCell ref="HE7:HK7"/>
    <mergeCell ref="DD7:DJ7"/>
    <mergeCell ref="DK7:DQ7"/>
    <mergeCell ref="DR7:DX7"/>
    <mergeCell ref="DY7:EE7"/>
    <mergeCell ref="EF7:EL7"/>
    <mergeCell ref="EM7:ES7"/>
    <mergeCell ref="BN7:BT7"/>
    <mergeCell ref="BU7:CA7"/>
    <mergeCell ref="CB7:CH7"/>
    <mergeCell ref="CI7:CO7"/>
    <mergeCell ref="CP7:CV7"/>
    <mergeCell ref="CW7:DC7"/>
    <mergeCell ref="X7:AD7"/>
    <mergeCell ref="AE7:AK7"/>
    <mergeCell ref="AL7:AR7"/>
    <mergeCell ref="AS7:AY7"/>
    <mergeCell ref="AZ7:BF7"/>
    <mergeCell ref="BG7:BM7"/>
    <mergeCell ref="HL6:HR6"/>
    <mergeCell ref="HS6:HY6"/>
    <mergeCell ref="HZ6:IF6"/>
    <mergeCell ref="IG6:IM6"/>
    <mergeCell ref="IN6:IT6"/>
    <mergeCell ref="IU6:JA6"/>
    <mergeCell ref="FV6:GB6"/>
    <mergeCell ref="GC6:GI6"/>
    <mergeCell ref="GJ6:GP6"/>
    <mergeCell ref="GQ6:GW6"/>
    <mergeCell ref="GX6:HD6"/>
    <mergeCell ref="BU6:CA6"/>
    <mergeCell ref="CB6:CH6"/>
    <mergeCell ref="CI6:CO6"/>
    <mergeCell ref="CP6:CV6"/>
    <mergeCell ref="CW6:DC6"/>
    <mergeCell ref="X6:AD6"/>
    <mergeCell ref="AE6:AK6"/>
    <mergeCell ref="AL6:AR6"/>
    <mergeCell ref="AS6:AY6"/>
    <mergeCell ref="AZ6:BF6"/>
    <mergeCell ref="BG6:BM6"/>
    <mergeCell ref="ET7:EZ7"/>
    <mergeCell ref="FA7:FG7"/>
    <mergeCell ref="FH7:FN7"/>
    <mergeCell ref="FO7:FU7"/>
    <mergeCell ref="J9:P9"/>
    <mergeCell ref="Q9:W9"/>
    <mergeCell ref="X9:AD9"/>
    <mergeCell ref="AE9:AK9"/>
    <mergeCell ref="AL9:AR9"/>
    <mergeCell ref="AS9:AY9"/>
    <mergeCell ref="GJ8:GP8"/>
    <mergeCell ref="GQ8:GW8"/>
    <mergeCell ref="GX8:HD8"/>
    <mergeCell ref="HE8:HK8"/>
    <mergeCell ref="HL8:HR8"/>
    <mergeCell ref="HS8:HY8"/>
    <mergeCell ref="ET8:EZ8"/>
    <mergeCell ref="FA8:FG8"/>
    <mergeCell ref="FH8:FN8"/>
    <mergeCell ref="FO8:FU8"/>
    <mergeCell ref="FV8:GB8"/>
    <mergeCell ref="GC8:GI8"/>
    <mergeCell ref="DD8:DJ8"/>
    <mergeCell ref="DK8:DQ8"/>
    <mergeCell ref="DR8:DX8"/>
    <mergeCell ref="DY8:EE8"/>
    <mergeCell ref="EF8:EL8"/>
    <mergeCell ref="EM8:ES8"/>
    <mergeCell ref="BN8:BT8"/>
    <mergeCell ref="BU8:CA8"/>
    <mergeCell ref="CB8:CH8"/>
    <mergeCell ref="CI8:CO8"/>
    <mergeCell ref="CP8:CV8"/>
    <mergeCell ref="CW8:DC8"/>
    <mergeCell ref="X8:AD8"/>
    <mergeCell ref="AE8:AK8"/>
    <mergeCell ref="AL8:AR8"/>
    <mergeCell ref="AS8:AY8"/>
    <mergeCell ref="AZ8:BF8"/>
    <mergeCell ref="BG8:BM8"/>
    <mergeCell ref="HL9:HR9"/>
    <mergeCell ref="HS9:HY9"/>
    <mergeCell ref="FV9:GB9"/>
    <mergeCell ref="GC9:GI9"/>
    <mergeCell ref="GJ9:GP9"/>
    <mergeCell ref="GQ9:GW9"/>
    <mergeCell ref="GX9:HD9"/>
    <mergeCell ref="HE9:HK9"/>
    <mergeCell ref="EF9:EL9"/>
    <mergeCell ref="EM9:ES9"/>
    <mergeCell ref="ET9:EZ9"/>
    <mergeCell ref="FA9:FG9"/>
    <mergeCell ref="FH9:FN9"/>
    <mergeCell ref="CP9:CV9"/>
    <mergeCell ref="CW9:DC9"/>
    <mergeCell ref="DD9:DJ9"/>
    <mergeCell ref="DK9:DQ9"/>
    <mergeCell ref="DR9:DX9"/>
    <mergeCell ref="DY9:EE9"/>
    <mergeCell ref="AZ9:BF9"/>
    <mergeCell ref="BG9:BM9"/>
    <mergeCell ref="BN9:BT9"/>
    <mergeCell ref="BU9:CA9"/>
    <mergeCell ref="CB9:CH9"/>
    <mergeCell ref="CI9:CO9"/>
    <mergeCell ref="HZ8:IF8"/>
    <mergeCell ref="IG8:IM8"/>
    <mergeCell ref="IN8:IT8"/>
    <mergeCell ref="IU8:JA8"/>
    <mergeCell ref="DE11:DH11"/>
    <mergeCell ref="DE12:DH12"/>
    <mergeCell ref="DZ11:EC11"/>
    <mergeCell ref="EG11:EJ11"/>
    <mergeCell ref="EN11:EQ11"/>
    <mergeCell ref="EU11:EX11"/>
    <mergeCell ref="FB11:FE11"/>
    <mergeCell ref="DZ12:EC12"/>
    <mergeCell ref="EG12:EJ12"/>
    <mergeCell ref="EN12:EQ12"/>
    <mergeCell ref="EU12:EX12"/>
    <mergeCell ref="FB12:FE12"/>
    <mergeCell ref="DE13:DH13"/>
    <mergeCell ref="DZ13:EC13"/>
    <mergeCell ref="EG13:EJ13"/>
    <mergeCell ref="EN13:EQ13"/>
    <mergeCell ref="EU13:EX13"/>
    <mergeCell ref="FB13:FE13"/>
    <mergeCell ref="FI11:FL11"/>
    <mergeCell ref="FP11:FS11"/>
    <mergeCell ref="FW11:FZ11"/>
    <mergeCell ref="GD11:GG11"/>
    <mergeCell ref="GK11:GN11"/>
    <mergeCell ref="FI12:FL12"/>
    <mergeCell ref="FP12:FS12"/>
    <mergeCell ref="FW12:FZ12"/>
    <mergeCell ref="GD12:GG12"/>
    <mergeCell ref="GK12:GN12"/>
    <mergeCell ref="FI13:FL13"/>
    <mergeCell ref="FP13:FS13"/>
    <mergeCell ref="FW13:FZ13"/>
    <mergeCell ref="GD13:GG13"/>
    <mergeCell ref="GK13:GN13"/>
    <mergeCell ref="DE16:DH16"/>
    <mergeCell ref="K17:N17"/>
    <mergeCell ref="R17:U17"/>
    <mergeCell ref="Y17:AB17"/>
    <mergeCell ref="AF17:AI17"/>
    <mergeCell ref="AM17:AP17"/>
    <mergeCell ref="AT17:AW17"/>
    <mergeCell ref="BA17:BD17"/>
    <mergeCell ref="BH17:BK17"/>
    <mergeCell ref="GK18:GN18"/>
    <mergeCell ref="FI19:FL19"/>
    <mergeCell ref="FP19:FS19"/>
    <mergeCell ref="FW19:FZ19"/>
    <mergeCell ref="GD19:GG19"/>
    <mergeCell ref="GK19:GN19"/>
    <mergeCell ref="HT18:HW18"/>
    <mergeCell ref="GR19:GU19"/>
    <mergeCell ref="GY19:HB19"/>
    <mergeCell ref="HF19:HI19"/>
    <mergeCell ref="HM19:HP19"/>
    <mergeCell ref="HT19:HW19"/>
    <mergeCell ref="IA19:ID19"/>
    <mergeCell ref="IH19:IK19"/>
    <mergeCell ref="IO19:IR19"/>
    <mergeCell ref="IV19:IY19"/>
    <mergeCell ref="FI20:FL20"/>
    <mergeCell ref="FP20:FS20"/>
    <mergeCell ref="FW20:FZ20"/>
    <mergeCell ref="GD20:GG20"/>
    <mergeCell ref="GK20:GN20"/>
    <mergeCell ref="GR20:GU20"/>
    <mergeCell ref="GY20:HB20"/>
    <mergeCell ref="HF20:HI20"/>
    <mergeCell ref="HM20:HP20"/>
    <mergeCell ref="HT20:HW20"/>
    <mergeCell ref="IA20:ID20"/>
    <mergeCell ref="IH20:IK20"/>
    <mergeCell ref="IO20:IR20"/>
    <mergeCell ref="IV20:IY20"/>
    <mergeCell ref="AT19:AW19"/>
    <mergeCell ref="BA19:BD19"/>
    <mergeCell ref="BH19:BK19"/>
    <mergeCell ref="BO19:BR19"/>
    <mergeCell ref="K20:N20"/>
    <mergeCell ref="R20:U20"/>
    <mergeCell ref="Y20:AB20"/>
    <mergeCell ref="AF20:AI20"/>
    <mergeCell ref="AM20:AP20"/>
    <mergeCell ref="AT20:AW20"/>
    <mergeCell ref="BA20:BD20"/>
    <mergeCell ref="BH20:BK20"/>
    <mergeCell ref="BO20:BR20"/>
    <mergeCell ref="FW21:FZ21"/>
    <mergeCell ref="GD21:GG21"/>
    <mergeCell ref="GK21:GN21"/>
    <mergeCell ref="FI22:FL22"/>
    <mergeCell ref="FP22:FS22"/>
    <mergeCell ref="FW22:FZ22"/>
    <mergeCell ref="FB29:FE29"/>
    <mergeCell ref="GR28:GU28"/>
    <mergeCell ref="GY28:HB28"/>
    <mergeCell ref="HF28:HI28"/>
    <mergeCell ref="HM28:HP28"/>
    <mergeCell ref="HT28:HW28"/>
    <mergeCell ref="GR29:GU29"/>
    <mergeCell ref="GY29:HB29"/>
    <mergeCell ref="HF29:HI29"/>
    <mergeCell ref="HM29:HP29"/>
    <mergeCell ref="HT29:HW29"/>
    <mergeCell ref="IA28:ID28"/>
    <mergeCell ref="IH28:IK28"/>
    <mergeCell ref="IO28:IR28"/>
    <mergeCell ref="IV28:IY28"/>
    <mergeCell ref="IA29:ID29"/>
    <mergeCell ref="IH29:IK29"/>
    <mergeCell ref="IO29:IR29"/>
    <mergeCell ref="IV29:IY29"/>
    <mergeCell ref="EG30:EJ30"/>
    <mergeCell ref="EN30:EQ30"/>
    <mergeCell ref="EU30:EX30"/>
    <mergeCell ref="FB30:FE30"/>
    <mergeCell ref="FI30:FL30"/>
    <mergeCell ref="FP30:FS30"/>
    <mergeCell ref="FW30:FZ30"/>
    <mergeCell ref="GD30:GG30"/>
    <mergeCell ref="GK30:GN30"/>
    <mergeCell ref="GR30:GU30"/>
    <mergeCell ref="GY30:HB30"/>
    <mergeCell ref="HF30:HI30"/>
    <mergeCell ref="HM30:HP30"/>
    <mergeCell ref="HT30:HW30"/>
    <mergeCell ref="IA30:ID30"/>
    <mergeCell ref="IH30:IK30"/>
    <mergeCell ref="IO30:IR30"/>
    <mergeCell ref="IV30:IY30"/>
    <mergeCell ref="FI25:FL25"/>
    <mergeCell ref="FP25:FS25"/>
    <mergeCell ref="FW25:FZ25"/>
    <mergeCell ref="GD25:GG25"/>
    <mergeCell ref="GK25:GN25"/>
    <mergeCell ref="FI26:FL26"/>
    <mergeCell ref="FP26:FS26"/>
    <mergeCell ref="FW26:FZ26"/>
    <mergeCell ref="GD26:GG26"/>
    <mergeCell ref="GK26:GN26"/>
    <mergeCell ref="FI27:FL27"/>
    <mergeCell ref="FP27:FS27"/>
    <mergeCell ref="FW27:FZ27"/>
    <mergeCell ref="GD27:GG27"/>
    <mergeCell ref="GK27:GN27"/>
    <mergeCell ref="FI28:FL28"/>
    <mergeCell ref="FP28:FS28"/>
    <mergeCell ref="FW28:FZ28"/>
    <mergeCell ref="GD28:GG28"/>
    <mergeCell ref="GK28:GN28"/>
    <mergeCell ref="FI29:FL29"/>
    <mergeCell ref="EG31:EJ31"/>
    <mergeCell ref="EN31:EQ31"/>
    <mergeCell ref="EU31:EX31"/>
    <mergeCell ref="FB31:FE31"/>
    <mergeCell ref="FI31:FL31"/>
    <mergeCell ref="FP31:FS31"/>
    <mergeCell ref="DS35:DV35"/>
    <mergeCell ref="DS36:DV36"/>
    <mergeCell ref="DS37:DV37"/>
    <mergeCell ref="DS38:DV38"/>
    <mergeCell ref="FI38:FL38"/>
    <mergeCell ref="FP38:FS38"/>
    <mergeCell ref="FW38:FZ38"/>
    <mergeCell ref="GD38:GG38"/>
    <mergeCell ref="GK38:GN38"/>
    <mergeCell ref="GR38:GU38"/>
    <mergeCell ref="GY38:HB38"/>
    <mergeCell ref="HF38:HI38"/>
    <mergeCell ref="HM38:HP38"/>
    <mergeCell ref="HT38:HW38"/>
    <mergeCell ref="IA38:ID38"/>
    <mergeCell ref="IH38:IK38"/>
    <mergeCell ref="IO38:IR38"/>
    <mergeCell ref="IV38:IY38"/>
    <mergeCell ref="DZ39:EC39"/>
    <mergeCell ref="EG39:EJ39"/>
    <mergeCell ref="EN39:EQ39"/>
    <mergeCell ref="EU39:EX39"/>
    <mergeCell ref="FB39:FE39"/>
    <mergeCell ref="DZ40:EC40"/>
    <mergeCell ref="EG40:EJ40"/>
    <mergeCell ref="EN40:EQ40"/>
    <mergeCell ref="EU40:EX40"/>
    <mergeCell ref="FB40:FE40"/>
    <mergeCell ref="FB35:FE35"/>
    <mergeCell ref="DZ36:EC36"/>
    <mergeCell ref="EG36:EJ36"/>
    <mergeCell ref="EN36:EQ36"/>
    <mergeCell ref="EU36:EX36"/>
    <mergeCell ref="FB36:FE36"/>
    <mergeCell ref="DZ37:EC37"/>
    <mergeCell ref="EG37:EJ37"/>
    <mergeCell ref="EN37:EQ37"/>
    <mergeCell ref="EU37:EX37"/>
    <mergeCell ref="FB37:FE37"/>
    <mergeCell ref="DZ38:EC38"/>
    <mergeCell ref="EG38:EJ38"/>
    <mergeCell ref="EN38:EQ38"/>
    <mergeCell ref="EU38:EX38"/>
    <mergeCell ref="FB38:FE38"/>
    <mergeCell ref="FI39:FL39"/>
    <mergeCell ref="FP39:FS39"/>
    <mergeCell ref="FW39:FZ39"/>
    <mergeCell ref="GD39:GG39"/>
    <mergeCell ref="GK39:GN39"/>
    <mergeCell ref="FI40:FL40"/>
    <mergeCell ref="FP40:FS40"/>
    <mergeCell ref="FW40:FZ40"/>
    <mergeCell ref="GD40:GG40"/>
    <mergeCell ref="GK40:GN40"/>
    <mergeCell ref="GR32:GU32"/>
    <mergeCell ref="GY32:HB32"/>
    <mergeCell ref="HF32:HI32"/>
    <mergeCell ref="HM32:HP32"/>
    <mergeCell ref="DZ41:EC41"/>
    <mergeCell ref="EG41:EJ41"/>
    <mergeCell ref="EN41:EQ41"/>
    <mergeCell ref="EU41:EX41"/>
    <mergeCell ref="FB41:FE41"/>
    <mergeCell ref="FI57:FL57"/>
    <mergeCell ref="FP57:FS57"/>
    <mergeCell ref="FW57:FZ57"/>
    <mergeCell ref="GD57:GG57"/>
    <mergeCell ref="GK57:GN57"/>
    <mergeCell ref="GR57:GU57"/>
    <mergeCell ref="GY57:HB57"/>
    <mergeCell ref="HF57:HI57"/>
    <mergeCell ref="HM57:HP57"/>
    <mergeCell ref="HT57:HW57"/>
    <mergeCell ref="IA57:ID57"/>
    <mergeCell ref="IH57:IK57"/>
    <mergeCell ref="IO57:IR57"/>
    <mergeCell ref="IV57:IY57"/>
    <mergeCell ref="FI58:FL58"/>
    <mergeCell ref="FP58:FS58"/>
    <mergeCell ref="FW58:FZ58"/>
    <mergeCell ref="GD58:GG58"/>
    <mergeCell ref="GK58:GN58"/>
    <mergeCell ref="GR58:GU58"/>
    <mergeCell ref="GY58:HB58"/>
    <mergeCell ref="HF58:HI58"/>
    <mergeCell ref="HM58:HP58"/>
    <mergeCell ref="HT58:HW58"/>
    <mergeCell ref="IA58:ID58"/>
    <mergeCell ref="IH58:IK58"/>
    <mergeCell ref="IO58:IR58"/>
    <mergeCell ref="IV58:IY58"/>
    <mergeCell ref="DZ42:EC42"/>
    <mergeCell ref="EG42:EJ42"/>
    <mergeCell ref="EN42:EQ42"/>
    <mergeCell ref="EU42:EX42"/>
    <mergeCell ref="FB42:FE42"/>
    <mergeCell ref="DZ54:EC54"/>
    <mergeCell ref="EG54:EJ54"/>
    <mergeCell ref="EN54:EQ54"/>
    <mergeCell ref="EU54:EX54"/>
    <mergeCell ref="FB54:FE54"/>
    <mergeCell ref="DZ55:EC55"/>
    <mergeCell ref="EG55:EJ55"/>
    <mergeCell ref="EN55:EQ55"/>
    <mergeCell ref="EU55:EX55"/>
    <mergeCell ref="FB55:FE55"/>
    <mergeCell ref="DZ56:EC56"/>
    <mergeCell ref="EG56:EJ56"/>
    <mergeCell ref="EN56:EQ56"/>
    <mergeCell ref="EU56:EX56"/>
    <mergeCell ref="FB56:FE56"/>
    <mergeCell ref="DZ57:EC57"/>
    <mergeCell ref="EG57:EJ57"/>
    <mergeCell ref="EN57:EQ57"/>
    <mergeCell ref="EU57:EX57"/>
    <mergeCell ref="FB57:FE57"/>
    <mergeCell ref="DZ58:EC58"/>
    <mergeCell ref="EG58:EJ58"/>
    <mergeCell ref="EN58:EQ58"/>
    <mergeCell ref="EU58:EX58"/>
    <mergeCell ref="FB58:FE58"/>
    <mergeCell ref="FI41:FL41"/>
    <mergeCell ref="IH61:IK61"/>
    <mergeCell ref="IO61:IR61"/>
    <mergeCell ref="IV61:IY61"/>
    <mergeCell ref="BV62:BY62"/>
    <mergeCell ref="CC62:CF62"/>
    <mergeCell ref="CJ62:CM62"/>
    <mergeCell ref="CQ62:CT62"/>
    <mergeCell ref="CX62:DA62"/>
    <mergeCell ref="DE62:DH62"/>
    <mergeCell ref="DZ62:EC62"/>
    <mergeCell ref="EG62:EJ62"/>
    <mergeCell ref="EN62:EQ62"/>
    <mergeCell ref="EU62:EX62"/>
    <mergeCell ref="FB62:FE62"/>
    <mergeCell ref="FI62:FL62"/>
    <mergeCell ref="FP62:FS62"/>
    <mergeCell ref="FW62:FZ62"/>
    <mergeCell ref="GD62:GG62"/>
    <mergeCell ref="GK62:GN62"/>
    <mergeCell ref="GR62:GU62"/>
    <mergeCell ref="GY62:HB62"/>
    <mergeCell ref="HF62:HI62"/>
    <mergeCell ref="HM62:HP62"/>
    <mergeCell ref="HT62:HW62"/>
    <mergeCell ref="IA62:ID62"/>
    <mergeCell ref="IH62:IK62"/>
    <mergeCell ref="IO62:IR62"/>
    <mergeCell ref="IV62:IY62"/>
    <mergeCell ref="FI59:FL59"/>
    <mergeCell ref="FP59:FS59"/>
    <mergeCell ref="FW59:FZ59"/>
    <mergeCell ref="GD59:GG59"/>
    <mergeCell ref="GK59:GN59"/>
    <mergeCell ref="GR59:GU59"/>
    <mergeCell ref="GY59:HB59"/>
    <mergeCell ref="HF59:HI59"/>
    <mergeCell ref="HM59:HP59"/>
    <mergeCell ref="HT59:HW59"/>
    <mergeCell ref="IA59:ID59"/>
    <mergeCell ref="IH59:IK59"/>
    <mergeCell ref="IO59:IR59"/>
    <mergeCell ref="IV59:IY59"/>
    <mergeCell ref="DZ60:EC60"/>
    <mergeCell ref="EG60:EJ60"/>
    <mergeCell ref="EN60:EQ60"/>
    <mergeCell ref="EU60:EX60"/>
    <mergeCell ref="FB60:FE60"/>
    <mergeCell ref="FI60:FL60"/>
    <mergeCell ref="FP60:FS60"/>
    <mergeCell ref="FW60:FZ60"/>
    <mergeCell ref="GD60:GG60"/>
    <mergeCell ref="GK60:GN60"/>
    <mergeCell ref="GR60:GU60"/>
    <mergeCell ref="GY60:HB60"/>
    <mergeCell ref="HF60:HI60"/>
    <mergeCell ref="HM60:HP60"/>
    <mergeCell ref="HT60:HW60"/>
    <mergeCell ref="IA60:ID60"/>
    <mergeCell ref="IH60:IK60"/>
    <mergeCell ref="IO60:IR60"/>
    <mergeCell ref="IV60:IY60"/>
    <mergeCell ref="DZ59:EC59"/>
    <mergeCell ref="EG59:EJ59"/>
    <mergeCell ref="EN59:EQ59"/>
    <mergeCell ref="DE64:DH64"/>
    <mergeCell ref="DZ64:EC64"/>
    <mergeCell ref="EG64:EJ64"/>
    <mergeCell ref="EN64:EQ64"/>
    <mergeCell ref="EU64:EX64"/>
    <mergeCell ref="FB64:FE64"/>
    <mergeCell ref="FI64:FL64"/>
    <mergeCell ref="FP64:FS64"/>
    <mergeCell ref="FW64:FZ64"/>
    <mergeCell ref="GD64:GG64"/>
    <mergeCell ref="GK64:GN64"/>
    <mergeCell ref="GR64:GU64"/>
    <mergeCell ref="GY64:HB64"/>
    <mergeCell ref="HF64:HI64"/>
    <mergeCell ref="HM64:HP64"/>
    <mergeCell ref="HT64:HW64"/>
    <mergeCell ref="DE61:DH61"/>
    <mergeCell ref="DZ61:EC61"/>
    <mergeCell ref="EG61:EJ61"/>
    <mergeCell ref="EN61:EQ61"/>
    <mergeCell ref="EU61:EX61"/>
    <mergeCell ref="FB61:FE61"/>
    <mergeCell ref="FI61:FL61"/>
    <mergeCell ref="FP61:FS61"/>
    <mergeCell ref="FW61:FZ61"/>
    <mergeCell ref="GD61:GG61"/>
    <mergeCell ref="GK61:GN61"/>
    <mergeCell ref="GR61:GU61"/>
    <mergeCell ref="GY61:HB61"/>
    <mergeCell ref="HF61:HI61"/>
    <mergeCell ref="HM61:HP61"/>
    <mergeCell ref="HT61:HW61"/>
    <mergeCell ref="IA61:ID61"/>
    <mergeCell ref="IV63:IY63"/>
    <mergeCell ref="IA64:ID64"/>
    <mergeCell ref="IH64:IK64"/>
    <mergeCell ref="IO64:IR64"/>
    <mergeCell ref="IV64:IY64"/>
    <mergeCell ref="BV65:BY65"/>
    <mergeCell ref="BV66:BY66"/>
    <mergeCell ref="CC65:CF65"/>
    <mergeCell ref="CC66:CF66"/>
    <mergeCell ref="CJ65:CM65"/>
    <mergeCell ref="CJ66:CM66"/>
    <mergeCell ref="CQ65:CT65"/>
    <mergeCell ref="CQ66:CT66"/>
    <mergeCell ref="CX65:DA65"/>
    <mergeCell ref="CX66:DA66"/>
    <mergeCell ref="DE65:DH65"/>
    <mergeCell ref="DE66:DH66"/>
    <mergeCell ref="DZ65:EC65"/>
    <mergeCell ref="EG65:EJ65"/>
    <mergeCell ref="EN65:EQ65"/>
    <mergeCell ref="EU65:EX65"/>
    <mergeCell ref="FB65:FE65"/>
    <mergeCell ref="DZ66:EC66"/>
    <mergeCell ref="EG66:EJ66"/>
    <mergeCell ref="EN66:EQ66"/>
    <mergeCell ref="EU66:EX66"/>
    <mergeCell ref="FB66:FE66"/>
    <mergeCell ref="FI65:FL65"/>
    <mergeCell ref="FP65:FS65"/>
    <mergeCell ref="FW65:FZ65"/>
    <mergeCell ref="GD65:GG65"/>
    <mergeCell ref="GK65:GN65"/>
    <mergeCell ref="FI66:FL66"/>
    <mergeCell ref="FP66:FS66"/>
    <mergeCell ref="FW66:FZ66"/>
    <mergeCell ref="BV63:BY63"/>
    <mergeCell ref="CC63:CF63"/>
    <mergeCell ref="CJ63:CM63"/>
    <mergeCell ref="CQ63:CT63"/>
    <mergeCell ref="CX63:DA63"/>
    <mergeCell ref="DE63:DH63"/>
    <mergeCell ref="DZ63:EC63"/>
    <mergeCell ref="EG63:EJ63"/>
    <mergeCell ref="EN63:EQ63"/>
    <mergeCell ref="EU63:EX63"/>
    <mergeCell ref="FB63:FE63"/>
    <mergeCell ref="FI63:FL63"/>
    <mergeCell ref="FP63:FS63"/>
    <mergeCell ref="FW63:FZ63"/>
    <mergeCell ref="GD63:GG63"/>
    <mergeCell ref="GK63:GN63"/>
    <mergeCell ref="GR63:GU63"/>
    <mergeCell ref="GY63:HB63"/>
    <mergeCell ref="HF63:HI63"/>
    <mergeCell ref="HM63:HP63"/>
    <mergeCell ref="HT63:HW63"/>
    <mergeCell ref="IA63:ID63"/>
    <mergeCell ref="IH63:IK63"/>
    <mergeCell ref="IO63:IR63"/>
    <mergeCell ref="BV64:BY64"/>
    <mergeCell ref="CC64:CF64"/>
    <mergeCell ref="CJ64:CM64"/>
    <mergeCell ref="CQ64:CT64"/>
    <mergeCell ref="CX64:DA64"/>
    <mergeCell ref="BV67:BY67"/>
    <mergeCell ref="CC67:CF67"/>
    <mergeCell ref="CJ67:CM67"/>
    <mergeCell ref="CQ67:CT67"/>
    <mergeCell ref="CX67:DA67"/>
    <mergeCell ref="DE67:DH67"/>
    <mergeCell ref="DZ67:EC67"/>
    <mergeCell ref="EG67:EJ67"/>
    <mergeCell ref="EN67:EQ67"/>
    <mergeCell ref="EU67:EX67"/>
    <mergeCell ref="FB67:FE67"/>
    <mergeCell ref="GD66:GG66"/>
    <mergeCell ref="GK66:GN66"/>
    <mergeCell ref="FI67:FL67"/>
    <mergeCell ref="FP67:FS67"/>
    <mergeCell ref="FW67:FZ67"/>
    <mergeCell ref="GD67:GG67"/>
    <mergeCell ref="GK67:GN67"/>
    <mergeCell ref="BV68:BY68"/>
    <mergeCell ref="CC68:CF68"/>
    <mergeCell ref="CJ68:CM68"/>
    <mergeCell ref="CQ68:CT68"/>
    <mergeCell ref="CX68:DA68"/>
    <mergeCell ref="DE68:DH68"/>
    <mergeCell ref="DZ68:EC68"/>
    <mergeCell ref="EG68:EJ68"/>
    <mergeCell ref="EN68:EQ68"/>
    <mergeCell ref="EU68:EX68"/>
    <mergeCell ref="FB68:FE68"/>
    <mergeCell ref="FI68:FL68"/>
    <mergeCell ref="FP68:FS68"/>
    <mergeCell ref="FW68:FZ68"/>
    <mergeCell ref="GD68:GG68"/>
    <mergeCell ref="GK68:GN68"/>
    <mergeCell ref="BV69:BY69"/>
    <mergeCell ref="CC69:CF69"/>
    <mergeCell ref="CJ69:CM69"/>
    <mergeCell ref="CQ69:CT69"/>
    <mergeCell ref="CX69:DA69"/>
    <mergeCell ref="DE69:DH69"/>
    <mergeCell ref="DZ69:EC69"/>
    <mergeCell ref="EG69:EJ69"/>
    <mergeCell ref="EN69:EQ69"/>
    <mergeCell ref="EU69:EX69"/>
    <mergeCell ref="FB69:FE69"/>
    <mergeCell ref="FI69:FL69"/>
    <mergeCell ref="FP69:FS69"/>
    <mergeCell ref="FW69:FZ69"/>
    <mergeCell ref="GD69:GG69"/>
    <mergeCell ref="GK69:GN69"/>
    <mergeCell ref="BV70:BY70"/>
    <mergeCell ref="CC70:CF70"/>
    <mergeCell ref="CJ70:CM70"/>
    <mergeCell ref="CQ70:CT70"/>
    <mergeCell ref="CX70:DA70"/>
    <mergeCell ref="DE70:DH70"/>
    <mergeCell ref="DZ70:EC70"/>
    <mergeCell ref="EG70:EJ70"/>
    <mergeCell ref="EN70:EQ70"/>
    <mergeCell ref="EU70:EX70"/>
    <mergeCell ref="FB70:FE70"/>
    <mergeCell ref="FI70:FL70"/>
    <mergeCell ref="FP70:FS70"/>
    <mergeCell ref="FW70:FZ70"/>
    <mergeCell ref="GD70:GG70"/>
    <mergeCell ref="GK70:GN70"/>
    <mergeCell ref="BV71:BY71"/>
    <mergeCell ref="CC71:CF71"/>
    <mergeCell ref="CJ71:CM71"/>
    <mergeCell ref="CQ71:CT71"/>
    <mergeCell ref="CX71:DA71"/>
    <mergeCell ref="DE71:DH71"/>
    <mergeCell ref="DZ71:EC71"/>
    <mergeCell ref="EG71:EJ71"/>
    <mergeCell ref="EN71:EQ71"/>
    <mergeCell ref="EU71:EX71"/>
    <mergeCell ref="FB71:FE71"/>
    <mergeCell ref="FI71:FL71"/>
    <mergeCell ref="FP71:FS71"/>
    <mergeCell ref="FW71:FZ71"/>
    <mergeCell ref="GD71:GG71"/>
    <mergeCell ref="GK71:GN71"/>
    <mergeCell ref="BH72:BK72"/>
    <mergeCell ref="BO72:BR72"/>
    <mergeCell ref="BV72:BY72"/>
    <mergeCell ref="CC72:CF72"/>
    <mergeCell ref="CJ72:CM72"/>
    <mergeCell ref="CQ72:CT72"/>
    <mergeCell ref="CX72:DA72"/>
    <mergeCell ref="DE72:DH72"/>
    <mergeCell ref="DZ72:EC72"/>
    <mergeCell ref="EG72:EJ72"/>
    <mergeCell ref="EN72:EQ72"/>
    <mergeCell ref="EU72:EX72"/>
    <mergeCell ref="FB72:FE72"/>
    <mergeCell ref="FI72:FL72"/>
    <mergeCell ref="FP72:FS72"/>
    <mergeCell ref="FW72:FZ72"/>
    <mergeCell ref="GD72:GG72"/>
    <mergeCell ref="GK72:GN72"/>
    <mergeCell ref="GR72:GU72"/>
    <mergeCell ref="GY72:HB72"/>
    <mergeCell ref="HF72:HI72"/>
    <mergeCell ref="HM72:HP72"/>
    <mergeCell ref="HT72:HW72"/>
    <mergeCell ref="IA72:ID72"/>
    <mergeCell ref="IH72:IK72"/>
    <mergeCell ref="IO72:IR72"/>
    <mergeCell ref="IV72:IY72"/>
    <mergeCell ref="BH73:BK73"/>
    <mergeCell ref="BO73:BR73"/>
    <mergeCell ref="BV73:BY73"/>
    <mergeCell ref="CC73:CF73"/>
    <mergeCell ref="CJ73:CM73"/>
    <mergeCell ref="CQ73:CT73"/>
    <mergeCell ref="CX73:DA73"/>
    <mergeCell ref="DE73:DH73"/>
    <mergeCell ref="DZ73:EC73"/>
    <mergeCell ref="EG73:EJ73"/>
    <mergeCell ref="EN73:EQ73"/>
    <mergeCell ref="EU73:EX73"/>
    <mergeCell ref="FB73:FE73"/>
    <mergeCell ref="FI73:FL73"/>
    <mergeCell ref="FP73:FS73"/>
    <mergeCell ref="FW73:FZ73"/>
    <mergeCell ref="GD73:GG73"/>
    <mergeCell ref="GK73:GN73"/>
    <mergeCell ref="GR73:GU73"/>
    <mergeCell ref="GY73:HB73"/>
    <mergeCell ref="HF73:HI73"/>
    <mergeCell ref="HM73:HP73"/>
    <mergeCell ref="HT73:HW73"/>
    <mergeCell ref="IA73:ID73"/>
    <mergeCell ref="BH74:BK74"/>
    <mergeCell ref="BO74:BR74"/>
    <mergeCell ref="BV74:BY74"/>
    <mergeCell ref="CC74:CF74"/>
    <mergeCell ref="CJ74:CM74"/>
    <mergeCell ref="CQ74:CT74"/>
    <mergeCell ref="CX74:DA74"/>
    <mergeCell ref="DE74:DH74"/>
    <mergeCell ref="DZ74:EC74"/>
    <mergeCell ref="EG74:EJ74"/>
    <mergeCell ref="EN74:EQ74"/>
    <mergeCell ref="EU74:EX74"/>
    <mergeCell ref="FB74:FE74"/>
    <mergeCell ref="FI74:FL74"/>
    <mergeCell ref="FP74:FS74"/>
    <mergeCell ref="FW74:FZ74"/>
    <mergeCell ref="GD74:GG74"/>
    <mergeCell ref="GK74:GN74"/>
    <mergeCell ref="GR74:GU74"/>
    <mergeCell ref="GY74:HB74"/>
    <mergeCell ref="HF74:HI74"/>
    <mergeCell ref="HM74:HP74"/>
    <mergeCell ref="HT74:HW74"/>
    <mergeCell ref="IH73:IK73"/>
    <mergeCell ref="IO73:IR73"/>
    <mergeCell ref="IV73:IY73"/>
    <mergeCell ref="IA74:ID74"/>
    <mergeCell ref="IH74:IK74"/>
    <mergeCell ref="IO74:IR74"/>
    <mergeCell ref="IV74:IY74"/>
    <mergeCell ref="BH75:BK75"/>
    <mergeCell ref="BO75:BR75"/>
    <mergeCell ref="BV75:BY75"/>
    <mergeCell ref="CC75:CF75"/>
    <mergeCell ref="CJ75:CM75"/>
    <mergeCell ref="CQ75:CT75"/>
    <mergeCell ref="CX75:DA75"/>
    <mergeCell ref="DE75:DH75"/>
    <mergeCell ref="DZ75:EC75"/>
    <mergeCell ref="EG75:EJ75"/>
    <mergeCell ref="EN75:EQ75"/>
    <mergeCell ref="EU75:EX75"/>
    <mergeCell ref="FB75:FE75"/>
    <mergeCell ref="FI75:FL75"/>
    <mergeCell ref="FP75:FS75"/>
    <mergeCell ref="FW75:FZ75"/>
    <mergeCell ref="GD75:GG75"/>
    <mergeCell ref="GK75:GN75"/>
    <mergeCell ref="GR75:GU75"/>
    <mergeCell ref="GY75:HB75"/>
    <mergeCell ref="HF75:HI75"/>
    <mergeCell ref="HM75:HP75"/>
    <mergeCell ref="HT75:HW75"/>
    <mergeCell ref="IA75:ID75"/>
    <mergeCell ref="IH75:IK75"/>
    <mergeCell ref="IO75:IR75"/>
    <mergeCell ref="IV75:IY75"/>
    <mergeCell ref="BH76:BK76"/>
    <mergeCell ref="BH77:BK77"/>
    <mergeCell ref="BO76:BR76"/>
    <mergeCell ref="BO77:BR77"/>
    <mergeCell ref="BV76:BY76"/>
    <mergeCell ref="BV77:BY77"/>
    <mergeCell ref="CC76:CF76"/>
    <mergeCell ref="CC77:CF77"/>
    <mergeCell ref="CJ76:CM76"/>
    <mergeCell ref="CJ77:CM77"/>
    <mergeCell ref="CQ76:CT76"/>
    <mergeCell ref="CQ77:CT77"/>
    <mergeCell ref="CX76:DA76"/>
    <mergeCell ref="CX77:DA77"/>
    <mergeCell ref="DE76:DH76"/>
    <mergeCell ref="DE77:DH77"/>
    <mergeCell ref="DZ76:EC76"/>
    <mergeCell ref="EG76:EJ76"/>
    <mergeCell ref="EN76:EQ76"/>
    <mergeCell ref="EU76:EX76"/>
    <mergeCell ref="FB76:FE76"/>
    <mergeCell ref="DZ77:EC77"/>
    <mergeCell ref="EG77:EJ77"/>
    <mergeCell ref="EN77:EQ77"/>
    <mergeCell ref="BH78:BK78"/>
    <mergeCell ref="BO78:BR78"/>
    <mergeCell ref="BV78:BY78"/>
    <mergeCell ref="CC78:CF78"/>
    <mergeCell ref="CJ78:CM78"/>
    <mergeCell ref="CQ78:CT78"/>
    <mergeCell ref="CX78:DA78"/>
    <mergeCell ref="DE78:DH78"/>
    <mergeCell ref="EU77:EX77"/>
    <mergeCell ref="FB77:FE77"/>
    <mergeCell ref="DZ78:EC78"/>
    <mergeCell ref="EG78:EJ78"/>
    <mergeCell ref="EN78:EQ78"/>
    <mergeCell ref="EU78:EX78"/>
    <mergeCell ref="FB78:FE78"/>
    <mergeCell ref="BH79:BK79"/>
    <mergeCell ref="BO79:BR79"/>
    <mergeCell ref="BV79:BY79"/>
    <mergeCell ref="CC79:CF79"/>
    <mergeCell ref="CJ79:CM79"/>
    <mergeCell ref="CQ79:CT79"/>
    <mergeCell ref="CX79:DA79"/>
    <mergeCell ref="DE79:DH79"/>
    <mergeCell ref="DZ79:EC79"/>
    <mergeCell ref="EG79:EJ79"/>
    <mergeCell ref="EN79:EQ79"/>
    <mergeCell ref="EU79:EX79"/>
    <mergeCell ref="FB79:FE79"/>
    <mergeCell ref="BH80:BK80"/>
    <mergeCell ref="BO80:BR80"/>
    <mergeCell ref="BV80:BY80"/>
    <mergeCell ref="CC80:CF80"/>
    <mergeCell ref="CJ80:CM80"/>
    <mergeCell ref="CQ80:CT80"/>
    <mergeCell ref="CX80:DA80"/>
    <mergeCell ref="DE80:DH80"/>
    <mergeCell ref="DZ80:EC80"/>
    <mergeCell ref="EG80:EJ80"/>
    <mergeCell ref="EN80:EQ80"/>
    <mergeCell ref="EU80:EX80"/>
    <mergeCell ref="FB80:FE80"/>
    <mergeCell ref="R81:U81"/>
    <mergeCell ref="Y81:AB81"/>
    <mergeCell ref="AF81:AI81"/>
    <mergeCell ref="AM81:AP81"/>
    <mergeCell ref="AT81:AW81"/>
    <mergeCell ref="BA81:BD81"/>
    <mergeCell ref="BH81:BK81"/>
    <mergeCell ref="BO81:BR81"/>
    <mergeCell ref="BV81:BY81"/>
    <mergeCell ref="CC81:CF81"/>
    <mergeCell ref="CJ81:CM81"/>
    <mergeCell ref="CQ81:CT81"/>
    <mergeCell ref="CX81:DA81"/>
    <mergeCell ref="DE81:DH81"/>
    <mergeCell ref="DZ81:EC81"/>
    <mergeCell ref="EG81:EJ81"/>
    <mergeCell ref="EN81:EQ81"/>
    <mergeCell ref="EU81:EX81"/>
    <mergeCell ref="FB81:FE81"/>
    <mergeCell ref="AM84:AP84"/>
    <mergeCell ref="AT84:AW84"/>
    <mergeCell ref="BA84:BD84"/>
    <mergeCell ref="BH84:BK84"/>
    <mergeCell ref="BO84:BR84"/>
    <mergeCell ref="BV84:BY84"/>
    <mergeCell ref="CC84:CF84"/>
    <mergeCell ref="CJ84:CM84"/>
    <mergeCell ref="CQ84:CT84"/>
    <mergeCell ref="CX84:DA84"/>
    <mergeCell ref="DE84:DH84"/>
    <mergeCell ref="DZ84:EC84"/>
    <mergeCell ref="EG84:EJ84"/>
    <mergeCell ref="EN84:EQ84"/>
    <mergeCell ref="EU84:EX84"/>
    <mergeCell ref="FB84:FE84"/>
    <mergeCell ref="FI84:FL84"/>
    <mergeCell ref="FP84:FS84"/>
    <mergeCell ref="FW84:FZ84"/>
    <mergeCell ref="GD84:GG84"/>
    <mergeCell ref="GK84:GN84"/>
    <mergeCell ref="GR83:GU83"/>
    <mergeCell ref="GY83:HB83"/>
    <mergeCell ref="HF83:HI83"/>
    <mergeCell ref="HM83:HP83"/>
    <mergeCell ref="R82:U82"/>
    <mergeCell ref="Y82:AB82"/>
    <mergeCell ref="AF82:AI82"/>
    <mergeCell ref="AM82:AP82"/>
    <mergeCell ref="AT82:AW82"/>
    <mergeCell ref="BA82:BD82"/>
    <mergeCell ref="BH82:BK82"/>
    <mergeCell ref="BO82:BR82"/>
    <mergeCell ref="BV82:BY82"/>
    <mergeCell ref="CC82:CF82"/>
    <mergeCell ref="CJ82:CM82"/>
    <mergeCell ref="CQ82:CT82"/>
    <mergeCell ref="CX82:DA82"/>
    <mergeCell ref="DE82:DH82"/>
    <mergeCell ref="DZ82:EC82"/>
    <mergeCell ref="EG82:EJ82"/>
    <mergeCell ref="EN82:EQ82"/>
    <mergeCell ref="EU82:EX82"/>
    <mergeCell ref="FB82:FE82"/>
    <mergeCell ref="R83:U83"/>
    <mergeCell ref="Y83:AB83"/>
    <mergeCell ref="AF83:AI83"/>
    <mergeCell ref="AM83:AP83"/>
    <mergeCell ref="AT83:AW83"/>
    <mergeCell ref="BA83:BD83"/>
    <mergeCell ref="BH83:BK83"/>
    <mergeCell ref="BO83:BR83"/>
    <mergeCell ref="BV83:BY83"/>
    <mergeCell ref="CC83:CF83"/>
    <mergeCell ref="CJ83:CM83"/>
    <mergeCell ref="CQ83:CT83"/>
    <mergeCell ref="CX83:DA83"/>
    <mergeCell ref="DE83:DH83"/>
    <mergeCell ref="DZ83:EC83"/>
    <mergeCell ref="EG83:EJ83"/>
    <mergeCell ref="EN83:EQ83"/>
    <mergeCell ref="EU83:EX83"/>
    <mergeCell ref="FB83:FE83"/>
    <mergeCell ref="HT83:HW83"/>
    <mergeCell ref="GR84:GU84"/>
    <mergeCell ref="R85:U85"/>
    <mergeCell ref="Y85:AB85"/>
    <mergeCell ref="AF85:AI85"/>
    <mergeCell ref="AM85:AP85"/>
    <mergeCell ref="AT85:AW85"/>
    <mergeCell ref="BA85:BD85"/>
    <mergeCell ref="BH85:BK85"/>
    <mergeCell ref="BO85:BR85"/>
    <mergeCell ref="BV85:BY85"/>
    <mergeCell ref="CC85:CF85"/>
    <mergeCell ref="CJ85:CM85"/>
    <mergeCell ref="CQ85:CT85"/>
    <mergeCell ref="CX85:DA85"/>
    <mergeCell ref="DE85:DH85"/>
    <mergeCell ref="DZ85:EC85"/>
    <mergeCell ref="EG85:EJ85"/>
    <mergeCell ref="EN85:EQ85"/>
    <mergeCell ref="EU85:EX85"/>
    <mergeCell ref="FB85:FE85"/>
    <mergeCell ref="FI85:FL85"/>
    <mergeCell ref="FP85:FS85"/>
    <mergeCell ref="FW85:FZ85"/>
    <mergeCell ref="GD85:GG85"/>
    <mergeCell ref="GK85:GN85"/>
    <mergeCell ref="GY84:HB84"/>
    <mergeCell ref="HF84:HI84"/>
    <mergeCell ref="HM84:HP84"/>
    <mergeCell ref="HT84:HW84"/>
    <mergeCell ref="GR85:GU85"/>
    <mergeCell ref="GY85:HB85"/>
    <mergeCell ref="R86:U86"/>
    <mergeCell ref="Y86:AB86"/>
    <mergeCell ref="AF86:AI86"/>
    <mergeCell ref="AM86:AP86"/>
    <mergeCell ref="AT86:AW86"/>
    <mergeCell ref="BA86:BD86"/>
    <mergeCell ref="BH86:BK86"/>
    <mergeCell ref="BO86:BR86"/>
    <mergeCell ref="BV86:BY86"/>
    <mergeCell ref="CC86:CF86"/>
    <mergeCell ref="CJ86:CM86"/>
    <mergeCell ref="CQ86:CT86"/>
    <mergeCell ref="CX86:DA86"/>
    <mergeCell ref="DE86:DH86"/>
    <mergeCell ref="DZ86:EC86"/>
    <mergeCell ref="EG86:EJ86"/>
    <mergeCell ref="EN86:EQ86"/>
    <mergeCell ref="EU86:EX86"/>
    <mergeCell ref="FB86:FE86"/>
    <mergeCell ref="FI86:FL86"/>
    <mergeCell ref="FP86:FS86"/>
    <mergeCell ref="FW86:FZ86"/>
    <mergeCell ref="GD86:GG86"/>
    <mergeCell ref="GK86:GN86"/>
    <mergeCell ref="FI83:FL83"/>
    <mergeCell ref="FP83:FS83"/>
    <mergeCell ref="FW83:FZ83"/>
    <mergeCell ref="GD83:GG83"/>
    <mergeCell ref="GK83:GN83"/>
    <mergeCell ref="R84:U84"/>
    <mergeCell ref="Y84:AB84"/>
    <mergeCell ref="AF84:AI84"/>
    <mergeCell ref="R87:U87"/>
    <mergeCell ref="R88:U88"/>
    <mergeCell ref="Y87:AB87"/>
    <mergeCell ref="Y88:AB88"/>
    <mergeCell ref="AF87:AI87"/>
    <mergeCell ref="AF88:AI88"/>
    <mergeCell ref="AM87:AP87"/>
    <mergeCell ref="AM88:AP88"/>
    <mergeCell ref="AT87:AW87"/>
    <mergeCell ref="AT88:AW88"/>
    <mergeCell ref="BA87:BD87"/>
    <mergeCell ref="BA88:BD88"/>
    <mergeCell ref="BH87:BK87"/>
    <mergeCell ref="BH88:BK88"/>
    <mergeCell ref="BO87:BR87"/>
    <mergeCell ref="BO88:BR88"/>
    <mergeCell ref="BV87:BY87"/>
    <mergeCell ref="BV88:BY88"/>
    <mergeCell ref="CC87:CF87"/>
    <mergeCell ref="CC88:CF88"/>
    <mergeCell ref="CJ87:CM87"/>
    <mergeCell ref="CJ88:CM88"/>
    <mergeCell ref="CQ87:CT87"/>
    <mergeCell ref="CQ88:CT88"/>
    <mergeCell ref="CX87:DA87"/>
    <mergeCell ref="CX88:DA88"/>
    <mergeCell ref="DE87:DH87"/>
    <mergeCell ref="DE88:DH88"/>
    <mergeCell ref="DZ87:EC87"/>
    <mergeCell ref="EG87:EJ87"/>
    <mergeCell ref="R89:U89"/>
    <mergeCell ref="Y89:AB89"/>
    <mergeCell ref="AF89:AI89"/>
    <mergeCell ref="AM89:AP89"/>
    <mergeCell ref="AT89:AW89"/>
    <mergeCell ref="BA89:BD89"/>
    <mergeCell ref="BH89:BK89"/>
    <mergeCell ref="BO89:BR89"/>
    <mergeCell ref="BV89:BY89"/>
    <mergeCell ref="CC89:CF89"/>
    <mergeCell ref="CJ89:CM89"/>
    <mergeCell ref="CQ89:CT89"/>
    <mergeCell ref="CX89:DA89"/>
    <mergeCell ref="DE89:DH89"/>
    <mergeCell ref="R90:U90"/>
    <mergeCell ref="Y90:AB90"/>
    <mergeCell ref="AF90:AI90"/>
    <mergeCell ref="AM90:AP90"/>
    <mergeCell ref="AT90:AW90"/>
    <mergeCell ref="BA90:BD90"/>
    <mergeCell ref="BH90:BK90"/>
    <mergeCell ref="BO90:BR90"/>
    <mergeCell ref="BV90:BY90"/>
    <mergeCell ref="CC90:CF90"/>
    <mergeCell ref="CJ90:CM90"/>
    <mergeCell ref="CQ90:CT90"/>
    <mergeCell ref="CX90:DA90"/>
    <mergeCell ref="DE90:DH90"/>
    <mergeCell ref="IA90:ID90"/>
    <mergeCell ref="IH90:IK90"/>
    <mergeCell ref="IO90:IR90"/>
    <mergeCell ref="IV90:IY90"/>
    <mergeCell ref="R91:U91"/>
    <mergeCell ref="Y91:AB91"/>
    <mergeCell ref="AF91:AI91"/>
    <mergeCell ref="AM91:AP91"/>
    <mergeCell ref="AT91:AW91"/>
    <mergeCell ref="BA91:BD91"/>
    <mergeCell ref="BH91:BK91"/>
    <mergeCell ref="BO91:BR91"/>
    <mergeCell ref="BV91:BY91"/>
    <mergeCell ref="CC91:CF91"/>
    <mergeCell ref="CJ91:CM91"/>
    <mergeCell ref="CQ91:CT91"/>
    <mergeCell ref="CX91:DA91"/>
    <mergeCell ref="DE91:DH91"/>
    <mergeCell ref="IA91:ID91"/>
    <mergeCell ref="IH91:IK91"/>
    <mergeCell ref="IO91:IR91"/>
    <mergeCell ref="IV91:IY91"/>
    <mergeCell ref="R92:U92"/>
    <mergeCell ref="Y92:AB92"/>
    <mergeCell ref="AF92:AI92"/>
    <mergeCell ref="AM92:AP92"/>
    <mergeCell ref="AT92:AW92"/>
    <mergeCell ref="BA92:BD92"/>
    <mergeCell ref="BH92:BK92"/>
    <mergeCell ref="BO92:BR92"/>
    <mergeCell ref="BV92:BY92"/>
    <mergeCell ref="CC92:CF92"/>
    <mergeCell ref="CJ92:CM92"/>
    <mergeCell ref="CQ92:CT92"/>
    <mergeCell ref="CX92:DA92"/>
    <mergeCell ref="DE92:DH92"/>
    <mergeCell ref="GR92:GU92"/>
    <mergeCell ref="GY92:HB92"/>
    <mergeCell ref="HF92:HI92"/>
    <mergeCell ref="HM92:HP92"/>
    <mergeCell ref="HT92:HW92"/>
    <mergeCell ref="IA92:ID92"/>
    <mergeCell ref="IH92:IK92"/>
    <mergeCell ref="IO92:IR92"/>
    <mergeCell ref="IV92:IY92"/>
    <mergeCell ref="R93:U93"/>
    <mergeCell ref="Y93:AB93"/>
    <mergeCell ref="AF93:AI93"/>
    <mergeCell ref="AM93:AP93"/>
    <mergeCell ref="AT93:AW93"/>
    <mergeCell ref="BA93:BD93"/>
    <mergeCell ref="BH93:BK93"/>
    <mergeCell ref="BO93:BR93"/>
    <mergeCell ref="BV93:BY93"/>
    <mergeCell ref="CC93:CF93"/>
    <mergeCell ref="CJ93:CM93"/>
    <mergeCell ref="CQ93:CT93"/>
    <mergeCell ref="CX93:DA93"/>
    <mergeCell ref="DE93:DH93"/>
    <mergeCell ref="GR93:GU93"/>
    <mergeCell ref="GY93:HB93"/>
    <mergeCell ref="HF93:HI93"/>
    <mergeCell ref="HM93:HP93"/>
    <mergeCell ref="HT93:HW93"/>
    <mergeCell ref="IA93:ID93"/>
    <mergeCell ref="IH93:IK93"/>
    <mergeCell ref="IO93:IR93"/>
    <mergeCell ref="IV93:IY93"/>
    <mergeCell ref="GR94:GU94"/>
    <mergeCell ref="GY94:HB94"/>
    <mergeCell ref="HF94:HI94"/>
    <mergeCell ref="HM94:HP94"/>
    <mergeCell ref="HT94:HW94"/>
    <mergeCell ref="IA94:ID94"/>
    <mergeCell ref="R95:U95"/>
    <mergeCell ref="Y95:AB95"/>
    <mergeCell ref="AF95:AI95"/>
    <mergeCell ref="AM95:AP95"/>
    <mergeCell ref="AT95:AW95"/>
    <mergeCell ref="BA95:BD95"/>
    <mergeCell ref="BH95:BK95"/>
    <mergeCell ref="BO95:BR95"/>
    <mergeCell ref="BV95:BY95"/>
    <mergeCell ref="CC95:CF95"/>
    <mergeCell ref="CJ95:CM95"/>
    <mergeCell ref="CQ95:CT95"/>
    <mergeCell ref="CX95:DA95"/>
    <mergeCell ref="DE95:DH95"/>
    <mergeCell ref="DZ95:EC95"/>
    <mergeCell ref="EG95:EJ95"/>
    <mergeCell ref="EN95:EQ95"/>
    <mergeCell ref="EU95:EX95"/>
    <mergeCell ref="FB95:FE95"/>
    <mergeCell ref="FI95:FL95"/>
    <mergeCell ref="FP95:FS95"/>
    <mergeCell ref="FW95:FZ95"/>
    <mergeCell ref="GD95:GG95"/>
    <mergeCell ref="GK95:GN95"/>
    <mergeCell ref="GR95:GU95"/>
    <mergeCell ref="GY95:HB95"/>
    <mergeCell ref="HF95:HI95"/>
    <mergeCell ref="HM95:HP95"/>
    <mergeCell ref="HT95:HW95"/>
    <mergeCell ref="DL94:DO94"/>
    <mergeCell ref="DL95:DO95"/>
    <mergeCell ref="BA97:BD97"/>
    <mergeCell ref="BH97:BK97"/>
    <mergeCell ref="BO97:BR97"/>
    <mergeCell ref="BV97:BY97"/>
    <mergeCell ref="CC97:CF97"/>
    <mergeCell ref="CJ97:CM97"/>
    <mergeCell ref="CQ97:CT97"/>
    <mergeCell ref="CX97:DA97"/>
    <mergeCell ref="DE97:DH97"/>
    <mergeCell ref="DZ97:EC97"/>
    <mergeCell ref="EG97:EJ97"/>
    <mergeCell ref="EN97:EQ97"/>
    <mergeCell ref="EU97:EX97"/>
    <mergeCell ref="FB97:FE97"/>
    <mergeCell ref="FI97:FL97"/>
    <mergeCell ref="FP97:FS97"/>
    <mergeCell ref="FW97:FZ97"/>
    <mergeCell ref="GD97:GG97"/>
    <mergeCell ref="GK97:GN97"/>
    <mergeCell ref="R94:U94"/>
    <mergeCell ref="Y94:AB94"/>
    <mergeCell ref="AF94:AI94"/>
    <mergeCell ref="AM94:AP94"/>
    <mergeCell ref="AT94:AW94"/>
    <mergeCell ref="BA94:BD94"/>
    <mergeCell ref="BH94:BK94"/>
    <mergeCell ref="BO94:BR94"/>
    <mergeCell ref="BV94:BY94"/>
    <mergeCell ref="CC94:CF94"/>
    <mergeCell ref="CJ94:CM94"/>
    <mergeCell ref="CQ94:CT94"/>
    <mergeCell ref="CX94:DA94"/>
    <mergeCell ref="DE94:DH94"/>
    <mergeCell ref="DZ94:EC94"/>
    <mergeCell ref="EG94:EJ94"/>
    <mergeCell ref="EN94:EQ94"/>
    <mergeCell ref="EU94:EX94"/>
    <mergeCell ref="FB94:FE94"/>
    <mergeCell ref="FI94:FL94"/>
    <mergeCell ref="FP94:FS94"/>
    <mergeCell ref="FW94:FZ94"/>
    <mergeCell ref="GD94:GG94"/>
    <mergeCell ref="GK94:GN94"/>
    <mergeCell ref="DL96:DO96"/>
    <mergeCell ref="DL97:DO97"/>
    <mergeCell ref="GR96:GU96"/>
    <mergeCell ref="GY96:HB96"/>
    <mergeCell ref="HF96:HI96"/>
    <mergeCell ref="HM96:HP96"/>
    <mergeCell ref="HT96:HW96"/>
    <mergeCell ref="GR97:GU97"/>
    <mergeCell ref="R98:U98"/>
    <mergeCell ref="R99:U99"/>
    <mergeCell ref="Y98:AB98"/>
    <mergeCell ref="Y99:AB99"/>
    <mergeCell ref="AF98:AI98"/>
    <mergeCell ref="AF99:AI99"/>
    <mergeCell ref="AM98:AP98"/>
    <mergeCell ref="AM99:AP99"/>
    <mergeCell ref="AT98:AW98"/>
    <mergeCell ref="AT99:AW99"/>
    <mergeCell ref="BA98:BD98"/>
    <mergeCell ref="BA99:BD99"/>
    <mergeCell ref="BH98:BK98"/>
    <mergeCell ref="BH99:BK99"/>
    <mergeCell ref="BO98:BR98"/>
    <mergeCell ref="BO99:BR99"/>
    <mergeCell ref="BV99:BY99"/>
    <mergeCell ref="CC98:CF98"/>
    <mergeCell ref="CC99:CF99"/>
    <mergeCell ref="CJ98:CM98"/>
    <mergeCell ref="CJ99:CM99"/>
    <mergeCell ref="CQ98:CT98"/>
    <mergeCell ref="CQ99:CT99"/>
    <mergeCell ref="CX98:DA98"/>
    <mergeCell ref="CX99:DA99"/>
    <mergeCell ref="DE98:DH98"/>
    <mergeCell ref="DE99:DH99"/>
    <mergeCell ref="DZ98:EC98"/>
    <mergeCell ref="EG98:EJ98"/>
    <mergeCell ref="R96:U96"/>
    <mergeCell ref="Y96:AB96"/>
    <mergeCell ref="AF96:AI96"/>
    <mergeCell ref="AM96:AP96"/>
    <mergeCell ref="AT96:AW96"/>
    <mergeCell ref="BA96:BD96"/>
    <mergeCell ref="BH96:BK96"/>
    <mergeCell ref="BO96:BR96"/>
    <mergeCell ref="BV96:BY96"/>
    <mergeCell ref="CC96:CF96"/>
    <mergeCell ref="CJ96:CM96"/>
    <mergeCell ref="CQ96:CT96"/>
    <mergeCell ref="CX96:DA96"/>
    <mergeCell ref="DE96:DH96"/>
    <mergeCell ref="DZ96:EC96"/>
    <mergeCell ref="EG96:EJ96"/>
    <mergeCell ref="EN96:EQ96"/>
    <mergeCell ref="EU96:EX96"/>
    <mergeCell ref="FB96:FE96"/>
    <mergeCell ref="FI96:FL96"/>
    <mergeCell ref="FP96:FS96"/>
    <mergeCell ref="FW96:FZ96"/>
    <mergeCell ref="GD96:GG96"/>
    <mergeCell ref="GK96:GN96"/>
    <mergeCell ref="R97:U97"/>
    <mergeCell ref="Y97:AB97"/>
    <mergeCell ref="AF97:AI97"/>
    <mergeCell ref="AM97:AP97"/>
    <mergeCell ref="AT97:AW97"/>
    <mergeCell ref="K100:N100"/>
    <mergeCell ref="R100:U100"/>
    <mergeCell ref="Y100:AB100"/>
    <mergeCell ref="AF100:AI100"/>
    <mergeCell ref="AM100:AP100"/>
    <mergeCell ref="AT100:AW100"/>
    <mergeCell ref="BA100:BD100"/>
    <mergeCell ref="BH100:BK100"/>
    <mergeCell ref="BO100:BR100"/>
    <mergeCell ref="BV100:BY100"/>
    <mergeCell ref="CC100:CF100"/>
    <mergeCell ref="CJ100:CM100"/>
    <mergeCell ref="CQ100:CT100"/>
    <mergeCell ref="CX100:DA100"/>
    <mergeCell ref="DE100:DH100"/>
    <mergeCell ref="K101:N101"/>
    <mergeCell ref="R101:U101"/>
    <mergeCell ref="Y101:AB101"/>
    <mergeCell ref="AF101:AI101"/>
    <mergeCell ref="AM101:AP101"/>
    <mergeCell ref="AT101:AW101"/>
    <mergeCell ref="BA101:BD101"/>
    <mergeCell ref="BH101:BK101"/>
    <mergeCell ref="BO101:BR101"/>
    <mergeCell ref="BV101:BY101"/>
    <mergeCell ref="CC101:CF101"/>
    <mergeCell ref="CJ101:CM101"/>
    <mergeCell ref="CQ101:CT101"/>
    <mergeCell ref="CX101:DA101"/>
    <mergeCell ref="DE101:DH101"/>
    <mergeCell ref="IA101:ID101"/>
    <mergeCell ref="IH101:IK101"/>
    <mergeCell ref="IO101:IR101"/>
    <mergeCell ref="FI100:FL100"/>
    <mergeCell ref="FP100:FS100"/>
    <mergeCell ref="FW100:FZ100"/>
    <mergeCell ref="GD100:GG100"/>
    <mergeCell ref="GK100:GN100"/>
    <mergeCell ref="FI101:FL101"/>
    <mergeCell ref="FP101:FS101"/>
    <mergeCell ref="FW101:FZ101"/>
    <mergeCell ref="GD101:GG101"/>
    <mergeCell ref="GK101:GN101"/>
    <mergeCell ref="IV101:IY101"/>
    <mergeCell ref="K102:N102"/>
    <mergeCell ref="R102:U102"/>
    <mergeCell ref="Y102:AB102"/>
    <mergeCell ref="AF102:AI102"/>
    <mergeCell ref="AM102:AP102"/>
    <mergeCell ref="AT102:AW102"/>
    <mergeCell ref="BA102:BD102"/>
    <mergeCell ref="BH102:BK102"/>
    <mergeCell ref="BO102:BR102"/>
    <mergeCell ref="BV102:BY102"/>
    <mergeCell ref="CC102:CF102"/>
    <mergeCell ref="CJ102:CM102"/>
    <mergeCell ref="CQ102:CT102"/>
    <mergeCell ref="CX102:DA102"/>
    <mergeCell ref="DE102:DH102"/>
    <mergeCell ref="IA102:ID102"/>
    <mergeCell ref="IH102:IK102"/>
    <mergeCell ref="IO102:IR102"/>
    <mergeCell ref="IV102:IY102"/>
    <mergeCell ref="K103:N103"/>
    <mergeCell ref="R103:U103"/>
    <mergeCell ref="Y103:AB103"/>
    <mergeCell ref="AF103:AI103"/>
    <mergeCell ref="AM103:AP103"/>
    <mergeCell ref="AT103:AW103"/>
    <mergeCell ref="BA103:BD103"/>
    <mergeCell ref="BH103:BK103"/>
    <mergeCell ref="BO103:BR103"/>
    <mergeCell ref="BV103:BY103"/>
    <mergeCell ref="CC103:CF103"/>
    <mergeCell ref="CJ103:CM103"/>
    <mergeCell ref="CQ103:CT103"/>
    <mergeCell ref="CX103:DA103"/>
    <mergeCell ref="DE103:DH103"/>
    <mergeCell ref="IA103:ID103"/>
    <mergeCell ref="IH103:IK103"/>
    <mergeCell ref="IO103:IR103"/>
    <mergeCell ref="IV103:IY103"/>
    <mergeCell ref="FI102:FL102"/>
    <mergeCell ref="FP102:FS102"/>
    <mergeCell ref="FW102:FZ102"/>
    <mergeCell ref="GD102:GG102"/>
    <mergeCell ref="GK102:GN102"/>
    <mergeCell ref="FI103:FL103"/>
    <mergeCell ref="FP103:FS103"/>
    <mergeCell ref="FW103:FZ103"/>
    <mergeCell ref="GD103:GG103"/>
    <mergeCell ref="GK103:GN103"/>
    <mergeCell ref="HM104:HP104"/>
    <mergeCell ref="HT104:HW104"/>
    <mergeCell ref="IA104:ID104"/>
    <mergeCell ref="IH104:IK104"/>
    <mergeCell ref="IO104:IR104"/>
    <mergeCell ref="IV104:IY104"/>
    <mergeCell ref="DS104:DV104"/>
    <mergeCell ref="K105:N105"/>
    <mergeCell ref="R105:U105"/>
    <mergeCell ref="Y105:AB105"/>
    <mergeCell ref="AF105:AI105"/>
    <mergeCell ref="AM105:AP105"/>
    <mergeCell ref="AT105:AW105"/>
    <mergeCell ref="BA105:BD105"/>
    <mergeCell ref="BH105:BK105"/>
    <mergeCell ref="BO105:BR105"/>
    <mergeCell ref="BV105:BY105"/>
    <mergeCell ref="CC105:CF105"/>
    <mergeCell ref="CJ105:CM105"/>
    <mergeCell ref="CQ105:CT105"/>
    <mergeCell ref="CX105:DA105"/>
    <mergeCell ref="DE105:DH105"/>
    <mergeCell ref="DZ105:EC105"/>
    <mergeCell ref="EG105:EJ105"/>
    <mergeCell ref="EN105:EQ105"/>
    <mergeCell ref="EU105:EX105"/>
    <mergeCell ref="FB105:FE105"/>
    <mergeCell ref="FI105:FL105"/>
    <mergeCell ref="FP105:FS105"/>
    <mergeCell ref="FW105:FZ105"/>
    <mergeCell ref="GD105:GG105"/>
    <mergeCell ref="GK105:GN105"/>
    <mergeCell ref="GR105:GU105"/>
    <mergeCell ref="GY105:HB105"/>
    <mergeCell ref="HF105:HI105"/>
    <mergeCell ref="HM105:HP105"/>
    <mergeCell ref="HT105:HW105"/>
    <mergeCell ref="FI104:FL104"/>
    <mergeCell ref="FP104:FS104"/>
    <mergeCell ref="FW104:FZ104"/>
    <mergeCell ref="GD104:GG104"/>
    <mergeCell ref="GK104:GN104"/>
    <mergeCell ref="AT107:AW107"/>
    <mergeCell ref="BA107:BD107"/>
    <mergeCell ref="BH107:BK107"/>
    <mergeCell ref="BO107:BR107"/>
    <mergeCell ref="BV107:BY107"/>
    <mergeCell ref="CC107:CF107"/>
    <mergeCell ref="CJ107:CM107"/>
    <mergeCell ref="CQ107:CT107"/>
    <mergeCell ref="CX107:DA107"/>
    <mergeCell ref="DE107:DH107"/>
    <mergeCell ref="DZ107:EC107"/>
    <mergeCell ref="EG107:EJ107"/>
    <mergeCell ref="EN107:EQ107"/>
    <mergeCell ref="EU107:EX107"/>
    <mergeCell ref="FB107:FE107"/>
    <mergeCell ref="K104:N104"/>
    <mergeCell ref="R104:U104"/>
    <mergeCell ref="Y104:AB104"/>
    <mergeCell ref="AF104:AI104"/>
    <mergeCell ref="AM104:AP104"/>
    <mergeCell ref="AT104:AW104"/>
    <mergeCell ref="BA104:BD104"/>
    <mergeCell ref="BH104:BK104"/>
    <mergeCell ref="BO104:BR104"/>
    <mergeCell ref="BV104:BY104"/>
    <mergeCell ref="CC104:CF104"/>
    <mergeCell ref="CJ104:CM104"/>
    <mergeCell ref="CQ104:CT104"/>
    <mergeCell ref="CX104:DA104"/>
    <mergeCell ref="DE104:DH104"/>
    <mergeCell ref="GR104:GU104"/>
    <mergeCell ref="GY104:HB104"/>
    <mergeCell ref="HF104:HI104"/>
    <mergeCell ref="DS106:DV106"/>
    <mergeCell ref="DS107:DV107"/>
    <mergeCell ref="GK106:GN106"/>
    <mergeCell ref="FI107:FL107"/>
    <mergeCell ref="FP107:FS107"/>
    <mergeCell ref="FW107:FZ107"/>
    <mergeCell ref="GD107:GG107"/>
    <mergeCell ref="GK107:GN107"/>
    <mergeCell ref="GR106:GU106"/>
    <mergeCell ref="GY106:HB106"/>
    <mergeCell ref="HF106:HI106"/>
    <mergeCell ref="HM106:HP106"/>
    <mergeCell ref="K108:N108"/>
    <mergeCell ref="R108:U108"/>
    <mergeCell ref="Y108:AB108"/>
    <mergeCell ref="AF108:AI108"/>
    <mergeCell ref="AM108:AP108"/>
    <mergeCell ref="AT108:AW108"/>
    <mergeCell ref="BA108:BD108"/>
    <mergeCell ref="BH108:BK108"/>
    <mergeCell ref="BO108:BR108"/>
    <mergeCell ref="BV108:BY108"/>
    <mergeCell ref="CC108:CF108"/>
    <mergeCell ref="CJ108:CM108"/>
    <mergeCell ref="CQ108:CT108"/>
    <mergeCell ref="CX108:DA108"/>
    <mergeCell ref="DE108:DH108"/>
    <mergeCell ref="DZ108:EC108"/>
    <mergeCell ref="EG108:EJ108"/>
    <mergeCell ref="EN108:EQ108"/>
    <mergeCell ref="EU108:EX108"/>
    <mergeCell ref="FB108:FE108"/>
    <mergeCell ref="FI108:FL108"/>
    <mergeCell ref="FP108:FS108"/>
    <mergeCell ref="FW108:FZ108"/>
    <mergeCell ref="GD108:GG108"/>
    <mergeCell ref="GK108:GN108"/>
    <mergeCell ref="K106:N106"/>
    <mergeCell ref="R106:U106"/>
    <mergeCell ref="Y106:AB106"/>
    <mergeCell ref="AF106:AI106"/>
    <mergeCell ref="AM106:AP106"/>
    <mergeCell ref="AT106:AW106"/>
    <mergeCell ref="BA106:BD106"/>
    <mergeCell ref="BH106:BK106"/>
    <mergeCell ref="BO106:BR106"/>
    <mergeCell ref="BV106:BY106"/>
    <mergeCell ref="CC106:CF106"/>
    <mergeCell ref="CJ106:CM106"/>
    <mergeCell ref="CQ106:CT106"/>
    <mergeCell ref="CX106:DA106"/>
    <mergeCell ref="DE106:DH106"/>
    <mergeCell ref="DZ106:EC106"/>
    <mergeCell ref="EG106:EJ106"/>
    <mergeCell ref="EN106:EQ106"/>
    <mergeCell ref="EU106:EX106"/>
    <mergeCell ref="FB106:FE106"/>
    <mergeCell ref="FI106:FL106"/>
    <mergeCell ref="FP106:FS106"/>
    <mergeCell ref="FW106:FZ106"/>
    <mergeCell ref="GD106:GG106"/>
    <mergeCell ref="K107:N107"/>
    <mergeCell ref="R107:U107"/>
    <mergeCell ref="Y107:AB107"/>
    <mergeCell ref="AF107:AI107"/>
    <mergeCell ref="AM107:AP107"/>
    <mergeCell ref="K109:N109"/>
    <mergeCell ref="K110:N110"/>
    <mergeCell ref="R109:U109"/>
    <mergeCell ref="R110:U110"/>
    <mergeCell ref="Y109:AB109"/>
    <mergeCell ref="Y110:AB110"/>
    <mergeCell ref="AF109:AI109"/>
    <mergeCell ref="AF110:AI110"/>
    <mergeCell ref="AM109:AP109"/>
    <mergeCell ref="AM110:AP110"/>
    <mergeCell ref="AT109:AW109"/>
    <mergeCell ref="AT110:AW110"/>
    <mergeCell ref="BA109:BD109"/>
    <mergeCell ref="BA110:BD110"/>
    <mergeCell ref="BH109:BK109"/>
    <mergeCell ref="BH110:BK110"/>
    <mergeCell ref="BO109:BR109"/>
    <mergeCell ref="BO110:BR110"/>
    <mergeCell ref="BV110:BY110"/>
    <mergeCell ref="CC109:CF109"/>
    <mergeCell ref="CC110:CF110"/>
    <mergeCell ref="CJ109:CM109"/>
    <mergeCell ref="CJ110:CM110"/>
    <mergeCell ref="K111:N111"/>
    <mergeCell ref="R111:U111"/>
    <mergeCell ref="Y111:AB111"/>
    <mergeCell ref="AF111:AI111"/>
    <mergeCell ref="AM111:AP111"/>
    <mergeCell ref="AT111:AW111"/>
    <mergeCell ref="BA111:BD111"/>
    <mergeCell ref="BH111:BK111"/>
    <mergeCell ref="BO111:BR111"/>
    <mergeCell ref="BV111:BY111"/>
    <mergeCell ref="CC111:CF111"/>
    <mergeCell ref="CJ111:CM111"/>
    <mergeCell ref="K112:N112"/>
    <mergeCell ref="R112:U112"/>
    <mergeCell ref="Y112:AB112"/>
    <mergeCell ref="AF112:AI112"/>
    <mergeCell ref="AM112:AP112"/>
    <mergeCell ref="AT112:AW112"/>
    <mergeCell ref="BA112:BD112"/>
    <mergeCell ref="BH112:BK112"/>
    <mergeCell ref="BO112:BR112"/>
    <mergeCell ref="BV112:BY112"/>
    <mergeCell ref="CC112:CF112"/>
    <mergeCell ref="CJ112:CM112"/>
    <mergeCell ref="IA112:ID112"/>
    <mergeCell ref="IH112:IK112"/>
    <mergeCell ref="IO112:IR112"/>
    <mergeCell ref="IV112:IY112"/>
    <mergeCell ref="K113:N113"/>
    <mergeCell ref="R113:U113"/>
    <mergeCell ref="Y113:AB113"/>
    <mergeCell ref="AF113:AI113"/>
    <mergeCell ref="AM113:AP113"/>
    <mergeCell ref="AT113:AW113"/>
    <mergeCell ref="BA113:BD113"/>
    <mergeCell ref="BH113:BK113"/>
    <mergeCell ref="BO113:BR113"/>
    <mergeCell ref="BV113:BY113"/>
    <mergeCell ref="CC113:CF113"/>
    <mergeCell ref="CJ113:CM113"/>
    <mergeCell ref="IA113:ID113"/>
    <mergeCell ref="IH113:IK113"/>
    <mergeCell ref="IO113:IR113"/>
    <mergeCell ref="IV113:IY113"/>
    <mergeCell ref="K114:N114"/>
    <mergeCell ref="R114:U114"/>
    <mergeCell ref="Y114:AB114"/>
    <mergeCell ref="AF114:AI114"/>
    <mergeCell ref="AM114:AP114"/>
    <mergeCell ref="AT114:AW114"/>
    <mergeCell ref="BA114:BD114"/>
    <mergeCell ref="BH114:BK114"/>
    <mergeCell ref="BO114:BR114"/>
    <mergeCell ref="BV114:BY114"/>
    <mergeCell ref="CC114:CF114"/>
    <mergeCell ref="CJ114:CM114"/>
    <mergeCell ref="GR114:GU114"/>
    <mergeCell ref="GY114:HB114"/>
    <mergeCell ref="HF114:HI114"/>
    <mergeCell ref="HM114:HP114"/>
    <mergeCell ref="HT114:HW114"/>
    <mergeCell ref="IA114:ID114"/>
    <mergeCell ref="IH114:IK114"/>
    <mergeCell ref="IO114:IR114"/>
    <mergeCell ref="IV114:IY114"/>
    <mergeCell ref="K115:N115"/>
    <mergeCell ref="R115:U115"/>
    <mergeCell ref="Y115:AB115"/>
    <mergeCell ref="AF115:AI115"/>
    <mergeCell ref="AM115:AP115"/>
    <mergeCell ref="AT115:AW115"/>
    <mergeCell ref="BA115:BD115"/>
    <mergeCell ref="BH115:BK115"/>
    <mergeCell ref="BO115:BR115"/>
    <mergeCell ref="BV115:BY115"/>
    <mergeCell ref="CC115:CF115"/>
    <mergeCell ref="CJ115:CM115"/>
    <mergeCell ref="GR115:GU115"/>
    <mergeCell ref="GY115:HB115"/>
    <mergeCell ref="HF115:HI115"/>
    <mergeCell ref="HM115:HP115"/>
    <mergeCell ref="HT115:HW115"/>
    <mergeCell ref="IA115:ID115"/>
    <mergeCell ref="IH115:IK115"/>
    <mergeCell ref="IO115:IR115"/>
    <mergeCell ref="IV115:IY115"/>
    <mergeCell ref="K116:N116"/>
    <mergeCell ref="R116:U116"/>
    <mergeCell ref="Y116:AB116"/>
    <mergeCell ref="AF116:AI116"/>
    <mergeCell ref="AM116:AP116"/>
    <mergeCell ref="AT116:AW116"/>
    <mergeCell ref="BA116:BD116"/>
    <mergeCell ref="BH116:BK116"/>
    <mergeCell ref="BO116:BR116"/>
    <mergeCell ref="BV116:BY116"/>
    <mergeCell ref="CC116:CF116"/>
    <mergeCell ref="CJ116:CM116"/>
    <mergeCell ref="DZ116:EC116"/>
    <mergeCell ref="EG116:EJ116"/>
    <mergeCell ref="EN116:EQ116"/>
    <mergeCell ref="EU116:EX116"/>
    <mergeCell ref="FB116:FE116"/>
    <mergeCell ref="FI116:FL116"/>
    <mergeCell ref="FP116:FS116"/>
    <mergeCell ref="FW116:FZ116"/>
    <mergeCell ref="GD116:GG116"/>
    <mergeCell ref="GK116:GN116"/>
    <mergeCell ref="GR116:GU116"/>
    <mergeCell ref="GY116:HB116"/>
    <mergeCell ref="K117:N117"/>
    <mergeCell ref="R117:U117"/>
    <mergeCell ref="Y117:AB117"/>
    <mergeCell ref="AF117:AI117"/>
    <mergeCell ref="AM117:AP117"/>
    <mergeCell ref="AT117:AW117"/>
    <mergeCell ref="BA117:BD117"/>
    <mergeCell ref="BH117:BK117"/>
    <mergeCell ref="BO117:BR117"/>
    <mergeCell ref="BV117:BY117"/>
    <mergeCell ref="CC117:CF117"/>
    <mergeCell ref="CJ117:CM117"/>
    <mergeCell ref="DZ117:EC117"/>
    <mergeCell ref="EG110:EJ110"/>
    <mergeCell ref="EN117:EQ117"/>
    <mergeCell ref="EU117:EX117"/>
    <mergeCell ref="FB117:FE117"/>
    <mergeCell ref="FI117:FL117"/>
    <mergeCell ref="FP117:FS117"/>
    <mergeCell ref="FW117:FZ117"/>
    <mergeCell ref="GD117:GG117"/>
    <mergeCell ref="GK117:GN117"/>
    <mergeCell ref="HF116:HI116"/>
    <mergeCell ref="HM116:HP116"/>
    <mergeCell ref="HT116:HW116"/>
    <mergeCell ref="GR117:GU117"/>
    <mergeCell ref="GY117:HB117"/>
    <mergeCell ref="HF117:HI117"/>
    <mergeCell ref="HM117:HP117"/>
    <mergeCell ref="HT117:HW117"/>
    <mergeCell ref="K118:N118"/>
    <mergeCell ref="R118:U118"/>
    <mergeCell ref="Y118:AB118"/>
    <mergeCell ref="AF118:AI118"/>
    <mergeCell ref="AM118:AP118"/>
    <mergeCell ref="AT118:AW118"/>
    <mergeCell ref="BA118:BD118"/>
    <mergeCell ref="BH118:BK118"/>
    <mergeCell ref="BO118:BR118"/>
    <mergeCell ref="BV118:BY118"/>
    <mergeCell ref="CC118:CF118"/>
    <mergeCell ref="CJ118:CM118"/>
    <mergeCell ref="DZ118:EC118"/>
    <mergeCell ref="EG118:EJ118"/>
    <mergeCell ref="EN118:EQ118"/>
    <mergeCell ref="EU118:EX118"/>
    <mergeCell ref="FB118:FE118"/>
    <mergeCell ref="FI118:FL118"/>
    <mergeCell ref="FP118:FS118"/>
    <mergeCell ref="FW118:FZ118"/>
    <mergeCell ref="GD118:GG118"/>
    <mergeCell ref="GK118:GN118"/>
    <mergeCell ref="GR118:GU118"/>
    <mergeCell ref="GY118:HB118"/>
    <mergeCell ref="HF118:HI118"/>
    <mergeCell ref="HM118:HP118"/>
    <mergeCell ref="HT118:HW118"/>
    <mergeCell ref="K119:N119"/>
    <mergeCell ref="R119:U119"/>
    <mergeCell ref="Y119:AB119"/>
    <mergeCell ref="AF119:AI119"/>
    <mergeCell ref="AM119:AP119"/>
    <mergeCell ref="AT119:AW119"/>
    <mergeCell ref="BA119:BD119"/>
    <mergeCell ref="BH119:BK119"/>
    <mergeCell ref="BO119:BR119"/>
    <mergeCell ref="BV119:BY119"/>
    <mergeCell ref="CC119:CF119"/>
    <mergeCell ref="CJ119:CM119"/>
    <mergeCell ref="DZ119:EC119"/>
    <mergeCell ref="EG119:EJ119"/>
    <mergeCell ref="EN119:EQ119"/>
    <mergeCell ref="EU119:EX119"/>
    <mergeCell ref="FB119:FE119"/>
    <mergeCell ref="FI119:FL119"/>
    <mergeCell ref="FP119:FS119"/>
    <mergeCell ref="FW119:FZ119"/>
    <mergeCell ref="GD119:GG119"/>
    <mergeCell ref="GK119:GN119"/>
    <mergeCell ref="GR119:GU119"/>
    <mergeCell ref="GY119:HB119"/>
    <mergeCell ref="R120:U120"/>
    <mergeCell ref="R121:U121"/>
    <mergeCell ref="Y120:AB120"/>
    <mergeCell ref="Y121:AB121"/>
    <mergeCell ref="AF120:AI120"/>
    <mergeCell ref="AF121:AI121"/>
    <mergeCell ref="AM120:AP120"/>
    <mergeCell ref="AM121:AP121"/>
    <mergeCell ref="AT120:AW120"/>
    <mergeCell ref="AT121:AW121"/>
    <mergeCell ref="BA120:BD120"/>
    <mergeCell ref="BA121:BD121"/>
    <mergeCell ref="BH120:BK120"/>
    <mergeCell ref="BH121:BK121"/>
    <mergeCell ref="BO120:BR120"/>
    <mergeCell ref="BO121:BR121"/>
    <mergeCell ref="BV121:BY121"/>
    <mergeCell ref="CC120:CF120"/>
    <mergeCell ref="CC121:CF121"/>
    <mergeCell ref="CJ120:CM120"/>
    <mergeCell ref="CJ121:CM121"/>
    <mergeCell ref="DZ120:EC120"/>
    <mergeCell ref="EG120:EJ120"/>
    <mergeCell ref="EN120:EQ120"/>
    <mergeCell ref="EU120:EX120"/>
    <mergeCell ref="FB120:FE120"/>
    <mergeCell ref="DZ121:EC121"/>
    <mergeCell ref="EG121:EJ121"/>
    <mergeCell ref="EN121:EQ121"/>
    <mergeCell ref="FI120:FL120"/>
    <mergeCell ref="FP120:FS120"/>
    <mergeCell ref="FW120:FZ120"/>
    <mergeCell ref="GD120:GG120"/>
    <mergeCell ref="GK120:GN120"/>
    <mergeCell ref="FI121:FL121"/>
    <mergeCell ref="FP121:FS121"/>
    <mergeCell ref="FW121:FZ121"/>
    <mergeCell ref="GD121:GG121"/>
    <mergeCell ref="GK121:GN121"/>
    <mergeCell ref="GR121:GU121"/>
    <mergeCell ref="K122:N122"/>
    <mergeCell ref="R122:U122"/>
    <mergeCell ref="Y122:AB122"/>
    <mergeCell ref="AF122:AI122"/>
    <mergeCell ref="AM122:AP122"/>
    <mergeCell ref="AT122:AW122"/>
    <mergeCell ref="BA122:BD122"/>
    <mergeCell ref="BH122:BK122"/>
    <mergeCell ref="BO122:BR122"/>
    <mergeCell ref="BV122:BY122"/>
    <mergeCell ref="CC122:CF122"/>
    <mergeCell ref="CJ122:CM122"/>
    <mergeCell ref="EU121:EX121"/>
    <mergeCell ref="FB121:FE121"/>
    <mergeCell ref="DZ122:EC122"/>
    <mergeCell ref="EG122:EJ122"/>
    <mergeCell ref="EN122:EQ122"/>
    <mergeCell ref="EU122:EX122"/>
    <mergeCell ref="FB122:FE122"/>
    <mergeCell ref="K123:N123"/>
    <mergeCell ref="R123:U123"/>
    <mergeCell ref="Y123:AB123"/>
    <mergeCell ref="AF123:AI123"/>
    <mergeCell ref="AM123:AP123"/>
    <mergeCell ref="AT123:AW123"/>
    <mergeCell ref="BA123:BD123"/>
    <mergeCell ref="BH123:BK123"/>
    <mergeCell ref="BO123:BR123"/>
    <mergeCell ref="BV123:BY123"/>
    <mergeCell ref="CC123:CF123"/>
    <mergeCell ref="CJ123:CM123"/>
    <mergeCell ref="DZ123:EC123"/>
    <mergeCell ref="EG123:EJ123"/>
    <mergeCell ref="EN123:EQ123"/>
    <mergeCell ref="EU123:EX123"/>
    <mergeCell ref="FB123:FE123"/>
    <mergeCell ref="IA123:ID123"/>
    <mergeCell ref="IH123:IK123"/>
    <mergeCell ref="IO123:IR123"/>
    <mergeCell ref="IV123:IY123"/>
    <mergeCell ref="K124:N124"/>
    <mergeCell ref="R124:U124"/>
    <mergeCell ref="Y124:AB124"/>
    <mergeCell ref="AF124:AI124"/>
    <mergeCell ref="AM124:AP124"/>
    <mergeCell ref="AT124:AW124"/>
    <mergeCell ref="BA124:BD124"/>
    <mergeCell ref="BH124:BK124"/>
    <mergeCell ref="BO124:BR124"/>
    <mergeCell ref="BV124:BY124"/>
    <mergeCell ref="CC124:CF124"/>
    <mergeCell ref="CJ124:CM124"/>
    <mergeCell ref="DZ124:EC124"/>
    <mergeCell ref="EG124:EJ124"/>
    <mergeCell ref="EN124:EQ124"/>
    <mergeCell ref="EU124:EX124"/>
    <mergeCell ref="FB124:FE124"/>
    <mergeCell ref="IA124:ID124"/>
    <mergeCell ref="IH124:IK124"/>
    <mergeCell ref="IO124:IR124"/>
    <mergeCell ref="IV124:IY124"/>
    <mergeCell ref="K125:N125"/>
    <mergeCell ref="R125:U125"/>
    <mergeCell ref="Y125:AB125"/>
    <mergeCell ref="AF125:AI125"/>
    <mergeCell ref="AM125:AP125"/>
    <mergeCell ref="AT125:AW125"/>
    <mergeCell ref="BA125:BD125"/>
    <mergeCell ref="BH125:BK125"/>
    <mergeCell ref="BO125:BR125"/>
    <mergeCell ref="BV125:BY125"/>
    <mergeCell ref="CC125:CF125"/>
    <mergeCell ref="CJ125:CM125"/>
    <mergeCell ref="DZ125:EC125"/>
    <mergeCell ref="EG125:EJ125"/>
    <mergeCell ref="EN125:EQ125"/>
    <mergeCell ref="EU125:EX125"/>
    <mergeCell ref="FB125:FE125"/>
    <mergeCell ref="IA125:ID125"/>
    <mergeCell ref="IH125:IK125"/>
    <mergeCell ref="IO125:IR125"/>
    <mergeCell ref="IV125:IY125"/>
    <mergeCell ref="CJ126:CM126"/>
    <mergeCell ref="DZ126:EC126"/>
    <mergeCell ref="EG126:EJ126"/>
    <mergeCell ref="EN126:EQ126"/>
    <mergeCell ref="EU126:EX126"/>
    <mergeCell ref="FB126:FE126"/>
    <mergeCell ref="GR126:GU126"/>
    <mergeCell ref="GY126:HB126"/>
    <mergeCell ref="HF126:HI126"/>
    <mergeCell ref="HM126:HP126"/>
    <mergeCell ref="HT126:HW126"/>
    <mergeCell ref="IA126:ID126"/>
    <mergeCell ref="IH126:IK126"/>
    <mergeCell ref="K127:N127"/>
    <mergeCell ref="R127:U127"/>
    <mergeCell ref="Y127:AB127"/>
    <mergeCell ref="AF127:AI127"/>
    <mergeCell ref="AM127:AP127"/>
    <mergeCell ref="AT127:AW127"/>
    <mergeCell ref="BA127:BD127"/>
    <mergeCell ref="BH127:BK127"/>
    <mergeCell ref="BO127:BR127"/>
    <mergeCell ref="BV127:BY127"/>
    <mergeCell ref="CC127:CF127"/>
    <mergeCell ref="CJ127:CM127"/>
    <mergeCell ref="DZ127:EC127"/>
    <mergeCell ref="EG127:EJ127"/>
    <mergeCell ref="EN127:EQ127"/>
    <mergeCell ref="EU127:EX127"/>
    <mergeCell ref="FB127:FE127"/>
    <mergeCell ref="FI127:FL127"/>
    <mergeCell ref="FP127:FS127"/>
    <mergeCell ref="FW127:FZ127"/>
    <mergeCell ref="GD127:GG127"/>
    <mergeCell ref="GK127:GN127"/>
    <mergeCell ref="GR127:GU127"/>
    <mergeCell ref="GY127:HB127"/>
    <mergeCell ref="HF127:HI127"/>
    <mergeCell ref="HM127:HP127"/>
    <mergeCell ref="HT127:HW127"/>
    <mergeCell ref="Y130:AB130"/>
    <mergeCell ref="AF130:AI130"/>
    <mergeCell ref="AM130:AP130"/>
    <mergeCell ref="AT130:AW130"/>
    <mergeCell ref="BA130:BD130"/>
    <mergeCell ref="BH130:BK130"/>
    <mergeCell ref="BO130:BR130"/>
    <mergeCell ref="BV130:BY130"/>
    <mergeCell ref="CC130:CF130"/>
    <mergeCell ref="CJ130:CM130"/>
    <mergeCell ref="DZ130:EC130"/>
    <mergeCell ref="EG130:EJ130"/>
    <mergeCell ref="EN130:EQ130"/>
    <mergeCell ref="EU130:EX130"/>
    <mergeCell ref="FB130:FE130"/>
    <mergeCell ref="FI130:FL130"/>
    <mergeCell ref="FP130:FS130"/>
    <mergeCell ref="FW130:FZ130"/>
    <mergeCell ref="GD130:GG130"/>
    <mergeCell ref="GK130:GN130"/>
    <mergeCell ref="IO126:IR126"/>
    <mergeCell ref="IV126:IY126"/>
    <mergeCell ref="IA127:ID127"/>
    <mergeCell ref="K128:N128"/>
    <mergeCell ref="R128:U128"/>
    <mergeCell ref="Y128:AB128"/>
    <mergeCell ref="AF128:AI128"/>
    <mergeCell ref="AM128:AP128"/>
    <mergeCell ref="AT128:AW128"/>
    <mergeCell ref="BA128:BD128"/>
    <mergeCell ref="BH128:BK128"/>
    <mergeCell ref="BO128:BR128"/>
    <mergeCell ref="BV128:BY128"/>
    <mergeCell ref="CC128:CF128"/>
    <mergeCell ref="CJ128:CM128"/>
    <mergeCell ref="DZ128:EC128"/>
    <mergeCell ref="EG128:EJ128"/>
    <mergeCell ref="EN128:EQ128"/>
    <mergeCell ref="EU128:EX128"/>
    <mergeCell ref="FB128:FE128"/>
    <mergeCell ref="FI128:FL128"/>
    <mergeCell ref="FP128:FS128"/>
    <mergeCell ref="FW128:FZ128"/>
    <mergeCell ref="GD128:GG128"/>
    <mergeCell ref="GK128:GN128"/>
    <mergeCell ref="GR128:GU128"/>
    <mergeCell ref="GY128:HB128"/>
    <mergeCell ref="HF128:HI128"/>
    <mergeCell ref="HM128:HP128"/>
    <mergeCell ref="HT128:HW128"/>
    <mergeCell ref="IH127:IK127"/>
    <mergeCell ref="IO127:IR127"/>
    <mergeCell ref="IV127:IY127"/>
    <mergeCell ref="K126:N126"/>
    <mergeCell ref="R126:U126"/>
    <mergeCell ref="Y126:AB126"/>
    <mergeCell ref="AF126:AI126"/>
    <mergeCell ref="AM126:AP126"/>
    <mergeCell ref="AT126:AW126"/>
    <mergeCell ref="BA126:BD126"/>
    <mergeCell ref="BH126:BK126"/>
    <mergeCell ref="BO126:BR126"/>
    <mergeCell ref="BV126:BY126"/>
    <mergeCell ref="CC126:CF126"/>
    <mergeCell ref="HF129:HI129"/>
    <mergeCell ref="HM129:HP129"/>
    <mergeCell ref="HT129:HW129"/>
    <mergeCell ref="GR130:GU130"/>
    <mergeCell ref="GY130:HB130"/>
    <mergeCell ref="HF130:HI130"/>
    <mergeCell ref="HM130:HP130"/>
    <mergeCell ref="HT130:HW130"/>
    <mergeCell ref="K131:N131"/>
    <mergeCell ref="K132:N132"/>
    <mergeCell ref="R131:U131"/>
    <mergeCell ref="R132:U132"/>
    <mergeCell ref="Y131:AB131"/>
    <mergeCell ref="Y132:AB132"/>
    <mergeCell ref="AF131:AI131"/>
    <mergeCell ref="AF132:AI132"/>
    <mergeCell ref="AM131:AP131"/>
    <mergeCell ref="AM132:AP132"/>
    <mergeCell ref="AT131:AW131"/>
    <mergeCell ref="AT132:AW132"/>
    <mergeCell ref="BA131:BD131"/>
    <mergeCell ref="BA132:BD132"/>
    <mergeCell ref="BH131:BK131"/>
    <mergeCell ref="BH132:BK132"/>
    <mergeCell ref="BO131:BR131"/>
    <mergeCell ref="BO132:BR132"/>
    <mergeCell ref="BV131:BY131"/>
    <mergeCell ref="BV132:BY132"/>
    <mergeCell ref="CC131:CF131"/>
    <mergeCell ref="CC132:CF132"/>
    <mergeCell ref="CJ131:CM131"/>
    <mergeCell ref="CJ132:CM132"/>
    <mergeCell ref="DZ131:EC131"/>
    <mergeCell ref="EG131:EJ131"/>
    <mergeCell ref="EN131:EQ131"/>
    <mergeCell ref="EU131:EX131"/>
    <mergeCell ref="FB131:FE131"/>
    <mergeCell ref="DZ132:EC132"/>
    <mergeCell ref="K129:N129"/>
    <mergeCell ref="R129:U129"/>
    <mergeCell ref="Y129:AB129"/>
    <mergeCell ref="AF129:AI129"/>
    <mergeCell ref="AM129:AP129"/>
    <mergeCell ref="AT129:AW129"/>
    <mergeCell ref="BA129:BD129"/>
    <mergeCell ref="BH129:BK129"/>
    <mergeCell ref="BO129:BR129"/>
    <mergeCell ref="BV129:BY129"/>
    <mergeCell ref="CC129:CF129"/>
    <mergeCell ref="CJ129:CM129"/>
    <mergeCell ref="DZ129:EC129"/>
    <mergeCell ref="EG129:EJ129"/>
    <mergeCell ref="EN129:EQ129"/>
    <mergeCell ref="EU129:EX129"/>
    <mergeCell ref="FB129:FE129"/>
    <mergeCell ref="FI129:FL129"/>
    <mergeCell ref="FP129:FS129"/>
    <mergeCell ref="FW129:FZ129"/>
    <mergeCell ref="GD129:GG129"/>
    <mergeCell ref="GK129:GN129"/>
    <mergeCell ref="GR129:GU129"/>
    <mergeCell ref="GY129:HB129"/>
    <mergeCell ref="K130:N130"/>
    <mergeCell ref="R130:U130"/>
    <mergeCell ref="K133:N133"/>
    <mergeCell ref="R133:U133"/>
    <mergeCell ref="Y133:AB133"/>
    <mergeCell ref="AF133:AI133"/>
    <mergeCell ref="AM133:AP133"/>
    <mergeCell ref="AT133:AW133"/>
    <mergeCell ref="BA133:BD133"/>
    <mergeCell ref="BH133:BK133"/>
    <mergeCell ref="BO133:BR133"/>
    <mergeCell ref="BV133:BY133"/>
    <mergeCell ref="CC133:CF133"/>
    <mergeCell ref="CJ133:CM133"/>
    <mergeCell ref="EG132:EJ132"/>
    <mergeCell ref="EN132:EQ132"/>
    <mergeCell ref="EU132:EX132"/>
    <mergeCell ref="FB132:FE132"/>
    <mergeCell ref="DZ133:EC133"/>
    <mergeCell ref="EG133:EJ133"/>
    <mergeCell ref="EN133:EQ133"/>
    <mergeCell ref="EU133:EX133"/>
    <mergeCell ref="FB133:FE133"/>
    <mergeCell ref="BA134:BD134"/>
    <mergeCell ref="BA135:BD135"/>
    <mergeCell ref="BH134:BK134"/>
    <mergeCell ref="BH135:BK135"/>
    <mergeCell ref="BO134:BR134"/>
    <mergeCell ref="BO135:BR135"/>
    <mergeCell ref="BV134:BY134"/>
    <mergeCell ref="BV135:BY135"/>
    <mergeCell ref="CC134:CF134"/>
    <mergeCell ref="CC135:CF135"/>
    <mergeCell ref="CJ134:CM134"/>
    <mergeCell ref="CJ135:CM135"/>
    <mergeCell ref="DZ134:EC134"/>
    <mergeCell ref="EG134:EJ134"/>
    <mergeCell ref="EN134:EQ134"/>
    <mergeCell ref="EU134:EX134"/>
    <mergeCell ref="FB134:FE134"/>
    <mergeCell ref="DZ135:EC135"/>
    <mergeCell ref="EG135:EJ135"/>
    <mergeCell ref="EN135:EQ135"/>
    <mergeCell ref="EU135:EX135"/>
    <mergeCell ref="FB135:FE135"/>
    <mergeCell ref="K134:N134"/>
    <mergeCell ref="K135:N135"/>
    <mergeCell ref="IA135:ID135"/>
    <mergeCell ref="IH135:IK135"/>
    <mergeCell ref="IO135:IR135"/>
    <mergeCell ref="IV135:IY135"/>
    <mergeCell ref="BA136:BD136"/>
    <mergeCell ref="BH136:BK136"/>
    <mergeCell ref="BO136:BR136"/>
    <mergeCell ref="BV136:BY136"/>
    <mergeCell ref="CC136:CF136"/>
    <mergeCell ref="CJ136:CM136"/>
    <mergeCell ref="DZ136:EC136"/>
    <mergeCell ref="EG136:EJ136"/>
    <mergeCell ref="EN136:EQ136"/>
    <mergeCell ref="EU136:EX136"/>
    <mergeCell ref="FB136:FE136"/>
    <mergeCell ref="IA136:ID136"/>
    <mergeCell ref="IH136:IK136"/>
    <mergeCell ref="IO136:IR136"/>
    <mergeCell ref="IV136:IY136"/>
    <mergeCell ref="BA137:BD137"/>
    <mergeCell ref="BH137:BK137"/>
    <mergeCell ref="BO137:BR137"/>
    <mergeCell ref="BV137:BY137"/>
    <mergeCell ref="CC137:CF137"/>
    <mergeCell ref="CJ137:CM137"/>
    <mergeCell ref="DZ137:EC137"/>
    <mergeCell ref="EG137:EJ137"/>
    <mergeCell ref="EN137:EQ137"/>
    <mergeCell ref="EU137:EX137"/>
    <mergeCell ref="FB137:FE137"/>
    <mergeCell ref="IA137:ID137"/>
    <mergeCell ref="IH137:IK137"/>
    <mergeCell ref="IO137:IR137"/>
    <mergeCell ref="IV137:IY137"/>
    <mergeCell ref="BA138:BD138"/>
    <mergeCell ref="BH138:BK138"/>
    <mergeCell ref="BO138:BR138"/>
    <mergeCell ref="BV138:BY138"/>
    <mergeCell ref="CC138:CF138"/>
    <mergeCell ref="CJ138:CM138"/>
    <mergeCell ref="DZ138:EC138"/>
    <mergeCell ref="EG138:EJ138"/>
    <mergeCell ref="EN138:EQ138"/>
    <mergeCell ref="EU138:EX138"/>
    <mergeCell ref="FB138:FE138"/>
    <mergeCell ref="FI138:FL138"/>
    <mergeCell ref="FP138:FS138"/>
    <mergeCell ref="FW138:FZ138"/>
    <mergeCell ref="GD138:GG138"/>
    <mergeCell ref="GK138:GN138"/>
    <mergeCell ref="GR138:GU138"/>
    <mergeCell ref="GY138:HB138"/>
    <mergeCell ref="HF138:HI138"/>
    <mergeCell ref="HM138:HP138"/>
    <mergeCell ref="HT138:HW138"/>
    <mergeCell ref="IA138:ID138"/>
    <mergeCell ref="IH138:IK138"/>
    <mergeCell ref="IO138:IR138"/>
    <mergeCell ref="IV138:IY138"/>
    <mergeCell ref="DS138:DV138"/>
    <mergeCell ref="BA139:BD139"/>
    <mergeCell ref="BA140:BD140"/>
    <mergeCell ref="BH139:BK139"/>
    <mergeCell ref="BH140:BK140"/>
    <mergeCell ref="BO139:BR139"/>
    <mergeCell ref="BO140:BR140"/>
    <mergeCell ref="BV139:BY139"/>
    <mergeCell ref="BV140:BY140"/>
    <mergeCell ref="CC139:CF139"/>
    <mergeCell ref="CC140:CF140"/>
    <mergeCell ref="CJ139:CM139"/>
    <mergeCell ref="CJ140:CM140"/>
    <mergeCell ref="DZ139:EC139"/>
    <mergeCell ref="EG139:EJ139"/>
    <mergeCell ref="EN139:EQ139"/>
    <mergeCell ref="EU139:EX139"/>
    <mergeCell ref="FB139:FE139"/>
    <mergeCell ref="DZ140:EC140"/>
    <mergeCell ref="EG140:EJ140"/>
    <mergeCell ref="EN140:EQ140"/>
    <mergeCell ref="EU140:EX140"/>
    <mergeCell ref="FB140:FE140"/>
    <mergeCell ref="FI139:FL139"/>
    <mergeCell ref="FP139:FS139"/>
    <mergeCell ref="BA141:BD141"/>
    <mergeCell ref="BH141:BK141"/>
    <mergeCell ref="BO141:BR141"/>
    <mergeCell ref="BV141:BY141"/>
    <mergeCell ref="CC141:CF141"/>
    <mergeCell ref="CJ141:CM141"/>
    <mergeCell ref="DZ141:EC141"/>
    <mergeCell ref="EG141:EJ141"/>
    <mergeCell ref="EN141:EQ141"/>
    <mergeCell ref="EU141:EX141"/>
    <mergeCell ref="FB141:FE141"/>
    <mergeCell ref="BA142:BD142"/>
    <mergeCell ref="BA143:BD143"/>
    <mergeCell ref="BH142:BK142"/>
    <mergeCell ref="BH143:BK143"/>
    <mergeCell ref="BO142:BR142"/>
    <mergeCell ref="BO143:BR143"/>
    <mergeCell ref="BV142:BY142"/>
    <mergeCell ref="BV143:BY143"/>
    <mergeCell ref="CC142:CF142"/>
    <mergeCell ref="CC143:CF143"/>
    <mergeCell ref="CJ142:CM142"/>
    <mergeCell ref="CJ143:CM143"/>
    <mergeCell ref="CQ142:CT142"/>
    <mergeCell ref="CQ143:CT143"/>
    <mergeCell ref="BA144:BD144"/>
    <mergeCell ref="BH144:BK144"/>
    <mergeCell ref="BO144:BR144"/>
    <mergeCell ref="BV144:BY144"/>
    <mergeCell ref="CC144:CF144"/>
    <mergeCell ref="CJ144:CM144"/>
    <mergeCell ref="CQ144:CT144"/>
    <mergeCell ref="BA145:BD145"/>
    <mergeCell ref="CX144:DA144"/>
    <mergeCell ref="CX145:DA145"/>
    <mergeCell ref="DZ142:EC142"/>
    <mergeCell ref="EG142:EJ142"/>
    <mergeCell ref="EN142:EQ142"/>
    <mergeCell ref="EU142:EX142"/>
    <mergeCell ref="FB142:FE142"/>
    <mergeCell ref="DZ143:EC143"/>
    <mergeCell ref="EG143:EJ143"/>
    <mergeCell ref="EN143:EQ143"/>
    <mergeCell ref="EU143:EX143"/>
    <mergeCell ref="FB143:FE143"/>
    <mergeCell ref="DZ144:EC144"/>
    <mergeCell ref="EG144:EJ144"/>
    <mergeCell ref="EN144:EQ144"/>
    <mergeCell ref="EU144:EX144"/>
    <mergeCell ref="FB144:FE144"/>
    <mergeCell ref="DZ145:EC145"/>
    <mergeCell ref="EG145:EJ145"/>
    <mergeCell ref="EN145:EQ145"/>
    <mergeCell ref="EU145:EX145"/>
    <mergeCell ref="FB145:FE145"/>
    <mergeCell ref="DS142:DV142"/>
    <mergeCell ref="DS143:DV143"/>
    <mergeCell ref="DS144:DV144"/>
    <mergeCell ref="DS145:DV145"/>
    <mergeCell ref="BA146:BD146"/>
    <mergeCell ref="BH145:BK145"/>
    <mergeCell ref="BH146:BK146"/>
    <mergeCell ref="BO145:BR145"/>
    <mergeCell ref="BO146:BR146"/>
    <mergeCell ref="BV145:BY145"/>
    <mergeCell ref="BV146:BY146"/>
    <mergeCell ref="CC145:CF145"/>
    <mergeCell ref="CC146:CF146"/>
    <mergeCell ref="CJ145:CM145"/>
    <mergeCell ref="CJ146:CM146"/>
    <mergeCell ref="CQ145:CT145"/>
    <mergeCell ref="CQ146:CT146"/>
    <mergeCell ref="FI146:FL146"/>
    <mergeCell ref="FP146:FS146"/>
    <mergeCell ref="FW146:FZ146"/>
    <mergeCell ref="GD146:GG146"/>
    <mergeCell ref="GK146:GN146"/>
    <mergeCell ref="GR146:GU146"/>
    <mergeCell ref="GY146:HB146"/>
    <mergeCell ref="HF146:HI146"/>
    <mergeCell ref="HM146:HP146"/>
    <mergeCell ref="HT146:HW146"/>
    <mergeCell ref="IA146:ID146"/>
    <mergeCell ref="IH146:IK146"/>
    <mergeCell ref="IO146:IR146"/>
    <mergeCell ref="IV146:IY146"/>
    <mergeCell ref="BA147:BD147"/>
    <mergeCell ref="BA148:BD148"/>
    <mergeCell ref="BH147:BK147"/>
    <mergeCell ref="BH148:BK148"/>
    <mergeCell ref="BO147:BR147"/>
    <mergeCell ref="BO148:BR148"/>
    <mergeCell ref="BV147:BY147"/>
    <mergeCell ref="BV148:BY148"/>
    <mergeCell ref="CC147:CF147"/>
    <mergeCell ref="CC148:CF148"/>
    <mergeCell ref="CJ147:CM147"/>
    <mergeCell ref="CJ148:CM148"/>
    <mergeCell ref="CQ147:CT147"/>
    <mergeCell ref="CQ148:CT148"/>
    <mergeCell ref="FI147:FL147"/>
    <mergeCell ref="FP147:FS147"/>
    <mergeCell ref="FW147:FZ147"/>
    <mergeCell ref="GD147:GG147"/>
    <mergeCell ref="GK147:GN147"/>
    <mergeCell ref="FI148:FL148"/>
    <mergeCell ref="FP148:FS148"/>
    <mergeCell ref="FW148:FZ148"/>
    <mergeCell ref="GD148:GG148"/>
    <mergeCell ref="GK148:GN148"/>
    <mergeCell ref="CX146:DA146"/>
    <mergeCell ref="CX147:DA147"/>
    <mergeCell ref="CX148:DA148"/>
    <mergeCell ref="DZ146:EC146"/>
    <mergeCell ref="EG146:EJ146"/>
    <mergeCell ref="EN146:EQ146"/>
    <mergeCell ref="EU146:EX146"/>
    <mergeCell ref="FB146:FE146"/>
    <mergeCell ref="DZ147:EC147"/>
    <mergeCell ref="EG147:EJ147"/>
    <mergeCell ref="EN147:EQ147"/>
    <mergeCell ref="EU147:EX147"/>
    <mergeCell ref="FB147:FE147"/>
    <mergeCell ref="BA149:BD149"/>
    <mergeCell ref="BH149:BK149"/>
    <mergeCell ref="BO149:BR149"/>
    <mergeCell ref="BV149:BY149"/>
    <mergeCell ref="CC149:CF149"/>
    <mergeCell ref="CJ149:CM149"/>
    <mergeCell ref="CQ149:CT149"/>
    <mergeCell ref="DZ149:EC149"/>
    <mergeCell ref="EG149:EJ149"/>
    <mergeCell ref="EN149:EQ149"/>
    <mergeCell ref="EU149:EX149"/>
    <mergeCell ref="FB149:FE149"/>
    <mergeCell ref="FI149:FL149"/>
    <mergeCell ref="FP149:FS149"/>
    <mergeCell ref="FW149:FZ149"/>
    <mergeCell ref="GD149:GG149"/>
    <mergeCell ref="GK149:GN149"/>
    <mergeCell ref="BA150:BD150"/>
    <mergeCell ref="BA151:BD151"/>
    <mergeCell ref="BH150:BK150"/>
    <mergeCell ref="BH151:BK151"/>
    <mergeCell ref="BO150:BR150"/>
    <mergeCell ref="BO151:BR151"/>
    <mergeCell ref="BV150:BY150"/>
    <mergeCell ref="BV151:BY151"/>
    <mergeCell ref="CC150:CF150"/>
    <mergeCell ref="CC151:CF151"/>
    <mergeCell ref="CJ150:CM150"/>
    <mergeCell ref="CJ151:CM151"/>
    <mergeCell ref="CQ150:CT150"/>
    <mergeCell ref="CQ151:CT151"/>
    <mergeCell ref="DZ150:EC150"/>
    <mergeCell ref="EG150:EJ150"/>
    <mergeCell ref="EN150:EQ150"/>
    <mergeCell ref="EU150:EX150"/>
    <mergeCell ref="FB150:FE150"/>
    <mergeCell ref="DZ151:EC151"/>
    <mergeCell ref="EG151:EJ151"/>
    <mergeCell ref="EN151:EQ151"/>
    <mergeCell ref="EU151:EX151"/>
    <mergeCell ref="FB151:FE151"/>
    <mergeCell ref="FI150:FL150"/>
    <mergeCell ref="FP150:FS150"/>
    <mergeCell ref="FW150:FZ150"/>
    <mergeCell ref="GD150:GG150"/>
    <mergeCell ref="GK150:GN150"/>
    <mergeCell ref="FI151:FL151"/>
    <mergeCell ref="CX149:DA149"/>
    <mergeCell ref="CX150:DA150"/>
    <mergeCell ref="CX151:DA151"/>
    <mergeCell ref="BA152:BD152"/>
    <mergeCell ref="BA153:BD153"/>
    <mergeCell ref="BA154:BD154"/>
    <mergeCell ref="BH152:BK152"/>
    <mergeCell ref="BH153:BK153"/>
    <mergeCell ref="BH154:BK154"/>
    <mergeCell ref="BO152:BR152"/>
    <mergeCell ref="BO153:BR153"/>
    <mergeCell ref="BO154:BR154"/>
    <mergeCell ref="BV152:BY152"/>
    <mergeCell ref="BV153:BY153"/>
    <mergeCell ref="BV154:BY154"/>
    <mergeCell ref="CC152:CF152"/>
    <mergeCell ref="CC153:CF153"/>
    <mergeCell ref="CC154:CF154"/>
    <mergeCell ref="CJ152:CM152"/>
    <mergeCell ref="CJ153:CM153"/>
    <mergeCell ref="CJ154:CM154"/>
    <mergeCell ref="CQ152:CT152"/>
    <mergeCell ref="CQ153:CT153"/>
    <mergeCell ref="CQ154:CT154"/>
    <mergeCell ref="DZ152:EC152"/>
    <mergeCell ref="EG152:EJ152"/>
    <mergeCell ref="EN152:EQ152"/>
    <mergeCell ref="BA155:BD155"/>
    <mergeCell ref="BH155:BK155"/>
    <mergeCell ref="BO155:BR155"/>
    <mergeCell ref="BV155:BY155"/>
    <mergeCell ref="CC155:CF155"/>
    <mergeCell ref="CJ155:CM155"/>
    <mergeCell ref="CQ155:CT155"/>
    <mergeCell ref="GR154:GU154"/>
    <mergeCell ref="GY154:HB154"/>
    <mergeCell ref="CX152:DA152"/>
    <mergeCell ref="CX153:DA153"/>
    <mergeCell ref="CX154:DA154"/>
    <mergeCell ref="CX155:DA155"/>
    <mergeCell ref="FI153:FL153"/>
    <mergeCell ref="FP153:FS153"/>
    <mergeCell ref="FW153:FZ153"/>
    <mergeCell ref="GD153:GG153"/>
    <mergeCell ref="GK153:GN153"/>
    <mergeCell ref="FI154:FL154"/>
    <mergeCell ref="FP154:FS154"/>
    <mergeCell ref="FW154:FZ154"/>
    <mergeCell ref="GD154:GG154"/>
    <mergeCell ref="GK154:GN154"/>
    <mergeCell ref="FI155:FL155"/>
    <mergeCell ref="FP155:FS155"/>
    <mergeCell ref="FW155:FZ155"/>
    <mergeCell ref="GD155:GG155"/>
    <mergeCell ref="GK155:GN155"/>
    <mergeCell ref="HF154:HI154"/>
    <mergeCell ref="HM154:HP154"/>
    <mergeCell ref="HT154:HW154"/>
    <mergeCell ref="GR155:GU155"/>
    <mergeCell ref="GY155:HB155"/>
    <mergeCell ref="HF155:HI155"/>
    <mergeCell ref="HM155:HP155"/>
    <mergeCell ref="HT155:HW155"/>
    <mergeCell ref="IA154:ID154"/>
    <mergeCell ref="IH154:IK154"/>
    <mergeCell ref="IO154:IR154"/>
    <mergeCell ref="IV154:IY154"/>
    <mergeCell ref="IA155:ID155"/>
    <mergeCell ref="IH155:IK155"/>
    <mergeCell ref="IO155:IR155"/>
    <mergeCell ref="IV155:IY155"/>
    <mergeCell ref="BA156:BD156"/>
    <mergeCell ref="BA157:BD157"/>
    <mergeCell ref="BH156:BK156"/>
    <mergeCell ref="BH157:BK157"/>
    <mergeCell ref="BO156:BR156"/>
    <mergeCell ref="BO157:BR157"/>
    <mergeCell ref="BV156:BY156"/>
    <mergeCell ref="BV157:BY157"/>
    <mergeCell ref="CC156:CF156"/>
    <mergeCell ref="CC157:CF157"/>
    <mergeCell ref="CJ156:CM156"/>
    <mergeCell ref="CJ157:CM157"/>
    <mergeCell ref="CQ156:CT156"/>
    <mergeCell ref="CQ157:CT157"/>
    <mergeCell ref="GR156:GU156"/>
    <mergeCell ref="GY156:HB156"/>
    <mergeCell ref="HF156:HI156"/>
    <mergeCell ref="HM156:HP156"/>
    <mergeCell ref="HT156:HW156"/>
    <mergeCell ref="GR157:GU157"/>
    <mergeCell ref="GY157:HB157"/>
    <mergeCell ref="HF157:HI157"/>
    <mergeCell ref="HM157:HP157"/>
    <mergeCell ref="HT157:HW157"/>
    <mergeCell ref="IA156:ID156"/>
    <mergeCell ref="IH156:IK156"/>
    <mergeCell ref="IO156:IR156"/>
    <mergeCell ref="IV156:IY156"/>
    <mergeCell ref="IA157:ID157"/>
    <mergeCell ref="IH157:IK157"/>
    <mergeCell ref="CX156:DA156"/>
    <mergeCell ref="CX157:DA157"/>
    <mergeCell ref="FI156:FL156"/>
    <mergeCell ref="FP156:FS156"/>
    <mergeCell ref="FW156:FZ156"/>
    <mergeCell ref="GD156:GG156"/>
    <mergeCell ref="GK156:GN156"/>
    <mergeCell ref="FI157:FL157"/>
    <mergeCell ref="FP157:FS157"/>
    <mergeCell ref="FW157:FZ157"/>
    <mergeCell ref="GD157:GG157"/>
    <mergeCell ref="GK157:GN157"/>
    <mergeCell ref="BA158:BD158"/>
    <mergeCell ref="BH158:BK158"/>
    <mergeCell ref="BO158:BR158"/>
    <mergeCell ref="BV158:BY158"/>
    <mergeCell ref="CC158:CF158"/>
    <mergeCell ref="CJ158:CM158"/>
    <mergeCell ref="CQ158:CT158"/>
    <mergeCell ref="FI158:FL158"/>
    <mergeCell ref="FP158:FS158"/>
    <mergeCell ref="FW158:FZ158"/>
    <mergeCell ref="GD158:GG158"/>
    <mergeCell ref="GK158:GN158"/>
    <mergeCell ref="GR158:GU158"/>
    <mergeCell ref="GY158:HB158"/>
    <mergeCell ref="HF158:HI158"/>
    <mergeCell ref="HM158:HP158"/>
    <mergeCell ref="HT158:HW158"/>
    <mergeCell ref="BA159:BD159"/>
    <mergeCell ref="BH159:BK159"/>
    <mergeCell ref="BO159:BR159"/>
    <mergeCell ref="BV159:BY159"/>
    <mergeCell ref="CC159:CF159"/>
    <mergeCell ref="CJ159:CM159"/>
    <mergeCell ref="CQ159:CT159"/>
    <mergeCell ref="FI159:FL159"/>
    <mergeCell ref="FP159:FS159"/>
    <mergeCell ref="FW159:FZ159"/>
    <mergeCell ref="GD159:GG159"/>
    <mergeCell ref="GK159:GN159"/>
    <mergeCell ref="GR159:GU159"/>
    <mergeCell ref="GY159:HB159"/>
    <mergeCell ref="HF159:HI159"/>
    <mergeCell ref="HM159:HP159"/>
    <mergeCell ref="HT159:HW159"/>
    <mergeCell ref="CX158:DA158"/>
    <mergeCell ref="CX159:DA159"/>
    <mergeCell ref="DZ159:EC159"/>
    <mergeCell ref="EG159:EJ159"/>
    <mergeCell ref="EN159:EQ159"/>
    <mergeCell ref="EU159:EX159"/>
    <mergeCell ref="FB159:FE159"/>
    <mergeCell ref="DL163:DO163"/>
    <mergeCell ref="IA164:ID164"/>
    <mergeCell ref="IH164:IK164"/>
    <mergeCell ref="IO164:IR164"/>
    <mergeCell ref="IV164:IY164"/>
    <mergeCell ref="DL164:DO164"/>
    <mergeCell ref="IA165:ID165"/>
    <mergeCell ref="IH165:IK165"/>
    <mergeCell ref="IO165:IR165"/>
    <mergeCell ref="IV165:IY165"/>
    <mergeCell ref="DL165:DO165"/>
    <mergeCell ref="IA166:ID166"/>
    <mergeCell ref="IH166:IK166"/>
    <mergeCell ref="IO166:IR166"/>
    <mergeCell ref="IV166:IY166"/>
    <mergeCell ref="DL166:DO166"/>
    <mergeCell ref="DS172:DV172"/>
    <mergeCell ref="DS173:DV173"/>
    <mergeCell ref="CX175:DA175"/>
    <mergeCell ref="DE175:DH175"/>
    <mergeCell ref="CX176:DA176"/>
    <mergeCell ref="DE176:DH176"/>
    <mergeCell ref="CX177:DA177"/>
    <mergeCell ref="DE177:DH177"/>
    <mergeCell ref="CX178:DA178"/>
    <mergeCell ref="DE178:DH178"/>
    <mergeCell ref="CX179:DA179"/>
    <mergeCell ref="DE179:DH179"/>
    <mergeCell ref="CX180:DA180"/>
    <mergeCell ref="DE180:DH180"/>
    <mergeCell ref="DZ188:EC188"/>
    <mergeCell ref="EG188:EJ188"/>
    <mergeCell ref="EN188:EQ188"/>
    <mergeCell ref="EU188:EX188"/>
    <mergeCell ref="FB188:FE188"/>
    <mergeCell ref="FI188:FL188"/>
    <mergeCell ref="FP188:FS188"/>
    <mergeCell ref="FW188:FZ188"/>
    <mergeCell ref="GD188:GG188"/>
    <mergeCell ref="GK188:GN188"/>
    <mergeCell ref="GR188:GU188"/>
    <mergeCell ref="GY188:HB188"/>
    <mergeCell ref="HF188:HI188"/>
    <mergeCell ref="HM188:HP188"/>
    <mergeCell ref="HT188:HW188"/>
    <mergeCell ref="IA188:ID188"/>
    <mergeCell ref="IH188:IK188"/>
    <mergeCell ref="IO188:IR188"/>
    <mergeCell ref="IV188:IY188"/>
    <mergeCell ref="DZ167:EC167"/>
    <mergeCell ref="EG167:EJ167"/>
    <mergeCell ref="EN167:EQ167"/>
    <mergeCell ref="EU167:EX167"/>
    <mergeCell ref="FB167:FE167"/>
    <mergeCell ref="DZ168:EC168"/>
    <mergeCell ref="EG168:EJ168"/>
    <mergeCell ref="EN168:EQ168"/>
    <mergeCell ref="EU168:EX168"/>
    <mergeCell ref="FB168:FE168"/>
    <mergeCell ref="DZ169:EC169"/>
    <mergeCell ref="EG169:EJ169"/>
    <mergeCell ref="EN169:EQ169"/>
    <mergeCell ref="EU169:EX169"/>
    <mergeCell ref="FB169:FE169"/>
    <mergeCell ref="DZ190:EC190"/>
    <mergeCell ref="EG190:EJ190"/>
    <mergeCell ref="EN190:EQ190"/>
    <mergeCell ref="EU190:EX190"/>
    <mergeCell ref="FB190:FE190"/>
    <mergeCell ref="FI190:FL190"/>
    <mergeCell ref="FP190:FS190"/>
    <mergeCell ref="FW190:FZ190"/>
    <mergeCell ref="GD190:GG190"/>
    <mergeCell ref="GK190:GN190"/>
    <mergeCell ref="GR190:GU190"/>
    <mergeCell ref="GY190:HB190"/>
    <mergeCell ref="HF190:HI190"/>
    <mergeCell ref="HM190:HP190"/>
    <mergeCell ref="HT190:HW190"/>
    <mergeCell ref="DZ191:EC191"/>
    <mergeCell ref="EG191:EJ191"/>
    <mergeCell ref="EN191:EQ191"/>
    <mergeCell ref="EU191:EX191"/>
    <mergeCell ref="FB191:FE191"/>
    <mergeCell ref="FI191:FL191"/>
    <mergeCell ref="FP191:FS191"/>
    <mergeCell ref="FW191:FZ191"/>
    <mergeCell ref="GD191:GG191"/>
    <mergeCell ref="GK191:GN191"/>
    <mergeCell ref="GR191:GU191"/>
    <mergeCell ref="GY191:HB191"/>
    <mergeCell ref="HF191:HI191"/>
    <mergeCell ref="HM191:HP191"/>
    <mergeCell ref="HT191:HW191"/>
    <mergeCell ref="DZ192:EC192"/>
    <mergeCell ref="EG192:EJ192"/>
    <mergeCell ref="EN192:EQ192"/>
    <mergeCell ref="EU192:EX192"/>
    <mergeCell ref="FB192:FE192"/>
    <mergeCell ref="FI192:FL192"/>
    <mergeCell ref="FP192:FS192"/>
    <mergeCell ref="FW192:FZ192"/>
    <mergeCell ref="GD192:GG192"/>
    <mergeCell ref="GK192:GN192"/>
    <mergeCell ref="GR192:GU192"/>
    <mergeCell ref="GY192:HB192"/>
    <mergeCell ref="HF192:HI192"/>
    <mergeCell ref="HM192:HP192"/>
    <mergeCell ref="HT192:HW192"/>
    <mergeCell ref="IA196:ID196"/>
    <mergeCell ref="IH196:IK196"/>
    <mergeCell ref="IO196:IR196"/>
    <mergeCell ref="IV196:IY196"/>
    <mergeCell ref="R200:U200"/>
    <mergeCell ref="Y200:AB200"/>
    <mergeCell ref="AF200:AI200"/>
    <mergeCell ref="AM200:AP200"/>
    <mergeCell ref="AT200:AW200"/>
    <mergeCell ref="DZ200:EC200"/>
    <mergeCell ref="EG200:EJ200"/>
    <mergeCell ref="EN200:EQ200"/>
    <mergeCell ref="EU200:EX200"/>
    <mergeCell ref="FB200:FE200"/>
    <mergeCell ref="FI200:FL200"/>
    <mergeCell ref="FP200:FS200"/>
    <mergeCell ref="FW200:FZ200"/>
    <mergeCell ref="GD200:GG200"/>
    <mergeCell ref="GK200:GN200"/>
    <mergeCell ref="GR200:GU200"/>
    <mergeCell ref="GY200:HB200"/>
    <mergeCell ref="HF200:HI200"/>
    <mergeCell ref="HM200:HP200"/>
    <mergeCell ref="HT200:HW200"/>
    <mergeCell ref="DL200:DO200"/>
    <mergeCell ref="K201:N201"/>
    <mergeCell ref="R201:U201"/>
    <mergeCell ref="Y201:AB201"/>
    <mergeCell ref="AF201:AI201"/>
    <mergeCell ref="AM201:AP201"/>
    <mergeCell ref="AT201:AW201"/>
    <mergeCell ref="DZ201:EC201"/>
    <mergeCell ref="EG201:EJ201"/>
    <mergeCell ref="EN201:EQ201"/>
    <mergeCell ref="EU201:EX201"/>
    <mergeCell ref="FB201:FE201"/>
    <mergeCell ref="FI201:FL201"/>
    <mergeCell ref="FP201:FS201"/>
    <mergeCell ref="FW201:FZ201"/>
    <mergeCell ref="GD201:GG201"/>
    <mergeCell ref="GK201:GN201"/>
    <mergeCell ref="GR201:GU201"/>
    <mergeCell ref="GY201:HB201"/>
    <mergeCell ref="HF201:HI201"/>
    <mergeCell ref="HM201:HP201"/>
    <mergeCell ref="HT201:HW201"/>
    <mergeCell ref="DL201:DO201"/>
    <mergeCell ref="K200:N200"/>
    <mergeCell ref="BH197:BK197"/>
    <mergeCell ref="BH198:BK198"/>
    <mergeCell ref="BH199:BK199"/>
    <mergeCell ref="BH200:BK200"/>
    <mergeCell ref="BH201:BK201"/>
    <mergeCell ref="CX199:DA199"/>
    <mergeCell ref="CX200:DA200"/>
    <mergeCell ref="CX201:DA201"/>
    <mergeCell ref="DE200:DH200"/>
    <mergeCell ref="DE201:DH201"/>
    <mergeCell ref="DZ196:EC196"/>
    <mergeCell ref="EG196:EJ196"/>
    <mergeCell ref="EN196:EQ196"/>
    <mergeCell ref="EU196:EX196"/>
    <mergeCell ref="FB196:FE196"/>
    <mergeCell ref="DZ197:EC197"/>
    <mergeCell ref="IA204:ID204"/>
    <mergeCell ref="IH204:IK204"/>
    <mergeCell ref="IO204:IR204"/>
    <mergeCell ref="IV204:IY204"/>
    <mergeCell ref="IA205:ID205"/>
    <mergeCell ref="IH205:IK205"/>
    <mergeCell ref="IO205:IR205"/>
    <mergeCell ref="IV205:IY205"/>
    <mergeCell ref="IA206:ID206"/>
    <mergeCell ref="IH206:IK206"/>
    <mergeCell ref="IO206:IR206"/>
    <mergeCell ref="IV206:IY206"/>
    <mergeCell ref="DS208:DV208"/>
    <mergeCell ref="DZ209:EC209"/>
    <mergeCell ref="EG209:EJ209"/>
    <mergeCell ref="EN209:EQ209"/>
    <mergeCell ref="EU209:EX209"/>
    <mergeCell ref="FB209:FE209"/>
    <mergeCell ref="FI209:FL209"/>
    <mergeCell ref="FP209:FS209"/>
    <mergeCell ref="FW209:FZ209"/>
    <mergeCell ref="GD209:GG209"/>
    <mergeCell ref="GK209:GN209"/>
    <mergeCell ref="GR209:GU209"/>
    <mergeCell ref="GY209:HB209"/>
    <mergeCell ref="HF209:HI209"/>
    <mergeCell ref="HM209:HP209"/>
    <mergeCell ref="HT209:HW209"/>
    <mergeCell ref="DS209:DV209"/>
    <mergeCell ref="DZ210:EC210"/>
    <mergeCell ref="EG210:EJ210"/>
    <mergeCell ref="EN210:EQ210"/>
    <mergeCell ref="EU210:EX210"/>
    <mergeCell ref="FB210:FE210"/>
    <mergeCell ref="FI210:FL210"/>
    <mergeCell ref="FP210:FS210"/>
    <mergeCell ref="FW210:FZ210"/>
    <mergeCell ref="GD210:GG210"/>
    <mergeCell ref="GK210:GN210"/>
    <mergeCell ref="GR210:GU210"/>
    <mergeCell ref="GY210:HB210"/>
    <mergeCell ref="HF210:HI210"/>
    <mergeCell ref="HM210:HP210"/>
    <mergeCell ref="HT210:HW210"/>
    <mergeCell ref="DS210:DV210"/>
    <mergeCell ref="DZ206:EC206"/>
    <mergeCell ref="EG206:EJ206"/>
    <mergeCell ref="EN206:EQ206"/>
    <mergeCell ref="EU206:EX206"/>
    <mergeCell ref="FB206:FE206"/>
    <mergeCell ref="DZ207:EC207"/>
    <mergeCell ref="EG207:EJ207"/>
    <mergeCell ref="EN207:EQ207"/>
    <mergeCell ref="EU207:EX207"/>
    <mergeCell ref="FB207:FE207"/>
    <mergeCell ref="DZ208:EC208"/>
    <mergeCell ref="EG208:EJ208"/>
    <mergeCell ref="EN208:EQ208"/>
    <mergeCell ref="EU208:EX208"/>
    <mergeCell ref="FB208:FE208"/>
    <mergeCell ref="GR204:GU204"/>
    <mergeCell ref="GY204:HB204"/>
    <mergeCell ref="HF204:HI204"/>
    <mergeCell ref="HM204:HP204"/>
    <mergeCell ref="DZ211:EC211"/>
    <mergeCell ref="EG211:EJ211"/>
    <mergeCell ref="EN211:EQ211"/>
    <mergeCell ref="EU211:EX211"/>
    <mergeCell ref="FB211:FE211"/>
    <mergeCell ref="FI211:FL211"/>
    <mergeCell ref="FP211:FS211"/>
    <mergeCell ref="FW211:FZ211"/>
    <mergeCell ref="GD211:GG211"/>
    <mergeCell ref="GK211:GN211"/>
    <mergeCell ref="GR211:GU211"/>
    <mergeCell ref="GY211:HB211"/>
    <mergeCell ref="HF211:HI211"/>
    <mergeCell ref="HM211:HP211"/>
    <mergeCell ref="HT211:HW211"/>
    <mergeCell ref="DS211:DV211"/>
    <mergeCell ref="CX214:DA214"/>
    <mergeCell ref="DE214:DH214"/>
    <mergeCell ref="IA214:ID214"/>
    <mergeCell ref="IH214:IK214"/>
    <mergeCell ref="IO214:IR214"/>
    <mergeCell ref="IV214:IY214"/>
    <mergeCell ref="CX215:DA215"/>
    <mergeCell ref="DE215:DH215"/>
    <mergeCell ref="IA215:ID215"/>
    <mergeCell ref="IH215:IK215"/>
    <mergeCell ref="IO215:IR215"/>
    <mergeCell ref="IV215:IY215"/>
    <mergeCell ref="CX216:DA216"/>
    <mergeCell ref="DE216:DH216"/>
    <mergeCell ref="IA216:ID216"/>
    <mergeCell ref="IH216:IK216"/>
    <mergeCell ref="IO216:IR216"/>
    <mergeCell ref="IV216:IY216"/>
    <mergeCell ref="DZ212:EC212"/>
    <mergeCell ref="EG212:EJ212"/>
    <mergeCell ref="EN212:EQ212"/>
    <mergeCell ref="EU212:EX212"/>
    <mergeCell ref="FB212:FE212"/>
    <mergeCell ref="DZ213:EC213"/>
    <mergeCell ref="EG213:EJ213"/>
    <mergeCell ref="EN213:EQ213"/>
    <mergeCell ref="EU213:EX213"/>
    <mergeCell ref="FB213:FE213"/>
    <mergeCell ref="DZ214:EC214"/>
    <mergeCell ref="EG214:EJ214"/>
    <mergeCell ref="EN214:EQ214"/>
    <mergeCell ref="EU214:EX214"/>
    <mergeCell ref="FB214:FE214"/>
    <mergeCell ref="DZ215:EC215"/>
    <mergeCell ref="EG215:EJ215"/>
    <mergeCell ref="EN215:EQ215"/>
    <mergeCell ref="EU215:EX215"/>
    <mergeCell ref="FB215:FE215"/>
    <mergeCell ref="DZ216:EC216"/>
    <mergeCell ref="EG216:EJ216"/>
    <mergeCell ref="EN216:EQ216"/>
    <mergeCell ref="EU216:EX216"/>
    <mergeCell ref="FB216:FE216"/>
    <mergeCell ref="FI212:FL212"/>
    <mergeCell ref="FP212:FS212"/>
    <mergeCell ref="FW212:FZ212"/>
    <mergeCell ref="GD212:GG212"/>
    <mergeCell ref="GK212:GN212"/>
    <mergeCell ref="NX7:OD7"/>
    <mergeCell ref="OE7:OK7"/>
    <mergeCell ref="OL7:OR7"/>
    <mergeCell ref="OS7:OY7"/>
    <mergeCell ref="OZ7:PF7"/>
    <mergeCell ref="PG7:PM7"/>
    <mergeCell ref="MH7:MN7"/>
    <mergeCell ref="MO7:MU7"/>
    <mergeCell ref="MV7:NB7"/>
    <mergeCell ref="NC7:NI7"/>
    <mergeCell ref="NJ7:NP7"/>
    <mergeCell ref="NQ7:NW7"/>
    <mergeCell ref="KR7:KX7"/>
    <mergeCell ref="KY7:LE7"/>
    <mergeCell ref="LF7:LL7"/>
    <mergeCell ref="LM7:LS7"/>
    <mergeCell ref="LT7:LZ7"/>
    <mergeCell ref="MA7:MG7"/>
    <mergeCell ref="JB7:JH7"/>
    <mergeCell ref="JI7:JO7"/>
    <mergeCell ref="JP7:JV7"/>
    <mergeCell ref="JW7:KC7"/>
    <mergeCell ref="KD7:KJ7"/>
    <mergeCell ref="KK7:KQ7"/>
    <mergeCell ref="NX6:OD6"/>
    <mergeCell ref="OE6:OK6"/>
    <mergeCell ref="OL6:OR6"/>
    <mergeCell ref="OS6:OY6"/>
    <mergeCell ref="OZ6:PF6"/>
    <mergeCell ref="PG6:PM6"/>
    <mergeCell ref="MH6:MN6"/>
    <mergeCell ref="MO6:MU6"/>
    <mergeCell ref="MV6:NB6"/>
    <mergeCell ref="NC6:NI6"/>
    <mergeCell ref="NJ6:NP6"/>
    <mergeCell ref="NQ6:NW6"/>
    <mergeCell ref="KR6:KX6"/>
    <mergeCell ref="KY6:LE6"/>
    <mergeCell ref="LF6:LL6"/>
    <mergeCell ref="LM6:LS6"/>
    <mergeCell ref="LT6:LZ6"/>
    <mergeCell ref="MA6:MG6"/>
    <mergeCell ref="JB6:JH6"/>
    <mergeCell ref="JI6:JO6"/>
    <mergeCell ref="JP6:JV6"/>
    <mergeCell ref="JW6:KC6"/>
    <mergeCell ref="KD6:KJ6"/>
    <mergeCell ref="KK6:KQ6"/>
    <mergeCell ref="NX9:OD9"/>
    <mergeCell ref="OE9:OK9"/>
    <mergeCell ref="OL9:OR9"/>
    <mergeCell ref="OS9:OY9"/>
    <mergeCell ref="OZ9:PF9"/>
    <mergeCell ref="PG9:PM9"/>
    <mergeCell ref="MH9:MN9"/>
    <mergeCell ref="MO9:MU9"/>
    <mergeCell ref="MV9:NB9"/>
    <mergeCell ref="NC9:NI9"/>
    <mergeCell ref="NJ9:NP9"/>
    <mergeCell ref="NQ9:NW9"/>
    <mergeCell ref="KR9:KX9"/>
    <mergeCell ref="KY9:LE9"/>
    <mergeCell ref="LF9:LL9"/>
    <mergeCell ref="LM9:LS9"/>
    <mergeCell ref="LT9:LZ9"/>
    <mergeCell ref="MA9:MG9"/>
    <mergeCell ref="JB9:JH9"/>
    <mergeCell ref="JI9:JO9"/>
    <mergeCell ref="JP9:JV9"/>
    <mergeCell ref="JW9:KC9"/>
    <mergeCell ref="KD9:KJ9"/>
    <mergeCell ref="KK9:KQ9"/>
    <mergeCell ref="NX8:OD8"/>
    <mergeCell ref="OE8:OK8"/>
    <mergeCell ref="OL8:OR8"/>
    <mergeCell ref="OS8:OY8"/>
    <mergeCell ref="OZ8:PF8"/>
    <mergeCell ref="PG8:PM8"/>
    <mergeCell ref="MH8:MN8"/>
    <mergeCell ref="MO8:MU8"/>
    <mergeCell ref="MV8:NB8"/>
    <mergeCell ref="NC8:NI8"/>
    <mergeCell ref="NJ8:NP8"/>
    <mergeCell ref="NQ8:NW8"/>
    <mergeCell ref="KR8:KX8"/>
    <mergeCell ref="KY8:LE8"/>
    <mergeCell ref="LF8:LL8"/>
    <mergeCell ref="LM8:LS8"/>
    <mergeCell ref="LT8:LZ8"/>
    <mergeCell ref="MA8:MG8"/>
    <mergeCell ref="JB8:JH8"/>
    <mergeCell ref="JI8:JO8"/>
    <mergeCell ref="JP8:JV8"/>
    <mergeCell ref="JW8:KC8"/>
    <mergeCell ref="KD8:KJ8"/>
    <mergeCell ref="KK8:KQ8"/>
    <mergeCell ref="JJ11:JM11"/>
    <mergeCell ref="JQ11:JT11"/>
    <mergeCell ref="JX11:KA11"/>
    <mergeCell ref="KE11:KH11"/>
    <mergeCell ref="KL11:KO11"/>
    <mergeCell ref="JJ12:JM12"/>
    <mergeCell ref="JQ12:JT12"/>
    <mergeCell ref="JX12:KA12"/>
    <mergeCell ref="KE12:KH12"/>
    <mergeCell ref="KL12:KO12"/>
    <mergeCell ref="KS11:KV11"/>
    <mergeCell ref="KZ11:LC11"/>
    <mergeCell ref="LG11:LJ11"/>
    <mergeCell ref="LN11:LQ11"/>
    <mergeCell ref="LU11:LX11"/>
    <mergeCell ref="KS12:KV12"/>
    <mergeCell ref="JJ13:JM13"/>
    <mergeCell ref="JQ13:JT13"/>
    <mergeCell ref="JX13:KA13"/>
    <mergeCell ref="KE13:KH13"/>
    <mergeCell ref="KL13:KO13"/>
    <mergeCell ref="JJ14:JM14"/>
    <mergeCell ref="JQ14:JT14"/>
    <mergeCell ref="JX14:KA14"/>
    <mergeCell ref="KE14:KH14"/>
    <mergeCell ref="KL14:KO14"/>
    <mergeCell ref="JJ15:JM15"/>
    <mergeCell ref="JQ15:JT15"/>
    <mergeCell ref="JX15:KA15"/>
    <mergeCell ref="KE15:KH15"/>
    <mergeCell ref="KL15:KO15"/>
    <mergeCell ref="JJ16:JM16"/>
    <mergeCell ref="JQ16:JT16"/>
    <mergeCell ref="JX16:KA16"/>
    <mergeCell ref="KE16:KH16"/>
    <mergeCell ref="KL16:KO16"/>
    <mergeCell ref="KZ12:LC12"/>
    <mergeCell ref="LG12:LJ12"/>
    <mergeCell ref="LN12:LQ12"/>
    <mergeCell ref="LU12:LX12"/>
    <mergeCell ref="KS13:KV13"/>
    <mergeCell ref="KZ13:LC13"/>
    <mergeCell ref="LG13:LJ13"/>
    <mergeCell ref="LN13:LQ13"/>
    <mergeCell ref="LU13:LX13"/>
    <mergeCell ref="KS14:KV14"/>
    <mergeCell ref="KZ14:LC14"/>
    <mergeCell ref="LG14:LJ14"/>
    <mergeCell ref="LN14:LQ14"/>
    <mergeCell ref="LU14:LX14"/>
    <mergeCell ref="KS15:KV15"/>
    <mergeCell ref="KZ15:LC15"/>
    <mergeCell ref="LG15:LJ15"/>
    <mergeCell ref="LN15:LQ15"/>
    <mergeCell ref="LU15:LX15"/>
    <mergeCell ref="KS16:KV16"/>
    <mergeCell ref="KZ16:LC16"/>
    <mergeCell ref="LG16:LJ16"/>
    <mergeCell ref="LN16:LQ16"/>
    <mergeCell ref="LU16:LX16"/>
    <mergeCell ref="JC18:JF18"/>
    <mergeCell ref="JJ17:JM17"/>
    <mergeCell ref="JQ17:JT17"/>
    <mergeCell ref="JX17:KA17"/>
    <mergeCell ref="KE17:KH17"/>
    <mergeCell ref="KL17:KO17"/>
    <mergeCell ref="JJ18:JM18"/>
    <mergeCell ref="JQ18:JT18"/>
    <mergeCell ref="JX18:KA18"/>
    <mergeCell ref="KE18:KH18"/>
    <mergeCell ref="KL18:KO18"/>
    <mergeCell ref="OM18:OP18"/>
    <mergeCell ref="JC19:JF19"/>
    <mergeCell ref="JC20:JF20"/>
    <mergeCell ref="JJ19:JM19"/>
    <mergeCell ref="JQ19:JT19"/>
    <mergeCell ref="JX19:KA19"/>
    <mergeCell ref="KE19:KH19"/>
    <mergeCell ref="KL19:KO19"/>
    <mergeCell ref="JJ20:JM20"/>
    <mergeCell ref="JQ20:JT20"/>
    <mergeCell ref="JX20:KA20"/>
    <mergeCell ref="KE20:KH20"/>
    <mergeCell ref="KL20:KO20"/>
    <mergeCell ref="KS19:KV19"/>
    <mergeCell ref="KZ19:LC19"/>
    <mergeCell ref="LG19:LJ19"/>
    <mergeCell ref="LN19:LQ19"/>
    <mergeCell ref="MW22:MZ22"/>
    <mergeCell ref="ND22:NG22"/>
    <mergeCell ref="MB23:ME23"/>
    <mergeCell ref="MI23:ML23"/>
    <mergeCell ref="MP23:MS23"/>
    <mergeCell ref="MW23:MZ23"/>
    <mergeCell ref="ND23:NG23"/>
    <mergeCell ref="KS17:KV17"/>
    <mergeCell ref="KZ17:LC17"/>
    <mergeCell ref="LG17:LJ17"/>
    <mergeCell ref="LN17:LQ17"/>
    <mergeCell ref="LU17:LX17"/>
    <mergeCell ref="KS18:KV18"/>
    <mergeCell ref="KZ18:LC18"/>
    <mergeCell ref="LG18:LJ18"/>
    <mergeCell ref="LN18:LQ18"/>
    <mergeCell ref="LU18:LX18"/>
    <mergeCell ref="LU19:LX19"/>
    <mergeCell ref="KS20:KV20"/>
    <mergeCell ref="KZ20:LC20"/>
    <mergeCell ref="LG20:LJ20"/>
    <mergeCell ref="LN20:LQ20"/>
    <mergeCell ref="LU20:LX20"/>
    <mergeCell ref="KS21:KV21"/>
    <mergeCell ref="KZ21:LC21"/>
    <mergeCell ref="LG21:LJ21"/>
    <mergeCell ref="LN21:LQ21"/>
    <mergeCell ref="LU21:LX21"/>
    <mergeCell ref="KS22:KV22"/>
    <mergeCell ref="KZ22:LC22"/>
    <mergeCell ref="LG22:LJ22"/>
    <mergeCell ref="LN22:LQ22"/>
    <mergeCell ref="LU22:LX22"/>
    <mergeCell ref="KS23:KV23"/>
    <mergeCell ref="KZ23:LC23"/>
    <mergeCell ref="LG23:LJ23"/>
    <mergeCell ref="MB24:ME24"/>
    <mergeCell ref="MI24:ML24"/>
    <mergeCell ref="MP24:MS24"/>
    <mergeCell ref="MW24:MZ24"/>
    <mergeCell ref="ND24:NG24"/>
    <mergeCell ref="MB25:ME25"/>
    <mergeCell ref="MI25:ML25"/>
    <mergeCell ref="MP25:MS25"/>
    <mergeCell ref="MW25:MZ25"/>
    <mergeCell ref="ND25:NG25"/>
    <mergeCell ref="OT24:OW24"/>
    <mergeCell ref="PA24:PD24"/>
    <mergeCell ref="PH24:PK24"/>
    <mergeCell ref="OT25:OW25"/>
    <mergeCell ref="PA25:PD25"/>
    <mergeCell ref="PH25:PK25"/>
    <mergeCell ref="KS27:KV27"/>
    <mergeCell ref="KZ27:LC27"/>
    <mergeCell ref="LG27:LJ27"/>
    <mergeCell ref="LN27:LQ27"/>
    <mergeCell ref="LU27:LX27"/>
    <mergeCell ref="MB26:ME26"/>
    <mergeCell ref="MI26:ML26"/>
    <mergeCell ref="MP26:MS26"/>
    <mergeCell ref="MW26:MZ26"/>
    <mergeCell ref="ND26:NG26"/>
    <mergeCell ref="MB27:ME27"/>
    <mergeCell ref="MI27:ML27"/>
    <mergeCell ref="MP27:MS27"/>
    <mergeCell ref="MW27:MZ27"/>
    <mergeCell ref="ND27:NG27"/>
    <mergeCell ref="NK26:NN26"/>
    <mergeCell ref="JC28:JF28"/>
    <mergeCell ref="MP28:MS28"/>
    <mergeCell ref="MW28:MZ28"/>
    <mergeCell ref="ND28:NG28"/>
    <mergeCell ref="NK25:NN25"/>
    <mergeCell ref="NR25:NU25"/>
    <mergeCell ref="NY25:OB25"/>
    <mergeCell ref="OF25:OI25"/>
    <mergeCell ref="OM25:OP25"/>
    <mergeCell ref="NR26:NU26"/>
    <mergeCell ref="NY26:OB26"/>
    <mergeCell ref="OF26:OI26"/>
    <mergeCell ref="OM26:OP26"/>
    <mergeCell ref="NK27:NN27"/>
    <mergeCell ref="NR27:NU27"/>
    <mergeCell ref="NY27:OB27"/>
    <mergeCell ref="OF27:OI27"/>
    <mergeCell ref="OM27:OP27"/>
    <mergeCell ref="NK28:NN28"/>
    <mergeCell ref="NR28:NU28"/>
    <mergeCell ref="NY28:OB28"/>
    <mergeCell ref="OF28:OI28"/>
    <mergeCell ref="OM28:OP28"/>
    <mergeCell ref="JC29:JF29"/>
    <mergeCell ref="JJ28:JM28"/>
    <mergeCell ref="JQ28:JT28"/>
    <mergeCell ref="JX28:KA28"/>
    <mergeCell ref="KE28:KH28"/>
    <mergeCell ref="KL28:KO28"/>
    <mergeCell ref="JJ29:JM29"/>
    <mergeCell ref="JQ29:JT29"/>
    <mergeCell ref="JX29:KA29"/>
    <mergeCell ref="KE29:KH29"/>
    <mergeCell ref="KL29:KO29"/>
    <mergeCell ref="KS28:KV28"/>
    <mergeCell ref="KZ28:LC28"/>
    <mergeCell ref="LG28:LJ28"/>
    <mergeCell ref="LN28:LQ28"/>
    <mergeCell ref="JC30:JF30"/>
    <mergeCell ref="JJ30:JM30"/>
    <mergeCell ref="JQ30:JT30"/>
    <mergeCell ref="JX30:KA30"/>
    <mergeCell ref="KE30:KH30"/>
    <mergeCell ref="KL30:KO30"/>
    <mergeCell ref="JJ31:JM31"/>
    <mergeCell ref="JQ31:JT31"/>
    <mergeCell ref="JX31:KA31"/>
    <mergeCell ref="KE31:KH31"/>
    <mergeCell ref="KL31:KO31"/>
    <mergeCell ref="NK33:NN33"/>
    <mergeCell ref="NR33:NU33"/>
    <mergeCell ref="NY33:OB33"/>
    <mergeCell ref="OF33:OI33"/>
    <mergeCell ref="OM33:OP33"/>
    <mergeCell ref="NK34:NN34"/>
    <mergeCell ref="NR34:NU34"/>
    <mergeCell ref="NY34:OB34"/>
    <mergeCell ref="OF34:OI34"/>
    <mergeCell ref="OM34:OP34"/>
    <mergeCell ref="KE33:KH33"/>
    <mergeCell ref="KL33:KO33"/>
    <mergeCell ref="JJ34:JM34"/>
    <mergeCell ref="JQ34:JT34"/>
    <mergeCell ref="JX34:KA34"/>
    <mergeCell ref="KE34:KH34"/>
    <mergeCell ref="KL34:KO34"/>
    <mergeCell ref="KS32:KV32"/>
    <mergeCell ref="KZ32:LC32"/>
    <mergeCell ref="LG32:LJ32"/>
    <mergeCell ref="LN32:LQ32"/>
    <mergeCell ref="LU32:LX32"/>
    <mergeCell ref="KS33:KV33"/>
    <mergeCell ref="KZ33:LC33"/>
    <mergeCell ref="LG33:LJ33"/>
    <mergeCell ref="LN33:LQ33"/>
    <mergeCell ref="LU33:LX33"/>
    <mergeCell ref="KS34:KV34"/>
    <mergeCell ref="KZ34:LC34"/>
    <mergeCell ref="LG34:LJ34"/>
    <mergeCell ref="LN34:LQ34"/>
    <mergeCell ref="LU34:LX34"/>
    <mergeCell ref="MB29:ME29"/>
    <mergeCell ref="MI29:ML29"/>
    <mergeCell ref="MP29:MS29"/>
    <mergeCell ref="MW29:MZ29"/>
    <mergeCell ref="ND29:NG29"/>
    <mergeCell ref="MB30:ME30"/>
    <mergeCell ref="KS36:KV36"/>
    <mergeCell ref="KZ36:LC36"/>
    <mergeCell ref="LG36:LJ36"/>
    <mergeCell ref="LN36:LQ36"/>
    <mergeCell ref="LU36:LX36"/>
    <mergeCell ref="MB35:ME35"/>
    <mergeCell ref="MI35:ML35"/>
    <mergeCell ref="MP35:MS35"/>
    <mergeCell ref="MW35:MZ35"/>
    <mergeCell ref="ND35:NG35"/>
    <mergeCell ref="MB36:ME36"/>
    <mergeCell ref="MI36:ML36"/>
    <mergeCell ref="MP36:MS36"/>
    <mergeCell ref="MW36:MZ36"/>
    <mergeCell ref="ND36:NG36"/>
    <mergeCell ref="NK35:NN35"/>
    <mergeCell ref="JC38:JF38"/>
    <mergeCell ref="KS37:KV37"/>
    <mergeCell ref="KZ37:LC37"/>
    <mergeCell ref="LG37:LJ37"/>
    <mergeCell ref="LN37:LQ37"/>
    <mergeCell ref="LU37:LX37"/>
    <mergeCell ref="KS38:KV38"/>
    <mergeCell ref="KZ38:LC38"/>
    <mergeCell ref="LG38:LJ38"/>
    <mergeCell ref="LN38:LQ38"/>
    <mergeCell ref="LU38:LX38"/>
    <mergeCell ref="MB37:ME37"/>
    <mergeCell ref="MI37:ML37"/>
    <mergeCell ref="MP37:MS37"/>
    <mergeCell ref="MW37:MZ37"/>
    <mergeCell ref="ND37:NG37"/>
    <mergeCell ref="JJ39:JM39"/>
    <mergeCell ref="JQ39:JT39"/>
    <mergeCell ref="JX39:KA39"/>
    <mergeCell ref="KE39:KH39"/>
    <mergeCell ref="KL39:KO39"/>
    <mergeCell ref="JJ35:JM35"/>
    <mergeCell ref="JQ35:JT35"/>
    <mergeCell ref="JX35:KA35"/>
    <mergeCell ref="KE35:KH35"/>
    <mergeCell ref="KL35:KO35"/>
    <mergeCell ref="JJ36:JM36"/>
    <mergeCell ref="JQ36:JT36"/>
    <mergeCell ref="JX36:KA36"/>
    <mergeCell ref="KE36:KH36"/>
    <mergeCell ref="KL36:KO36"/>
    <mergeCell ref="JJ37:JM37"/>
    <mergeCell ref="JQ37:JT37"/>
    <mergeCell ref="JX37:KA37"/>
    <mergeCell ref="KE37:KH37"/>
    <mergeCell ref="KL37:KO37"/>
    <mergeCell ref="JJ38:JM38"/>
    <mergeCell ref="JQ38:JT38"/>
    <mergeCell ref="JX38:KA38"/>
    <mergeCell ref="KE38:KH38"/>
    <mergeCell ref="KL38:KO38"/>
    <mergeCell ref="KS35:KV35"/>
    <mergeCell ref="KZ35:LC35"/>
    <mergeCell ref="LG35:LJ35"/>
    <mergeCell ref="LN35:LQ35"/>
    <mergeCell ref="LU35:LX35"/>
    <mergeCell ref="NK38:NN38"/>
    <mergeCell ref="JJ40:JM40"/>
    <mergeCell ref="JQ40:JT40"/>
    <mergeCell ref="JX40:KA40"/>
    <mergeCell ref="KE40:KH40"/>
    <mergeCell ref="KL40:KO40"/>
    <mergeCell ref="KS39:KV39"/>
    <mergeCell ref="KZ39:LC39"/>
    <mergeCell ref="LG39:LJ39"/>
    <mergeCell ref="LN39:LQ39"/>
    <mergeCell ref="LU39:LX39"/>
    <mergeCell ref="KS40:KV40"/>
    <mergeCell ref="JJ41:JM41"/>
    <mergeCell ref="JQ41:JT41"/>
    <mergeCell ref="JX41:KA41"/>
    <mergeCell ref="KE41:KH41"/>
    <mergeCell ref="KL41:KO41"/>
    <mergeCell ref="JJ42:JM42"/>
    <mergeCell ref="JQ42:JT42"/>
    <mergeCell ref="JX42:KA42"/>
    <mergeCell ref="KE42:KH42"/>
    <mergeCell ref="KL42:KO42"/>
    <mergeCell ref="NK42:NN42"/>
    <mergeCell ref="NR42:NU42"/>
    <mergeCell ref="NY42:OB42"/>
    <mergeCell ref="OF42:OI42"/>
    <mergeCell ref="OM42:OP42"/>
    <mergeCell ref="MB56:ME56"/>
    <mergeCell ref="MI56:ML56"/>
    <mergeCell ref="MP56:MS56"/>
    <mergeCell ref="MW56:MZ56"/>
    <mergeCell ref="ND56:NG56"/>
    <mergeCell ref="JC57:JF57"/>
    <mergeCell ref="JC58:JF58"/>
    <mergeCell ref="KS58:KV58"/>
    <mergeCell ref="KZ58:LC58"/>
    <mergeCell ref="LG58:LJ58"/>
    <mergeCell ref="LN58:LQ58"/>
    <mergeCell ref="LU58:LX58"/>
    <mergeCell ref="MB57:ME57"/>
    <mergeCell ref="MI57:ML57"/>
    <mergeCell ref="MP57:MS57"/>
    <mergeCell ref="MW57:MZ57"/>
    <mergeCell ref="ND57:NG57"/>
    <mergeCell ref="MB58:ME58"/>
    <mergeCell ref="MI58:ML58"/>
    <mergeCell ref="MP58:MS58"/>
    <mergeCell ref="MW58:MZ58"/>
    <mergeCell ref="JJ54:JM54"/>
    <mergeCell ref="JQ54:JT54"/>
    <mergeCell ref="JX54:KA54"/>
    <mergeCell ref="KE54:KH54"/>
    <mergeCell ref="KL54:KO54"/>
    <mergeCell ref="JJ55:JM55"/>
    <mergeCell ref="JQ55:JT55"/>
    <mergeCell ref="JX55:KA55"/>
    <mergeCell ref="KE55:KH55"/>
    <mergeCell ref="KL55:KO55"/>
    <mergeCell ref="JJ56:JM56"/>
    <mergeCell ref="JQ56:JT56"/>
    <mergeCell ref="JX56:KA56"/>
    <mergeCell ref="KE56:KH56"/>
    <mergeCell ref="KL56:KO56"/>
    <mergeCell ref="JJ57:JM57"/>
    <mergeCell ref="JQ57:JT57"/>
    <mergeCell ref="JC59:JF59"/>
    <mergeCell ref="JC60:JF60"/>
    <mergeCell ref="KS59:KV59"/>
    <mergeCell ref="KZ59:LC59"/>
    <mergeCell ref="LG59:LJ59"/>
    <mergeCell ref="LN59:LQ59"/>
    <mergeCell ref="LU59:LX59"/>
    <mergeCell ref="KS60:KV60"/>
    <mergeCell ref="KZ60:LC60"/>
    <mergeCell ref="LG60:LJ60"/>
    <mergeCell ref="LN60:LQ60"/>
    <mergeCell ref="LU60:LX60"/>
    <mergeCell ref="OT59:OW59"/>
    <mergeCell ref="PA59:PD59"/>
    <mergeCell ref="PH59:PK59"/>
    <mergeCell ref="OT60:OW60"/>
    <mergeCell ref="JC61:JF61"/>
    <mergeCell ref="JC62:JF62"/>
    <mergeCell ref="JJ61:JM61"/>
    <mergeCell ref="JQ61:JT61"/>
    <mergeCell ref="JX61:KA61"/>
    <mergeCell ref="KE61:KH61"/>
    <mergeCell ref="KL61:KO61"/>
    <mergeCell ref="JJ62:JM62"/>
    <mergeCell ref="JQ62:JT62"/>
    <mergeCell ref="JX62:KA62"/>
    <mergeCell ref="KE62:KH62"/>
    <mergeCell ref="KL62:KO62"/>
    <mergeCell ref="KS61:KV61"/>
    <mergeCell ref="KZ61:LC61"/>
    <mergeCell ref="LG61:LJ61"/>
    <mergeCell ref="LN61:LQ61"/>
    <mergeCell ref="JC63:JF63"/>
    <mergeCell ref="LU61:LX61"/>
    <mergeCell ref="KS62:KV62"/>
    <mergeCell ref="KZ62:LC62"/>
    <mergeCell ref="LG62:LJ62"/>
    <mergeCell ref="LN62:LQ62"/>
    <mergeCell ref="LU62:LX62"/>
    <mergeCell ref="KS63:KV63"/>
    <mergeCell ref="KZ63:LC63"/>
    <mergeCell ref="LG63:LJ63"/>
    <mergeCell ref="LN63:LQ63"/>
    <mergeCell ref="LU63:LX63"/>
    <mergeCell ref="MB61:ME61"/>
    <mergeCell ref="MI61:ML61"/>
    <mergeCell ref="MP61:MS61"/>
    <mergeCell ref="MW61:MZ61"/>
    <mergeCell ref="ND61:NG61"/>
    <mergeCell ref="MB62:ME62"/>
    <mergeCell ref="MI62:ML62"/>
    <mergeCell ref="MP62:MS62"/>
    <mergeCell ref="MW62:MZ62"/>
    <mergeCell ref="ND62:NG62"/>
    <mergeCell ref="MB63:ME63"/>
    <mergeCell ref="MI63:ML63"/>
    <mergeCell ref="MP63:MS63"/>
    <mergeCell ref="MW63:MZ63"/>
    <mergeCell ref="ND63:NG63"/>
    <mergeCell ref="JC64:JF64"/>
    <mergeCell ref="JJ63:JM63"/>
    <mergeCell ref="JQ63:JT63"/>
    <mergeCell ref="JX63:KA63"/>
    <mergeCell ref="KE63:KH63"/>
    <mergeCell ref="KL63:KO63"/>
    <mergeCell ref="JJ64:JM64"/>
    <mergeCell ref="JQ64:JT64"/>
    <mergeCell ref="JX64:KA64"/>
    <mergeCell ref="KE64:KH64"/>
    <mergeCell ref="KL64:KO64"/>
    <mergeCell ref="MB66:ME66"/>
    <mergeCell ref="MI66:ML66"/>
    <mergeCell ref="MP66:MS66"/>
    <mergeCell ref="MW66:MZ66"/>
    <mergeCell ref="ND66:NG66"/>
    <mergeCell ref="MB67:ME67"/>
    <mergeCell ref="MI67:ML67"/>
    <mergeCell ref="MP67:MS67"/>
    <mergeCell ref="MW67:MZ67"/>
    <mergeCell ref="ND67:NG67"/>
    <mergeCell ref="KS69:KV69"/>
    <mergeCell ref="KZ69:LC69"/>
    <mergeCell ref="LG69:LJ69"/>
    <mergeCell ref="LN69:LQ69"/>
    <mergeCell ref="LU69:LX69"/>
    <mergeCell ref="MB68:ME68"/>
    <mergeCell ref="MI68:ML68"/>
    <mergeCell ref="MP68:MS68"/>
    <mergeCell ref="MW68:MZ68"/>
    <mergeCell ref="ND68:NG68"/>
    <mergeCell ref="MB69:ME69"/>
    <mergeCell ref="MI69:ML69"/>
    <mergeCell ref="MP69:MS69"/>
    <mergeCell ref="MW69:MZ69"/>
    <mergeCell ref="ND69:NG69"/>
    <mergeCell ref="JJ68:JM68"/>
    <mergeCell ref="JQ68:JT68"/>
    <mergeCell ref="JX68:KA68"/>
    <mergeCell ref="KE68:KH68"/>
    <mergeCell ref="KL68:KO68"/>
    <mergeCell ref="JJ69:JM69"/>
    <mergeCell ref="JQ69:JT69"/>
    <mergeCell ref="JX69:KA69"/>
    <mergeCell ref="KE69:KH69"/>
    <mergeCell ref="KL69:KO69"/>
    <mergeCell ref="KS64:KV64"/>
    <mergeCell ref="KZ64:LC64"/>
    <mergeCell ref="LG64:LJ64"/>
    <mergeCell ref="LN64:LQ64"/>
    <mergeCell ref="LU64:LX64"/>
    <mergeCell ref="KS65:KV65"/>
    <mergeCell ref="KZ65:LC65"/>
    <mergeCell ref="LG65:LJ65"/>
    <mergeCell ref="LN65:LQ65"/>
    <mergeCell ref="LU65:LX65"/>
    <mergeCell ref="KS66:KV66"/>
    <mergeCell ref="KZ66:LC66"/>
    <mergeCell ref="LG66:LJ66"/>
    <mergeCell ref="LN66:LQ66"/>
    <mergeCell ref="LU66:LX66"/>
    <mergeCell ref="KS67:KV67"/>
    <mergeCell ref="KZ67:LC67"/>
    <mergeCell ref="LG67:LJ67"/>
    <mergeCell ref="KS70:KV70"/>
    <mergeCell ref="KZ70:LC70"/>
    <mergeCell ref="LG70:LJ70"/>
    <mergeCell ref="LN70:LQ70"/>
    <mergeCell ref="LU70:LX70"/>
    <mergeCell ref="KS71:KV71"/>
    <mergeCell ref="KZ71:LC71"/>
    <mergeCell ref="LG71:LJ71"/>
    <mergeCell ref="LN71:LQ71"/>
    <mergeCell ref="LU71:LX71"/>
    <mergeCell ref="MB70:ME70"/>
    <mergeCell ref="MI70:ML70"/>
    <mergeCell ref="MP70:MS70"/>
    <mergeCell ref="MW70:MZ70"/>
    <mergeCell ref="ND70:NG70"/>
    <mergeCell ref="MB71:ME71"/>
    <mergeCell ref="JC72:JF72"/>
    <mergeCell ref="JC73:JF73"/>
    <mergeCell ref="JJ72:JM72"/>
    <mergeCell ref="JQ72:JT72"/>
    <mergeCell ref="JX72:KA72"/>
    <mergeCell ref="KE72:KH72"/>
    <mergeCell ref="KL72:KO72"/>
    <mergeCell ref="JJ73:JM73"/>
    <mergeCell ref="JQ73:JT73"/>
    <mergeCell ref="JX73:KA73"/>
    <mergeCell ref="KE73:KH73"/>
    <mergeCell ref="KL73:KO73"/>
    <mergeCell ref="KS72:KV72"/>
    <mergeCell ref="KZ72:LC72"/>
    <mergeCell ref="LG72:LJ72"/>
    <mergeCell ref="LN72:LQ72"/>
    <mergeCell ref="JC74:JF74"/>
    <mergeCell ref="JJ70:JM70"/>
    <mergeCell ref="JQ70:JT70"/>
    <mergeCell ref="JX70:KA70"/>
    <mergeCell ref="KE70:KH70"/>
    <mergeCell ref="KL70:KO70"/>
    <mergeCell ref="JJ71:JM71"/>
    <mergeCell ref="JQ71:JT71"/>
    <mergeCell ref="JX71:KA71"/>
    <mergeCell ref="KE71:KH71"/>
    <mergeCell ref="KL71:KO71"/>
    <mergeCell ref="JC75:JF75"/>
    <mergeCell ref="JJ74:JM74"/>
    <mergeCell ref="JQ74:JT74"/>
    <mergeCell ref="JX74:KA74"/>
    <mergeCell ref="KE74:KH74"/>
    <mergeCell ref="KL74:KO74"/>
    <mergeCell ref="JJ75:JM75"/>
    <mergeCell ref="JQ75:JT75"/>
    <mergeCell ref="JX75:KA75"/>
    <mergeCell ref="KE75:KH75"/>
    <mergeCell ref="KL75:KO75"/>
    <mergeCell ref="NK75:NN75"/>
    <mergeCell ref="NR75:NU75"/>
    <mergeCell ref="NY75:OB75"/>
    <mergeCell ref="OF75:OI75"/>
    <mergeCell ref="MB78:ME78"/>
    <mergeCell ref="MI78:ML78"/>
    <mergeCell ref="MP78:MS78"/>
    <mergeCell ref="MW78:MZ78"/>
    <mergeCell ref="ND78:NG78"/>
    <mergeCell ref="KS80:KV80"/>
    <mergeCell ref="KZ80:LC80"/>
    <mergeCell ref="LG80:LJ80"/>
    <mergeCell ref="LN80:LQ80"/>
    <mergeCell ref="LU80:LX80"/>
    <mergeCell ref="MB79:ME79"/>
    <mergeCell ref="MI79:ML79"/>
    <mergeCell ref="MP79:MS79"/>
    <mergeCell ref="MW79:MZ79"/>
    <mergeCell ref="ND79:NG79"/>
    <mergeCell ref="MB80:ME80"/>
    <mergeCell ref="MI80:ML80"/>
    <mergeCell ref="MP80:MS80"/>
    <mergeCell ref="MW80:MZ80"/>
    <mergeCell ref="ND80:NG80"/>
    <mergeCell ref="JJ76:JM76"/>
    <mergeCell ref="JQ76:JT76"/>
    <mergeCell ref="JX76:KA76"/>
    <mergeCell ref="KE76:KH76"/>
    <mergeCell ref="KL76:KO76"/>
    <mergeCell ref="JJ77:JM77"/>
    <mergeCell ref="JQ77:JT77"/>
    <mergeCell ref="JX77:KA77"/>
    <mergeCell ref="KE77:KH77"/>
    <mergeCell ref="KL77:KO77"/>
    <mergeCell ref="JJ78:JM78"/>
    <mergeCell ref="JQ78:JT78"/>
    <mergeCell ref="JX78:KA78"/>
    <mergeCell ref="KE78:KH78"/>
    <mergeCell ref="KL78:KO78"/>
    <mergeCell ref="JJ79:JM79"/>
    <mergeCell ref="JQ79:JT79"/>
    <mergeCell ref="JX79:KA79"/>
    <mergeCell ref="KE79:KH79"/>
    <mergeCell ref="KL79:KO79"/>
    <mergeCell ref="JJ80:JM80"/>
    <mergeCell ref="JQ80:JT80"/>
    <mergeCell ref="JX80:KA80"/>
    <mergeCell ref="KE80:KH80"/>
    <mergeCell ref="KL80:KO80"/>
    <mergeCell ref="KS78:KV78"/>
    <mergeCell ref="KZ78:LC78"/>
    <mergeCell ref="LG78:LJ78"/>
    <mergeCell ref="LN78:LQ78"/>
    <mergeCell ref="KS81:KV81"/>
    <mergeCell ref="KZ81:LC81"/>
    <mergeCell ref="LG81:LJ81"/>
    <mergeCell ref="LN81:LQ81"/>
    <mergeCell ref="LU81:LX81"/>
    <mergeCell ref="KS82:KV82"/>
    <mergeCell ref="KZ82:LC82"/>
    <mergeCell ref="LG82:LJ82"/>
    <mergeCell ref="LN82:LQ82"/>
    <mergeCell ref="LU82:LX82"/>
    <mergeCell ref="MB81:ME81"/>
    <mergeCell ref="MI81:ML81"/>
    <mergeCell ref="MP81:MS81"/>
    <mergeCell ref="MW81:MZ81"/>
    <mergeCell ref="ND81:NG81"/>
    <mergeCell ref="MB82:ME82"/>
    <mergeCell ref="JJ83:JM83"/>
    <mergeCell ref="JQ83:JT83"/>
    <mergeCell ref="JX83:KA83"/>
    <mergeCell ref="KE83:KH83"/>
    <mergeCell ref="KL83:KO83"/>
    <mergeCell ref="JJ84:JM84"/>
    <mergeCell ref="JQ84:JT84"/>
    <mergeCell ref="JX84:KA84"/>
    <mergeCell ref="KE84:KH84"/>
    <mergeCell ref="KL84:KO84"/>
    <mergeCell ref="KS83:KV83"/>
    <mergeCell ref="KZ83:LC83"/>
    <mergeCell ref="LG83:LJ83"/>
    <mergeCell ref="LN83:LQ83"/>
    <mergeCell ref="LU83:LX83"/>
    <mergeCell ref="KS84:KV84"/>
    <mergeCell ref="JJ85:JM85"/>
    <mergeCell ref="JQ85:JT85"/>
    <mergeCell ref="JX85:KA85"/>
    <mergeCell ref="KE85:KH85"/>
    <mergeCell ref="KL85:KO85"/>
    <mergeCell ref="JJ81:JM81"/>
    <mergeCell ref="JQ81:JT81"/>
    <mergeCell ref="JX81:KA81"/>
    <mergeCell ref="KE81:KH81"/>
    <mergeCell ref="KL81:KO81"/>
    <mergeCell ref="JJ82:JM82"/>
    <mergeCell ref="JQ82:JT82"/>
    <mergeCell ref="JX82:KA82"/>
    <mergeCell ref="KE82:KH82"/>
    <mergeCell ref="KL82:KO82"/>
    <mergeCell ref="JJ86:JM86"/>
    <mergeCell ref="JQ86:JT86"/>
    <mergeCell ref="JX86:KA86"/>
    <mergeCell ref="KE86:KH86"/>
    <mergeCell ref="KL86:KO86"/>
    <mergeCell ref="MB89:ME89"/>
    <mergeCell ref="MI89:ML89"/>
    <mergeCell ref="MP89:MS89"/>
    <mergeCell ref="MW89:MZ89"/>
    <mergeCell ref="ND89:NG89"/>
    <mergeCell ref="JC90:JF90"/>
    <mergeCell ref="JC91:JF91"/>
    <mergeCell ref="KS91:KV91"/>
    <mergeCell ref="KZ91:LC91"/>
    <mergeCell ref="LG91:LJ91"/>
    <mergeCell ref="LN91:LQ91"/>
    <mergeCell ref="LU91:LX91"/>
    <mergeCell ref="MB90:ME90"/>
    <mergeCell ref="MI90:ML90"/>
    <mergeCell ref="MP90:MS90"/>
    <mergeCell ref="MW90:MZ90"/>
    <mergeCell ref="ND90:NG90"/>
    <mergeCell ref="MB91:ME91"/>
    <mergeCell ref="MI91:ML91"/>
    <mergeCell ref="MP91:MS91"/>
    <mergeCell ref="MW91:MZ91"/>
    <mergeCell ref="JC92:JF92"/>
    <mergeCell ref="JC93:JF93"/>
    <mergeCell ref="KS92:KV92"/>
    <mergeCell ref="KZ92:LC92"/>
    <mergeCell ref="LG92:LJ92"/>
    <mergeCell ref="LN92:LQ92"/>
    <mergeCell ref="LU92:LX92"/>
    <mergeCell ref="KS93:KV93"/>
    <mergeCell ref="KZ93:LC93"/>
    <mergeCell ref="LG93:LJ93"/>
    <mergeCell ref="LN93:LQ93"/>
    <mergeCell ref="LU93:LX93"/>
    <mergeCell ref="JJ87:JM87"/>
    <mergeCell ref="JQ87:JT87"/>
    <mergeCell ref="JX87:KA87"/>
    <mergeCell ref="KE87:KH87"/>
    <mergeCell ref="KL87:KO87"/>
    <mergeCell ref="JJ88:JM88"/>
    <mergeCell ref="JQ88:JT88"/>
    <mergeCell ref="JX88:KA88"/>
    <mergeCell ref="KE88:KH88"/>
    <mergeCell ref="KL88:KO88"/>
    <mergeCell ref="JJ89:JM89"/>
    <mergeCell ref="JQ89:JT89"/>
    <mergeCell ref="JX89:KA89"/>
    <mergeCell ref="KE89:KH89"/>
    <mergeCell ref="KL89:KO89"/>
    <mergeCell ref="JJ90:JM90"/>
    <mergeCell ref="JQ90:JT90"/>
    <mergeCell ref="JX90:KA90"/>
    <mergeCell ref="KE90:KH90"/>
    <mergeCell ref="KL90:KO90"/>
    <mergeCell ref="JJ91:JM91"/>
    <mergeCell ref="JQ91:JT91"/>
    <mergeCell ref="JX91:KA91"/>
    <mergeCell ref="KE91:KH91"/>
    <mergeCell ref="KL91:KO91"/>
    <mergeCell ref="JJ92:JM92"/>
    <mergeCell ref="JJ94:JM94"/>
    <mergeCell ref="JQ94:JT94"/>
    <mergeCell ref="JX94:KA94"/>
    <mergeCell ref="KE94:KH94"/>
    <mergeCell ref="KL94:KO94"/>
    <mergeCell ref="JJ95:JM95"/>
    <mergeCell ref="JQ95:JT95"/>
    <mergeCell ref="JX95:KA95"/>
    <mergeCell ref="KE95:KH95"/>
    <mergeCell ref="KL95:KO95"/>
    <mergeCell ref="KS94:KV94"/>
    <mergeCell ref="KZ94:LC94"/>
    <mergeCell ref="LG94:LJ94"/>
    <mergeCell ref="LN94:LQ94"/>
    <mergeCell ref="LU94:LX94"/>
    <mergeCell ref="KS95:KV95"/>
    <mergeCell ref="JJ96:JM96"/>
    <mergeCell ref="JQ96:JT96"/>
    <mergeCell ref="JX96:KA96"/>
    <mergeCell ref="KE96:KH96"/>
    <mergeCell ref="KL96:KO96"/>
    <mergeCell ref="JJ97:JM97"/>
    <mergeCell ref="JQ97:JT97"/>
    <mergeCell ref="JX97:KA97"/>
    <mergeCell ref="KE97:KH97"/>
    <mergeCell ref="KL97:KO97"/>
    <mergeCell ref="NK97:NN97"/>
    <mergeCell ref="NR97:NU97"/>
    <mergeCell ref="NY97:OB97"/>
    <mergeCell ref="OF97:OI97"/>
    <mergeCell ref="OM97:OP97"/>
    <mergeCell ref="MB99:ME99"/>
    <mergeCell ref="MI99:ML99"/>
    <mergeCell ref="MP99:MS99"/>
    <mergeCell ref="MW99:MZ99"/>
    <mergeCell ref="ND99:NG99"/>
    <mergeCell ref="MB97:ME97"/>
    <mergeCell ref="MI97:ML97"/>
    <mergeCell ref="MP97:MS97"/>
    <mergeCell ref="MW97:MZ97"/>
    <mergeCell ref="ND97:NG97"/>
    <mergeCell ref="MB98:ME98"/>
    <mergeCell ref="MI98:ML98"/>
    <mergeCell ref="MP98:MS98"/>
    <mergeCell ref="MW98:MZ98"/>
    <mergeCell ref="ND98:NG98"/>
    <mergeCell ref="MB100:ME100"/>
    <mergeCell ref="MI100:ML100"/>
    <mergeCell ref="MP100:MS100"/>
    <mergeCell ref="MW100:MZ100"/>
    <mergeCell ref="ND100:NG100"/>
    <mergeCell ref="JC101:JF101"/>
    <mergeCell ref="JC102:JF102"/>
    <mergeCell ref="KS102:KV102"/>
    <mergeCell ref="KZ102:LC102"/>
    <mergeCell ref="LG102:LJ102"/>
    <mergeCell ref="LN102:LQ102"/>
    <mergeCell ref="LU102:LX102"/>
    <mergeCell ref="MB101:ME101"/>
    <mergeCell ref="MI101:ML101"/>
    <mergeCell ref="MP101:MS101"/>
    <mergeCell ref="MW101:MZ101"/>
    <mergeCell ref="ND101:NG101"/>
    <mergeCell ref="MB102:ME102"/>
    <mergeCell ref="MI102:ML102"/>
    <mergeCell ref="MP102:MS102"/>
    <mergeCell ref="MW102:MZ102"/>
    <mergeCell ref="JC103:JF103"/>
    <mergeCell ref="JC104:JF104"/>
    <mergeCell ref="KS103:KV103"/>
    <mergeCell ref="KZ103:LC103"/>
    <mergeCell ref="LG103:LJ103"/>
    <mergeCell ref="LN103:LQ103"/>
    <mergeCell ref="LU103:LX103"/>
    <mergeCell ref="KS104:KV104"/>
    <mergeCell ref="KZ104:LC104"/>
    <mergeCell ref="LG104:LJ104"/>
    <mergeCell ref="LN104:LQ104"/>
    <mergeCell ref="LU104:LX104"/>
    <mergeCell ref="JJ103:JM103"/>
    <mergeCell ref="JQ103:JT103"/>
    <mergeCell ref="JX103:KA103"/>
    <mergeCell ref="KE103:KH103"/>
    <mergeCell ref="KL103:KO103"/>
    <mergeCell ref="JJ104:JM104"/>
    <mergeCell ref="JQ104:JT104"/>
    <mergeCell ref="JX104:KA104"/>
    <mergeCell ref="KE104:KH104"/>
    <mergeCell ref="KL104:KO104"/>
    <mergeCell ref="KS101:KV101"/>
    <mergeCell ref="KZ101:LC101"/>
    <mergeCell ref="LG101:LJ101"/>
    <mergeCell ref="LN101:LQ101"/>
    <mergeCell ref="LU101:LX101"/>
    <mergeCell ref="ND102:NG102"/>
    <mergeCell ref="MB103:ME103"/>
    <mergeCell ref="MI103:ML103"/>
    <mergeCell ref="MP103:MS103"/>
    <mergeCell ref="MW103:MZ103"/>
    <mergeCell ref="ND103:NG103"/>
    <mergeCell ref="MB104:ME104"/>
    <mergeCell ref="MI104:ML104"/>
    <mergeCell ref="MP104:MS104"/>
    <mergeCell ref="MW104:MZ104"/>
    <mergeCell ref="ND104:NG104"/>
    <mergeCell ref="JJ105:JM105"/>
    <mergeCell ref="JQ105:JT105"/>
    <mergeCell ref="JX105:KA105"/>
    <mergeCell ref="KE105:KH105"/>
    <mergeCell ref="KL105:KO105"/>
    <mergeCell ref="JJ106:JM106"/>
    <mergeCell ref="JQ106:JT106"/>
    <mergeCell ref="JX106:KA106"/>
    <mergeCell ref="KE106:KH106"/>
    <mergeCell ref="KL106:KO106"/>
    <mergeCell ref="KS105:KV105"/>
    <mergeCell ref="KZ105:LC105"/>
    <mergeCell ref="LG105:LJ105"/>
    <mergeCell ref="LN105:LQ105"/>
    <mergeCell ref="LU105:LX105"/>
    <mergeCell ref="KS106:KV106"/>
    <mergeCell ref="JJ107:JM107"/>
    <mergeCell ref="JQ107:JT107"/>
    <mergeCell ref="JX107:KA107"/>
    <mergeCell ref="KE107:KH107"/>
    <mergeCell ref="KL107:KO107"/>
    <mergeCell ref="JJ108:JM108"/>
    <mergeCell ref="JQ108:JT108"/>
    <mergeCell ref="JX108:KA108"/>
    <mergeCell ref="KE108:KH108"/>
    <mergeCell ref="KL108:KO108"/>
    <mergeCell ref="MB110:ME110"/>
    <mergeCell ref="MI110:ML110"/>
    <mergeCell ref="MP110:MS110"/>
    <mergeCell ref="MW110:MZ110"/>
    <mergeCell ref="ND110:NG110"/>
    <mergeCell ref="MB111:ME111"/>
    <mergeCell ref="MI111:ML111"/>
    <mergeCell ref="MP111:MS111"/>
    <mergeCell ref="MW111:MZ111"/>
    <mergeCell ref="ND111:NG111"/>
    <mergeCell ref="JJ109:JM109"/>
    <mergeCell ref="JQ109:JT109"/>
    <mergeCell ref="JX109:KA109"/>
    <mergeCell ref="KE109:KH109"/>
    <mergeCell ref="KL109:KO109"/>
    <mergeCell ref="JJ110:JM110"/>
    <mergeCell ref="JQ110:JT110"/>
    <mergeCell ref="JX110:KA110"/>
    <mergeCell ref="KE110:KH110"/>
    <mergeCell ref="KL110:KO110"/>
    <mergeCell ref="JJ111:JM111"/>
    <mergeCell ref="JQ111:JT111"/>
    <mergeCell ref="JX111:KA111"/>
    <mergeCell ref="KE111:KH111"/>
    <mergeCell ref="KL111:KO111"/>
    <mergeCell ref="KZ106:LC106"/>
    <mergeCell ref="LG106:LJ106"/>
    <mergeCell ref="LN106:LQ106"/>
    <mergeCell ref="LU106:LX106"/>
    <mergeCell ref="KS107:KV107"/>
    <mergeCell ref="KZ107:LC107"/>
    <mergeCell ref="LG107:LJ107"/>
    <mergeCell ref="LN107:LQ107"/>
    <mergeCell ref="LU107:LX107"/>
    <mergeCell ref="KS108:KV108"/>
    <mergeCell ref="KZ108:LC108"/>
    <mergeCell ref="LG108:LJ108"/>
    <mergeCell ref="LN108:LQ108"/>
    <mergeCell ref="JC112:JF112"/>
    <mergeCell ref="JC113:JF113"/>
    <mergeCell ref="KS113:KV113"/>
    <mergeCell ref="KZ113:LC113"/>
    <mergeCell ref="LG113:LJ113"/>
    <mergeCell ref="LN113:LQ113"/>
    <mergeCell ref="LU113:LX113"/>
    <mergeCell ref="MB112:ME112"/>
    <mergeCell ref="MI112:ML112"/>
    <mergeCell ref="MP112:MS112"/>
    <mergeCell ref="MW112:MZ112"/>
    <mergeCell ref="ND112:NG112"/>
    <mergeCell ref="MB113:ME113"/>
    <mergeCell ref="MI113:ML113"/>
    <mergeCell ref="MP113:MS113"/>
    <mergeCell ref="MW113:MZ113"/>
    <mergeCell ref="JC114:JF114"/>
    <mergeCell ref="JC115:JF115"/>
    <mergeCell ref="KS114:KV114"/>
    <mergeCell ref="KZ114:LC114"/>
    <mergeCell ref="LG114:LJ114"/>
    <mergeCell ref="LN114:LQ114"/>
    <mergeCell ref="LU114:LX114"/>
    <mergeCell ref="KS115:KV115"/>
    <mergeCell ref="KZ115:LC115"/>
    <mergeCell ref="LG115:LJ115"/>
    <mergeCell ref="LN115:LQ115"/>
    <mergeCell ref="LU115:LX115"/>
    <mergeCell ref="JJ116:JM116"/>
    <mergeCell ref="JQ116:JT116"/>
    <mergeCell ref="JX116:KA116"/>
    <mergeCell ref="KE116:KH116"/>
    <mergeCell ref="KL116:KO116"/>
    <mergeCell ref="JJ112:JM112"/>
    <mergeCell ref="JQ112:JT112"/>
    <mergeCell ref="JX112:KA112"/>
    <mergeCell ref="KE112:KH112"/>
    <mergeCell ref="KL112:KO112"/>
    <mergeCell ref="JJ113:JM113"/>
    <mergeCell ref="JQ113:JT113"/>
    <mergeCell ref="JX113:KA113"/>
    <mergeCell ref="KE113:KH113"/>
    <mergeCell ref="KL113:KO113"/>
    <mergeCell ref="JJ114:JM114"/>
    <mergeCell ref="JQ114:JT114"/>
    <mergeCell ref="JX114:KA114"/>
    <mergeCell ref="KE114:KH114"/>
    <mergeCell ref="KL114:KO114"/>
    <mergeCell ref="JJ115:JM115"/>
    <mergeCell ref="JQ115:JT115"/>
    <mergeCell ref="JX115:KA115"/>
    <mergeCell ref="KE115:KH115"/>
    <mergeCell ref="KL115:KO115"/>
    <mergeCell ref="MB116:ME116"/>
    <mergeCell ref="MI116:ML116"/>
    <mergeCell ref="MP116:MS116"/>
    <mergeCell ref="MW116:MZ116"/>
    <mergeCell ref="ND116:NG116"/>
    <mergeCell ref="JJ117:JM117"/>
    <mergeCell ref="JQ117:JT117"/>
    <mergeCell ref="JX117:KA117"/>
    <mergeCell ref="KE117:KH117"/>
    <mergeCell ref="KL117:KO117"/>
    <mergeCell ref="KS116:KV116"/>
    <mergeCell ref="KZ116:LC116"/>
    <mergeCell ref="LG116:LJ116"/>
    <mergeCell ref="LN116:LQ116"/>
    <mergeCell ref="LU116:LX116"/>
    <mergeCell ref="KS117:KV117"/>
    <mergeCell ref="JJ118:JM118"/>
    <mergeCell ref="JQ118:JT118"/>
    <mergeCell ref="JX118:KA118"/>
    <mergeCell ref="KE118:KH118"/>
    <mergeCell ref="KL118:KO118"/>
    <mergeCell ref="JJ119:JM119"/>
    <mergeCell ref="JQ119:JT119"/>
    <mergeCell ref="JX119:KA119"/>
    <mergeCell ref="KE119:KH119"/>
    <mergeCell ref="KL119:KO119"/>
    <mergeCell ref="NK119:NN119"/>
    <mergeCell ref="NR119:NU119"/>
    <mergeCell ref="NY119:OB119"/>
    <mergeCell ref="OF119:OI119"/>
    <mergeCell ref="OM119:OP119"/>
    <mergeCell ref="MB121:ME121"/>
    <mergeCell ref="MI121:ML121"/>
    <mergeCell ref="MP121:MS121"/>
    <mergeCell ref="MW121:MZ121"/>
    <mergeCell ref="ND121:NG121"/>
    <mergeCell ref="MB122:ME122"/>
    <mergeCell ref="MI122:ML122"/>
    <mergeCell ref="MP122:MS122"/>
    <mergeCell ref="MW122:MZ122"/>
    <mergeCell ref="ND122:NG122"/>
    <mergeCell ref="JJ120:JM120"/>
    <mergeCell ref="JQ120:JT120"/>
    <mergeCell ref="JX120:KA120"/>
    <mergeCell ref="KE120:KH120"/>
    <mergeCell ref="KL120:KO120"/>
    <mergeCell ref="JJ121:JM121"/>
    <mergeCell ref="JQ121:JT121"/>
    <mergeCell ref="JX121:KA121"/>
    <mergeCell ref="KE121:KH121"/>
    <mergeCell ref="KL121:KO121"/>
    <mergeCell ref="JJ122:JM122"/>
    <mergeCell ref="JQ122:JT122"/>
    <mergeCell ref="JX122:KA122"/>
    <mergeCell ref="KE122:KH122"/>
    <mergeCell ref="KL122:KO122"/>
    <mergeCell ref="KS120:KV120"/>
    <mergeCell ref="KZ120:LC120"/>
    <mergeCell ref="LG120:LJ120"/>
    <mergeCell ref="LN120:LQ120"/>
    <mergeCell ref="LU120:LX120"/>
    <mergeCell ref="KS121:KV121"/>
    <mergeCell ref="KZ121:LC121"/>
    <mergeCell ref="LG121:LJ121"/>
    <mergeCell ref="LN121:LQ121"/>
    <mergeCell ref="LU121:LX121"/>
    <mergeCell ref="KS122:KV122"/>
    <mergeCell ref="KZ122:LC122"/>
    <mergeCell ref="LG122:LJ122"/>
    <mergeCell ref="JC123:JF123"/>
    <mergeCell ref="JC124:JF124"/>
    <mergeCell ref="KS124:KV124"/>
    <mergeCell ref="KZ124:LC124"/>
    <mergeCell ref="LG124:LJ124"/>
    <mergeCell ref="LN124:LQ124"/>
    <mergeCell ref="LU124:LX124"/>
    <mergeCell ref="MB123:ME123"/>
    <mergeCell ref="MI123:ML123"/>
    <mergeCell ref="MP123:MS123"/>
    <mergeCell ref="MW123:MZ123"/>
    <mergeCell ref="ND123:NG123"/>
    <mergeCell ref="MB124:ME124"/>
    <mergeCell ref="MI124:ML124"/>
    <mergeCell ref="MP124:MS124"/>
    <mergeCell ref="MW124:MZ124"/>
    <mergeCell ref="JC125:JF125"/>
    <mergeCell ref="JC126:JF126"/>
    <mergeCell ref="KS125:KV125"/>
    <mergeCell ref="KZ125:LC125"/>
    <mergeCell ref="LG125:LJ125"/>
    <mergeCell ref="LN125:LQ125"/>
    <mergeCell ref="LU125:LX125"/>
    <mergeCell ref="KS126:KV126"/>
    <mergeCell ref="KZ126:LC126"/>
    <mergeCell ref="LG126:LJ126"/>
    <mergeCell ref="LN126:LQ126"/>
    <mergeCell ref="LU126:LX126"/>
    <mergeCell ref="JC127:JF127"/>
    <mergeCell ref="JJ127:JM127"/>
    <mergeCell ref="JQ127:JT127"/>
    <mergeCell ref="JX127:KA127"/>
    <mergeCell ref="KE127:KH127"/>
    <mergeCell ref="KL127:KO127"/>
    <mergeCell ref="JJ123:JM123"/>
    <mergeCell ref="JQ123:JT123"/>
    <mergeCell ref="JX123:KA123"/>
    <mergeCell ref="KE123:KH123"/>
    <mergeCell ref="KL123:KO123"/>
    <mergeCell ref="JJ124:JM124"/>
    <mergeCell ref="JQ124:JT124"/>
    <mergeCell ref="JX124:KA124"/>
    <mergeCell ref="KE124:KH124"/>
    <mergeCell ref="KL124:KO124"/>
    <mergeCell ref="JJ125:JM125"/>
    <mergeCell ref="JQ125:JT125"/>
    <mergeCell ref="JX125:KA125"/>
    <mergeCell ref="KE125:KH125"/>
    <mergeCell ref="KL125:KO125"/>
    <mergeCell ref="JJ126:JM126"/>
    <mergeCell ref="JQ126:JT126"/>
    <mergeCell ref="JX126:KA126"/>
    <mergeCell ref="KE126:KH126"/>
    <mergeCell ref="KL126:KO126"/>
    <mergeCell ref="JJ128:JM128"/>
    <mergeCell ref="JQ128:JT128"/>
    <mergeCell ref="JX128:KA128"/>
    <mergeCell ref="KE128:KH128"/>
    <mergeCell ref="KL128:KO128"/>
    <mergeCell ref="KS127:KV127"/>
    <mergeCell ref="KZ127:LC127"/>
    <mergeCell ref="LG127:LJ127"/>
    <mergeCell ref="LN127:LQ127"/>
    <mergeCell ref="LU127:LX127"/>
    <mergeCell ref="JJ129:JM129"/>
    <mergeCell ref="JQ129:JT129"/>
    <mergeCell ref="JX129:KA129"/>
    <mergeCell ref="KE129:KH129"/>
    <mergeCell ref="KL129:KO129"/>
    <mergeCell ref="JJ130:JM130"/>
    <mergeCell ref="JQ130:JT130"/>
    <mergeCell ref="JX130:KA130"/>
    <mergeCell ref="KE130:KH130"/>
    <mergeCell ref="KL130:KO130"/>
    <mergeCell ref="MB132:ME132"/>
    <mergeCell ref="MI132:ML132"/>
    <mergeCell ref="MP132:MS132"/>
    <mergeCell ref="MW132:MZ132"/>
    <mergeCell ref="ND132:NG132"/>
    <mergeCell ref="MB133:ME133"/>
    <mergeCell ref="MI133:ML133"/>
    <mergeCell ref="MP133:MS133"/>
    <mergeCell ref="MW133:MZ133"/>
    <mergeCell ref="ND133:NG133"/>
    <mergeCell ref="JC135:JF135"/>
    <mergeCell ref="KS135:KV135"/>
    <mergeCell ref="KZ135:LC135"/>
    <mergeCell ref="LG135:LJ135"/>
    <mergeCell ref="LN135:LQ135"/>
    <mergeCell ref="LU135:LX135"/>
    <mergeCell ref="MB134:ME134"/>
    <mergeCell ref="MI134:ML134"/>
    <mergeCell ref="MP134:MS134"/>
    <mergeCell ref="MW134:MZ134"/>
    <mergeCell ref="ND134:NG134"/>
    <mergeCell ref="MB135:ME135"/>
    <mergeCell ref="MI135:ML135"/>
    <mergeCell ref="MP135:MS135"/>
    <mergeCell ref="MW135:MZ135"/>
    <mergeCell ref="ND135:NG135"/>
    <mergeCell ref="JJ131:JM131"/>
    <mergeCell ref="JQ131:JT131"/>
    <mergeCell ref="JX131:KA131"/>
    <mergeCell ref="KE131:KH131"/>
    <mergeCell ref="KL131:KO131"/>
    <mergeCell ref="JJ132:JM132"/>
    <mergeCell ref="JQ132:JT132"/>
    <mergeCell ref="JX132:KA132"/>
    <mergeCell ref="KE132:KH132"/>
    <mergeCell ref="KL132:KO132"/>
    <mergeCell ref="JJ133:JM133"/>
    <mergeCell ref="JQ133:JT133"/>
    <mergeCell ref="JX133:KA133"/>
    <mergeCell ref="KE133:KH133"/>
    <mergeCell ref="KL133:KO133"/>
    <mergeCell ref="JJ134:JM134"/>
    <mergeCell ref="JQ134:JT134"/>
    <mergeCell ref="JX134:KA134"/>
    <mergeCell ref="JC136:JF136"/>
    <mergeCell ref="JC137:JF137"/>
    <mergeCell ref="KS136:KV136"/>
    <mergeCell ref="KZ136:LC136"/>
    <mergeCell ref="LG136:LJ136"/>
    <mergeCell ref="LN136:LQ136"/>
    <mergeCell ref="LU136:LX136"/>
    <mergeCell ref="KS137:KV137"/>
    <mergeCell ref="KZ137:LC137"/>
    <mergeCell ref="LG137:LJ137"/>
    <mergeCell ref="LN137:LQ137"/>
    <mergeCell ref="LU137:LX137"/>
    <mergeCell ref="MB136:ME136"/>
    <mergeCell ref="MI136:ML136"/>
    <mergeCell ref="MP136:MS136"/>
    <mergeCell ref="MW136:MZ136"/>
    <mergeCell ref="JC138:JF138"/>
    <mergeCell ref="JJ138:JM138"/>
    <mergeCell ref="JQ138:JT138"/>
    <mergeCell ref="JX138:KA138"/>
    <mergeCell ref="KE138:KH138"/>
    <mergeCell ref="KL138:KO138"/>
    <mergeCell ref="JJ139:JM139"/>
    <mergeCell ref="JQ139:JT139"/>
    <mergeCell ref="JX139:KA139"/>
    <mergeCell ref="KE139:KH139"/>
    <mergeCell ref="KL139:KO139"/>
    <mergeCell ref="KS138:KV138"/>
    <mergeCell ref="KZ138:LC138"/>
    <mergeCell ref="LG138:LJ138"/>
    <mergeCell ref="LN138:LQ138"/>
    <mergeCell ref="LU138:LX138"/>
    <mergeCell ref="JJ140:JM140"/>
    <mergeCell ref="JQ140:JT140"/>
    <mergeCell ref="JX140:KA140"/>
    <mergeCell ref="KE140:KH140"/>
    <mergeCell ref="KL140:KO140"/>
    <mergeCell ref="MB140:ME140"/>
    <mergeCell ref="MI140:ML140"/>
    <mergeCell ref="MP140:MS140"/>
    <mergeCell ref="MW140:MZ140"/>
    <mergeCell ref="JJ141:JM141"/>
    <mergeCell ref="JQ141:JT141"/>
    <mergeCell ref="JX141:KA141"/>
    <mergeCell ref="KE141:KH141"/>
    <mergeCell ref="KL141:KO141"/>
    <mergeCell ref="NK141:NN141"/>
    <mergeCell ref="NR141:NU141"/>
    <mergeCell ref="NY141:OB141"/>
    <mergeCell ref="OF141:OI141"/>
    <mergeCell ref="OM141:OP141"/>
    <mergeCell ref="MB144:ME144"/>
    <mergeCell ref="MI144:ML144"/>
    <mergeCell ref="MP144:MS144"/>
    <mergeCell ref="MW144:MZ144"/>
    <mergeCell ref="ND144:NG144"/>
    <mergeCell ref="JC146:JF146"/>
    <mergeCell ref="KS146:KV146"/>
    <mergeCell ref="KZ146:LC146"/>
    <mergeCell ref="LG146:LJ146"/>
    <mergeCell ref="LN146:LQ146"/>
    <mergeCell ref="LU146:LX146"/>
    <mergeCell ref="MB145:ME145"/>
    <mergeCell ref="MI145:ML145"/>
    <mergeCell ref="MP145:MS145"/>
    <mergeCell ref="MW145:MZ145"/>
    <mergeCell ref="ND145:NG145"/>
    <mergeCell ref="MB146:ME146"/>
    <mergeCell ref="MI146:ML146"/>
    <mergeCell ref="MP146:MS146"/>
    <mergeCell ref="MW146:MZ146"/>
    <mergeCell ref="ND146:NG146"/>
    <mergeCell ref="KS147:KV147"/>
    <mergeCell ref="KZ147:LC147"/>
    <mergeCell ref="LG147:LJ147"/>
    <mergeCell ref="LN147:LQ147"/>
    <mergeCell ref="LU147:LX147"/>
    <mergeCell ref="JJ146:JM146"/>
    <mergeCell ref="JQ146:JT146"/>
    <mergeCell ref="JX146:KA146"/>
    <mergeCell ref="KE146:KH146"/>
    <mergeCell ref="KL146:KO146"/>
    <mergeCell ref="JJ147:JM147"/>
    <mergeCell ref="JQ147:JT147"/>
    <mergeCell ref="JX147:KA147"/>
    <mergeCell ref="KE147:KH147"/>
    <mergeCell ref="KL147:KO147"/>
    <mergeCell ref="KS145:KV145"/>
    <mergeCell ref="KZ145:LC145"/>
    <mergeCell ref="LG145:LJ145"/>
    <mergeCell ref="LN145:LQ145"/>
    <mergeCell ref="LU145:LX145"/>
    <mergeCell ref="NK145:NN145"/>
    <mergeCell ref="NR145:NU145"/>
    <mergeCell ref="NY145:OB145"/>
    <mergeCell ref="OF145:OI145"/>
    <mergeCell ref="OM145:OP145"/>
    <mergeCell ref="NK146:NN146"/>
    <mergeCell ref="NR146:NU146"/>
    <mergeCell ref="NY146:OB146"/>
    <mergeCell ref="OF146:OI146"/>
    <mergeCell ref="OM146:OP146"/>
    <mergeCell ref="NK147:NN147"/>
    <mergeCell ref="NR147:NU147"/>
    <mergeCell ref="NY147:OB147"/>
    <mergeCell ref="KS148:KV148"/>
    <mergeCell ref="KZ148:LC148"/>
    <mergeCell ref="LG148:LJ148"/>
    <mergeCell ref="LN148:LQ148"/>
    <mergeCell ref="LU148:LX148"/>
    <mergeCell ref="MB147:ME147"/>
    <mergeCell ref="MI147:ML147"/>
    <mergeCell ref="MP147:MS147"/>
    <mergeCell ref="MW147:MZ147"/>
    <mergeCell ref="ND147:NG147"/>
    <mergeCell ref="MB148:ME148"/>
    <mergeCell ref="JJ149:JM149"/>
    <mergeCell ref="JQ149:JT149"/>
    <mergeCell ref="JX149:KA149"/>
    <mergeCell ref="KE149:KH149"/>
    <mergeCell ref="KL149:KO149"/>
    <mergeCell ref="JJ150:JM150"/>
    <mergeCell ref="JQ150:JT150"/>
    <mergeCell ref="JX150:KA150"/>
    <mergeCell ref="KE150:KH150"/>
    <mergeCell ref="KL150:KO150"/>
    <mergeCell ref="KS149:KV149"/>
    <mergeCell ref="KZ149:LC149"/>
    <mergeCell ref="LG149:LJ149"/>
    <mergeCell ref="LN149:LQ149"/>
    <mergeCell ref="LU149:LX149"/>
    <mergeCell ref="KS150:KV150"/>
    <mergeCell ref="JJ151:JM151"/>
    <mergeCell ref="JQ151:JT151"/>
    <mergeCell ref="JX151:KA151"/>
    <mergeCell ref="KE151:KH151"/>
    <mergeCell ref="KL151:KO151"/>
    <mergeCell ref="JJ152:JM152"/>
    <mergeCell ref="JQ152:JT152"/>
    <mergeCell ref="JX152:KA152"/>
    <mergeCell ref="KE152:KH152"/>
    <mergeCell ref="KL152:KO152"/>
    <mergeCell ref="JJ148:JM148"/>
    <mergeCell ref="JQ148:JT148"/>
    <mergeCell ref="JX148:KA148"/>
    <mergeCell ref="KE148:KH148"/>
    <mergeCell ref="KL148:KO148"/>
    <mergeCell ref="KZ150:LC150"/>
    <mergeCell ref="LG150:LJ150"/>
    <mergeCell ref="LN150:LQ150"/>
    <mergeCell ref="LU150:LX150"/>
    <mergeCell ref="KS151:KV151"/>
    <mergeCell ref="KZ151:LC151"/>
    <mergeCell ref="LG151:LJ151"/>
    <mergeCell ref="LN151:LQ151"/>
    <mergeCell ref="LU151:LX151"/>
    <mergeCell ref="KS152:KV152"/>
    <mergeCell ref="KZ152:LC152"/>
    <mergeCell ref="LG152:LJ152"/>
    <mergeCell ref="LN152:LQ152"/>
    <mergeCell ref="LU152:LX152"/>
    <mergeCell ref="MB152:ME152"/>
    <mergeCell ref="MI152:ML152"/>
    <mergeCell ref="MP152:MS152"/>
    <mergeCell ref="MW152:MZ152"/>
    <mergeCell ref="ND152:NG152"/>
    <mergeCell ref="JC154:JF154"/>
    <mergeCell ref="JC155:JF155"/>
    <mergeCell ref="MB155:ME155"/>
    <mergeCell ref="MI155:ML155"/>
    <mergeCell ref="MP155:MS155"/>
    <mergeCell ref="MW155:MZ155"/>
    <mergeCell ref="ND155:NG155"/>
    <mergeCell ref="JC156:JF156"/>
    <mergeCell ref="KS157:KV157"/>
    <mergeCell ref="KZ157:LC157"/>
    <mergeCell ref="LG157:LJ157"/>
    <mergeCell ref="LN157:LQ157"/>
    <mergeCell ref="LU157:LX157"/>
    <mergeCell ref="MB156:ME156"/>
    <mergeCell ref="MI156:ML156"/>
    <mergeCell ref="MP156:MS156"/>
    <mergeCell ref="MW156:MZ156"/>
    <mergeCell ref="ND156:NG156"/>
    <mergeCell ref="MB157:ME157"/>
    <mergeCell ref="MI157:ML157"/>
    <mergeCell ref="MP157:MS157"/>
    <mergeCell ref="MW157:MZ157"/>
    <mergeCell ref="ND157:NG157"/>
    <mergeCell ref="KS158:KV158"/>
    <mergeCell ref="KZ158:LC158"/>
    <mergeCell ref="LG158:LJ158"/>
    <mergeCell ref="LN158:LQ158"/>
    <mergeCell ref="LU158:LX158"/>
    <mergeCell ref="KS159:KV159"/>
    <mergeCell ref="KZ159:LC159"/>
    <mergeCell ref="LG159:LJ159"/>
    <mergeCell ref="LN159:LQ159"/>
    <mergeCell ref="LU159:LX159"/>
    <mergeCell ref="MB158:ME158"/>
    <mergeCell ref="MI158:ML158"/>
    <mergeCell ref="MP158:MS158"/>
    <mergeCell ref="MW158:MZ158"/>
    <mergeCell ref="ND158:NG158"/>
    <mergeCell ref="MB159:ME159"/>
    <mergeCell ref="JC164:JF164"/>
    <mergeCell ref="NK163:NN163"/>
    <mergeCell ref="NR163:NU163"/>
    <mergeCell ref="NY163:OB163"/>
    <mergeCell ref="OF163:OI163"/>
    <mergeCell ref="OM163:OP163"/>
    <mergeCell ref="NK164:NN164"/>
    <mergeCell ref="NR164:NU164"/>
    <mergeCell ref="NY164:OB164"/>
    <mergeCell ref="OF164:OI164"/>
    <mergeCell ref="OM164:OP164"/>
    <mergeCell ref="JC165:JF165"/>
    <mergeCell ref="JC166:JF166"/>
    <mergeCell ref="MB166:ME166"/>
    <mergeCell ref="MI166:ML166"/>
    <mergeCell ref="MP166:MS166"/>
    <mergeCell ref="MW166:MZ166"/>
    <mergeCell ref="ND166:NG166"/>
    <mergeCell ref="NK165:NN165"/>
    <mergeCell ref="NR165:NU165"/>
    <mergeCell ref="NY165:OB165"/>
    <mergeCell ref="OF165:OI165"/>
    <mergeCell ref="OM165:OP165"/>
    <mergeCell ref="NK166:NN166"/>
    <mergeCell ref="NR166:NU166"/>
    <mergeCell ref="NY166:OB166"/>
    <mergeCell ref="OF166:OI166"/>
    <mergeCell ref="OT171:OW171"/>
    <mergeCell ref="PA171:PD171"/>
    <mergeCell ref="PH171:PK171"/>
    <mergeCell ref="OT172:OW172"/>
    <mergeCell ref="PA172:PD172"/>
    <mergeCell ref="PH172:PK172"/>
    <mergeCell ref="JJ167:JM167"/>
    <mergeCell ref="JQ167:JT167"/>
    <mergeCell ref="JX167:KA167"/>
    <mergeCell ref="KE167:KH167"/>
    <mergeCell ref="KL167:KO167"/>
    <mergeCell ref="JJ168:JM168"/>
    <mergeCell ref="JQ168:JT168"/>
    <mergeCell ref="JX168:KA168"/>
    <mergeCell ref="KE168:KH168"/>
    <mergeCell ref="KL168:KO168"/>
    <mergeCell ref="JJ169:JM169"/>
    <mergeCell ref="JQ169:JT169"/>
    <mergeCell ref="JX169:KA169"/>
    <mergeCell ref="KE169:KH169"/>
    <mergeCell ref="KL169:KO169"/>
    <mergeCell ref="JJ170:JM170"/>
    <mergeCell ref="JQ170:JT170"/>
    <mergeCell ref="JX170:KA170"/>
    <mergeCell ref="KE170:KH170"/>
    <mergeCell ref="KL170:KO170"/>
    <mergeCell ref="JJ171:JM171"/>
    <mergeCell ref="JQ171:JT171"/>
    <mergeCell ref="JX171:KA171"/>
    <mergeCell ref="KE171:KH171"/>
    <mergeCell ref="KL171:KO171"/>
    <mergeCell ref="JJ172:JM172"/>
    <mergeCell ref="JQ172:JT172"/>
    <mergeCell ref="JX172:KA172"/>
    <mergeCell ref="KE172:KH172"/>
    <mergeCell ref="KL172:KO172"/>
    <mergeCell ref="KS163:KV163"/>
    <mergeCell ref="OT173:OW173"/>
    <mergeCell ref="PA173:PD173"/>
    <mergeCell ref="PH173:PK173"/>
    <mergeCell ref="OT185:OW185"/>
    <mergeCell ref="PA185:PD185"/>
    <mergeCell ref="PH185:PK185"/>
    <mergeCell ref="OT186:OW186"/>
    <mergeCell ref="PA186:PD186"/>
    <mergeCell ref="PH186:PK186"/>
    <mergeCell ref="JC188:JF188"/>
    <mergeCell ref="JJ188:JM188"/>
    <mergeCell ref="JQ188:JT188"/>
    <mergeCell ref="JX188:KA188"/>
    <mergeCell ref="KE188:KH188"/>
    <mergeCell ref="KL188:KO188"/>
    <mergeCell ref="KS188:KV188"/>
    <mergeCell ref="KZ188:LC188"/>
    <mergeCell ref="LG188:LJ188"/>
    <mergeCell ref="LN188:LQ188"/>
    <mergeCell ref="LU188:LX188"/>
    <mergeCell ref="MB188:ME188"/>
    <mergeCell ref="MI188:ML188"/>
    <mergeCell ref="MP188:MS188"/>
    <mergeCell ref="MW188:MZ188"/>
    <mergeCell ref="ND188:NG188"/>
    <mergeCell ref="JC196:JF196"/>
    <mergeCell ref="JJ196:JM196"/>
    <mergeCell ref="JQ196:JT196"/>
    <mergeCell ref="JX196:KA196"/>
    <mergeCell ref="KE196:KH196"/>
    <mergeCell ref="KL196:KO196"/>
    <mergeCell ref="KS196:KV196"/>
    <mergeCell ref="KZ196:LC196"/>
    <mergeCell ref="LG196:LJ196"/>
    <mergeCell ref="LN196:LQ196"/>
    <mergeCell ref="LU196:LX196"/>
    <mergeCell ref="MB196:ME196"/>
    <mergeCell ref="MI196:ML196"/>
    <mergeCell ref="MP196:MS196"/>
    <mergeCell ref="MW196:MZ196"/>
    <mergeCell ref="ND196:NG196"/>
    <mergeCell ref="JJ173:JM173"/>
    <mergeCell ref="JQ173:JT173"/>
    <mergeCell ref="JX173:KA173"/>
    <mergeCell ref="KE173:KH173"/>
    <mergeCell ref="KL173:KO173"/>
    <mergeCell ref="JJ174:JM174"/>
    <mergeCell ref="JQ174:JT174"/>
    <mergeCell ref="JX174:KA174"/>
    <mergeCell ref="KE174:KH174"/>
    <mergeCell ref="KL174:KO174"/>
    <mergeCell ref="JJ175:JM175"/>
    <mergeCell ref="JQ175:JT175"/>
    <mergeCell ref="JX175:KA175"/>
    <mergeCell ref="KE175:KH175"/>
    <mergeCell ref="KL175:KO175"/>
    <mergeCell ref="JJ176:JM176"/>
    <mergeCell ref="JQ176:JT176"/>
    <mergeCell ref="JX176:KA176"/>
    <mergeCell ref="KE176:KH176"/>
    <mergeCell ref="KL176:KO176"/>
    <mergeCell ref="JJ177:JM177"/>
    <mergeCell ref="JQ177:JT177"/>
    <mergeCell ref="JX177:KA177"/>
    <mergeCell ref="OT198:OW198"/>
    <mergeCell ref="PA198:PD198"/>
    <mergeCell ref="PH198:PK198"/>
    <mergeCell ref="OT199:OW199"/>
    <mergeCell ref="PA199:PD199"/>
    <mergeCell ref="PH199:PK199"/>
    <mergeCell ref="OT200:OW200"/>
    <mergeCell ref="PA200:PD200"/>
    <mergeCell ref="PH200:PK200"/>
    <mergeCell ref="OT201:OW201"/>
    <mergeCell ref="PA201:PD201"/>
    <mergeCell ref="PH201:PK201"/>
    <mergeCell ref="JC204:JF204"/>
    <mergeCell ref="JJ204:JM204"/>
    <mergeCell ref="JQ204:JT204"/>
    <mergeCell ref="JX204:KA204"/>
    <mergeCell ref="KE204:KH204"/>
    <mergeCell ref="KL204:KO204"/>
    <mergeCell ref="KS204:KV204"/>
    <mergeCell ref="KZ204:LC204"/>
    <mergeCell ref="LG204:LJ204"/>
    <mergeCell ref="LN204:LQ204"/>
    <mergeCell ref="LU204:LX204"/>
    <mergeCell ref="MB204:ME204"/>
    <mergeCell ref="MI204:ML204"/>
    <mergeCell ref="MP204:MS204"/>
    <mergeCell ref="MW204:MZ204"/>
    <mergeCell ref="ND204:NG204"/>
    <mergeCell ref="JC205:JF205"/>
    <mergeCell ref="JC206:JF206"/>
    <mergeCell ref="JJ205:JM205"/>
    <mergeCell ref="JQ205:JT205"/>
    <mergeCell ref="JX205:KA205"/>
    <mergeCell ref="KE205:KH205"/>
    <mergeCell ref="KL205:KO205"/>
    <mergeCell ref="JJ206:JM206"/>
    <mergeCell ref="JQ206:JT206"/>
    <mergeCell ref="JX206:KA206"/>
    <mergeCell ref="KE206:KH206"/>
    <mergeCell ref="KL206:KO206"/>
    <mergeCell ref="KS205:KV205"/>
    <mergeCell ref="KZ205:LC205"/>
    <mergeCell ref="LG205:LJ205"/>
    <mergeCell ref="LN205:LQ205"/>
    <mergeCell ref="JJ201:JM201"/>
    <mergeCell ref="JQ201:JT201"/>
    <mergeCell ref="JX201:KA201"/>
    <mergeCell ref="KE201:KH201"/>
    <mergeCell ref="KL201:KO201"/>
    <mergeCell ref="JJ202:JM202"/>
    <mergeCell ref="JQ202:JT202"/>
    <mergeCell ref="JX202:KA202"/>
    <mergeCell ref="KE202:KH202"/>
    <mergeCell ref="KL202:KO202"/>
    <mergeCell ref="JJ203:JM203"/>
    <mergeCell ref="JQ203:JT203"/>
    <mergeCell ref="JX203:KA203"/>
    <mergeCell ref="KE203:KH203"/>
    <mergeCell ref="KL203:KO203"/>
    <mergeCell ref="KS200:KV200"/>
    <mergeCell ref="KZ200:LC200"/>
    <mergeCell ref="LG200:LJ200"/>
    <mergeCell ref="LN200:LQ200"/>
    <mergeCell ref="LU200:LX200"/>
    <mergeCell ref="NK209:NN209"/>
    <mergeCell ref="NR209:NU209"/>
    <mergeCell ref="NY209:OB209"/>
    <mergeCell ref="OF209:OI209"/>
    <mergeCell ref="OM209:OP209"/>
    <mergeCell ref="NK210:NN210"/>
    <mergeCell ref="NR210:NU210"/>
    <mergeCell ref="NY210:OB210"/>
    <mergeCell ref="OF210:OI210"/>
    <mergeCell ref="OM210:OP210"/>
    <mergeCell ref="NK211:NN211"/>
    <mergeCell ref="NR211:NU211"/>
    <mergeCell ref="NY211:OB211"/>
    <mergeCell ref="OF211:OI211"/>
    <mergeCell ref="OM211:OP211"/>
    <mergeCell ref="JC214:JF214"/>
    <mergeCell ref="JJ214:JM214"/>
    <mergeCell ref="JQ214:JT214"/>
    <mergeCell ref="JX214:KA214"/>
    <mergeCell ref="KE214:KH214"/>
    <mergeCell ref="KL214:KO214"/>
    <mergeCell ref="KS213:KV213"/>
    <mergeCell ref="KZ213:LC213"/>
    <mergeCell ref="LG213:LJ213"/>
    <mergeCell ref="LN213:LQ213"/>
    <mergeCell ref="LU213:LX213"/>
    <mergeCell ref="KS214:KV214"/>
    <mergeCell ref="KZ214:LC214"/>
    <mergeCell ref="LG214:LJ214"/>
    <mergeCell ref="LN214:LQ214"/>
    <mergeCell ref="LU214:LX214"/>
    <mergeCell ref="JC215:JF215"/>
    <mergeCell ref="JC216:JF216"/>
    <mergeCell ref="JJ215:JM215"/>
    <mergeCell ref="JQ215:JT215"/>
    <mergeCell ref="JX215:KA215"/>
    <mergeCell ref="KE215:KH215"/>
    <mergeCell ref="KL215:KO215"/>
    <mergeCell ref="JJ216:JM216"/>
    <mergeCell ref="JQ216:JT216"/>
    <mergeCell ref="JX216:KA216"/>
    <mergeCell ref="KE216:KH216"/>
    <mergeCell ref="KL216:KO216"/>
    <mergeCell ref="KS215:KV215"/>
    <mergeCell ref="KZ215:LC215"/>
    <mergeCell ref="LG215:LJ215"/>
    <mergeCell ref="LN215:LQ215"/>
    <mergeCell ref="KS210:KV210"/>
    <mergeCell ref="KZ210:LC210"/>
    <mergeCell ref="LG210:LJ210"/>
    <mergeCell ref="LN210:LQ210"/>
    <mergeCell ref="LU210:LX210"/>
    <mergeCell ref="KS211:KV211"/>
    <mergeCell ref="KZ211:LC211"/>
    <mergeCell ref="LG211:LJ211"/>
    <mergeCell ref="LN211:LQ211"/>
    <mergeCell ref="LU211:LX211"/>
    <mergeCell ref="KS212:KV212"/>
    <mergeCell ref="KZ212:LC212"/>
    <mergeCell ref="LG212:LJ212"/>
    <mergeCell ref="LN212:LQ212"/>
    <mergeCell ref="LU212:LX212"/>
    <mergeCell ref="LU215:LX215"/>
    <mergeCell ref="KS216:KV216"/>
  </mergeCells>
  <phoneticPr fontId="14" type="noConversion"/>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E615D5-5AEB-2E4C-B695-9199C365C44E}">
  <dimension ref="A1:BJ33"/>
  <sheetViews>
    <sheetView workbookViewId="0">
      <selection activeCell="BH25" sqref="BH25"/>
    </sheetView>
  </sheetViews>
  <sheetFormatPr baseColWidth="10" defaultColWidth="4.5" defaultRowHeight="16"/>
  <cols>
    <col min="1" max="1" width="21.1640625" style="13" customWidth="1"/>
    <col min="2" max="61" width="4.5" style="12"/>
    <col min="62" max="62" width="4.5" style="447"/>
    <col min="63" max="16384" width="4.5" style="12"/>
  </cols>
  <sheetData>
    <row r="1" spans="1:62" s="17" customFormat="1">
      <c r="A1" s="16"/>
      <c r="B1" s="16">
        <v>-8</v>
      </c>
      <c r="C1" s="16">
        <v>-7</v>
      </c>
      <c r="D1" s="16">
        <v>-6</v>
      </c>
      <c r="E1" s="16">
        <v>-5</v>
      </c>
      <c r="F1" s="16">
        <v>-4</v>
      </c>
      <c r="G1" s="16">
        <v>-3</v>
      </c>
      <c r="H1" s="16">
        <v>-2</v>
      </c>
      <c r="I1" s="16">
        <v>-1</v>
      </c>
      <c r="J1" s="16">
        <v>0</v>
      </c>
      <c r="K1" s="16">
        <v>1</v>
      </c>
      <c r="L1" s="16">
        <v>2</v>
      </c>
      <c r="M1" s="16">
        <v>3</v>
      </c>
      <c r="N1" s="16">
        <v>4</v>
      </c>
      <c r="O1" s="16">
        <v>5</v>
      </c>
      <c r="P1" s="16">
        <v>6</v>
      </c>
      <c r="Q1" s="16">
        <v>7</v>
      </c>
      <c r="R1" s="16">
        <v>8</v>
      </c>
      <c r="S1" s="16">
        <v>9</v>
      </c>
      <c r="T1" s="16">
        <v>10</v>
      </c>
      <c r="U1" s="16">
        <v>11</v>
      </c>
      <c r="V1" s="16">
        <v>12</v>
      </c>
      <c r="W1" s="16">
        <v>13</v>
      </c>
      <c r="X1" s="16">
        <v>14</v>
      </c>
      <c r="Y1" s="16">
        <v>15</v>
      </c>
      <c r="Z1" s="16">
        <v>16</v>
      </c>
      <c r="AA1" s="16">
        <v>17</v>
      </c>
      <c r="AB1" s="16">
        <v>18</v>
      </c>
      <c r="AC1" s="16">
        <v>19</v>
      </c>
      <c r="AD1" s="16">
        <v>20</v>
      </c>
      <c r="AE1" s="16">
        <v>21</v>
      </c>
      <c r="AF1" s="16">
        <v>22</v>
      </c>
      <c r="AG1" s="16">
        <v>23</v>
      </c>
      <c r="AH1" s="16">
        <v>24</v>
      </c>
      <c r="AI1" s="16">
        <v>25</v>
      </c>
      <c r="AJ1" s="16">
        <v>26</v>
      </c>
      <c r="AK1" s="16">
        <v>27</v>
      </c>
      <c r="AL1" s="16">
        <v>28</v>
      </c>
      <c r="AM1" s="16">
        <v>29</v>
      </c>
      <c r="AN1" s="16">
        <v>30</v>
      </c>
      <c r="AO1" s="16">
        <v>31</v>
      </c>
      <c r="AP1" s="16">
        <v>32</v>
      </c>
      <c r="AQ1" s="16">
        <v>33</v>
      </c>
      <c r="AR1" s="16">
        <v>34</v>
      </c>
      <c r="AS1" s="16">
        <v>35</v>
      </c>
      <c r="AT1" s="16">
        <v>36</v>
      </c>
      <c r="AU1" s="16">
        <v>37</v>
      </c>
      <c r="AV1" s="16">
        <v>38</v>
      </c>
      <c r="AW1" s="16">
        <v>39</v>
      </c>
      <c r="AX1" s="16">
        <v>40</v>
      </c>
      <c r="AY1" s="16">
        <v>41</v>
      </c>
      <c r="AZ1" s="16">
        <v>42</v>
      </c>
      <c r="BA1" s="16">
        <v>43</v>
      </c>
      <c r="BB1" s="16">
        <v>44</v>
      </c>
      <c r="BC1" s="16">
        <v>45</v>
      </c>
      <c r="BD1" s="16">
        <v>46</v>
      </c>
      <c r="BE1" s="16">
        <v>47</v>
      </c>
      <c r="BF1" s="16">
        <v>48</v>
      </c>
      <c r="BG1" s="16">
        <v>49</v>
      </c>
      <c r="BH1" s="16">
        <v>50</v>
      </c>
      <c r="BI1" s="16">
        <v>51</v>
      </c>
      <c r="BJ1" s="451">
        <v>52</v>
      </c>
    </row>
    <row r="2" spans="1:62" ht="25" customHeight="1">
      <c r="A2" s="13" t="s">
        <v>67</v>
      </c>
      <c r="B2" s="12">
        <v>1</v>
      </c>
      <c r="C2" s="12">
        <v>1</v>
      </c>
      <c r="D2" s="12">
        <v>1</v>
      </c>
      <c r="E2" s="12">
        <v>1</v>
      </c>
      <c r="F2" s="12">
        <v>1</v>
      </c>
      <c r="G2" s="12">
        <v>1</v>
      </c>
      <c r="H2" s="12">
        <v>1</v>
      </c>
      <c r="I2" s="12">
        <v>1</v>
      </c>
      <c r="J2" s="29">
        <v>1</v>
      </c>
      <c r="K2" s="447">
        <v>1</v>
      </c>
      <c r="L2" s="447">
        <v>1</v>
      </c>
      <c r="M2" s="18">
        <v>1</v>
      </c>
      <c r="N2" s="12">
        <v>1</v>
      </c>
      <c r="O2" s="12">
        <v>1</v>
      </c>
      <c r="P2" s="12">
        <v>1</v>
      </c>
      <c r="Q2" s="12">
        <v>1</v>
      </c>
      <c r="R2" s="447">
        <v>1</v>
      </c>
      <c r="S2" s="447">
        <v>1</v>
      </c>
      <c r="T2" s="12">
        <v>1</v>
      </c>
      <c r="U2" s="12">
        <v>1</v>
      </c>
      <c r="V2" s="12">
        <v>1</v>
      </c>
      <c r="W2" s="12">
        <v>1</v>
      </c>
      <c r="X2" s="12">
        <v>1</v>
      </c>
      <c r="Y2" s="12">
        <v>1</v>
      </c>
      <c r="Z2" s="18">
        <v>1</v>
      </c>
      <c r="AA2" s="12">
        <v>1</v>
      </c>
      <c r="AB2" s="12">
        <v>1</v>
      </c>
      <c r="AC2" s="12">
        <v>1</v>
      </c>
      <c r="AD2" s="12">
        <v>1</v>
      </c>
      <c r="AE2" s="12">
        <v>1</v>
      </c>
      <c r="AF2" s="12">
        <v>1</v>
      </c>
      <c r="AG2" s="12">
        <v>1</v>
      </c>
      <c r="AH2" s="12">
        <v>1</v>
      </c>
      <c r="AI2" s="12">
        <v>1</v>
      </c>
      <c r="AJ2" s="12">
        <v>1</v>
      </c>
      <c r="AK2" s="12">
        <v>1</v>
      </c>
      <c r="AL2" s="12">
        <v>1</v>
      </c>
      <c r="AM2" s="12">
        <v>1</v>
      </c>
      <c r="AN2" s="12">
        <v>1</v>
      </c>
      <c r="AO2" s="12">
        <v>1</v>
      </c>
      <c r="AP2" s="18">
        <v>1</v>
      </c>
      <c r="AQ2" s="12">
        <v>1</v>
      </c>
      <c r="AR2" s="12">
        <v>1</v>
      </c>
      <c r="AS2" s="12">
        <v>1</v>
      </c>
      <c r="AT2" s="12">
        <v>1</v>
      </c>
      <c r="AU2" s="12">
        <v>1</v>
      </c>
      <c r="AV2" s="12">
        <v>1</v>
      </c>
      <c r="AW2" s="12">
        <v>1</v>
      </c>
      <c r="AX2" s="12">
        <v>1</v>
      </c>
      <c r="AY2" s="12">
        <v>1</v>
      </c>
      <c r="AZ2" s="12">
        <v>1</v>
      </c>
      <c r="BA2" s="12">
        <v>1</v>
      </c>
      <c r="BB2" s="18">
        <v>1</v>
      </c>
      <c r="BC2" s="12">
        <v>1</v>
      </c>
      <c r="BD2" s="12">
        <v>1</v>
      </c>
      <c r="BE2" s="12">
        <v>1</v>
      </c>
      <c r="BF2" s="12">
        <v>1</v>
      </c>
      <c r="BG2" s="12">
        <v>1</v>
      </c>
      <c r="BH2" s="12">
        <v>1</v>
      </c>
      <c r="BI2" s="12">
        <v>1</v>
      </c>
      <c r="BJ2" s="18">
        <v>1</v>
      </c>
    </row>
    <row r="3" spans="1:62" ht="25" customHeight="1">
      <c r="A3" s="13" t="s">
        <v>68</v>
      </c>
      <c r="D3" s="12">
        <v>1</v>
      </c>
      <c r="E3" s="12">
        <v>1</v>
      </c>
      <c r="F3" s="12">
        <v>1</v>
      </c>
      <c r="G3" s="12">
        <v>1</v>
      </c>
      <c r="H3" s="12">
        <v>1</v>
      </c>
      <c r="I3" s="12">
        <v>1</v>
      </c>
      <c r="J3" s="29"/>
      <c r="K3" s="447"/>
      <c r="L3" s="447"/>
      <c r="M3" s="18">
        <v>1</v>
      </c>
      <c r="N3" s="12">
        <v>1</v>
      </c>
      <c r="O3" s="12">
        <v>1</v>
      </c>
      <c r="P3" s="12">
        <v>1</v>
      </c>
      <c r="Q3" s="12">
        <v>1</v>
      </c>
      <c r="R3" s="447">
        <v>1</v>
      </c>
      <c r="S3" s="447"/>
      <c r="Z3" s="18"/>
      <c r="AP3" s="18"/>
      <c r="BB3" s="18"/>
      <c r="BJ3" s="18"/>
    </row>
    <row r="4" spans="1:62" ht="25" customHeight="1">
      <c r="A4" s="13" t="s">
        <v>69</v>
      </c>
      <c r="J4" s="29"/>
      <c r="K4" s="447"/>
      <c r="L4" s="447"/>
      <c r="M4" s="18"/>
      <c r="R4" s="447">
        <v>1</v>
      </c>
      <c r="S4" s="447"/>
      <c r="Z4" s="18"/>
      <c r="AP4" s="18"/>
      <c r="BB4" s="18"/>
      <c r="BJ4" s="18"/>
    </row>
    <row r="5" spans="1:62" ht="25" customHeight="1">
      <c r="A5" s="14" t="s">
        <v>71</v>
      </c>
      <c r="B5" s="30"/>
      <c r="C5" s="30"/>
      <c r="D5" s="30"/>
      <c r="E5" s="30"/>
      <c r="F5" s="30"/>
      <c r="G5" s="30"/>
      <c r="H5" s="30"/>
      <c r="I5" s="30"/>
      <c r="J5" s="29"/>
      <c r="K5" s="448"/>
      <c r="L5" s="448"/>
      <c r="M5" s="31"/>
      <c r="N5" s="30"/>
      <c r="O5" s="30"/>
      <c r="P5" s="30"/>
      <c r="Q5" s="30"/>
      <c r="R5" s="448">
        <v>1</v>
      </c>
      <c r="S5" s="448">
        <v>1</v>
      </c>
      <c r="T5" s="30">
        <v>1</v>
      </c>
      <c r="U5" s="30">
        <v>1</v>
      </c>
      <c r="V5" s="30">
        <v>1</v>
      </c>
      <c r="W5" s="30">
        <v>1</v>
      </c>
      <c r="X5" s="30">
        <v>1</v>
      </c>
      <c r="Y5" s="30">
        <v>1</v>
      </c>
      <c r="Z5" s="31">
        <v>1</v>
      </c>
      <c r="AA5" s="30">
        <v>1</v>
      </c>
      <c r="AB5" s="30">
        <v>1</v>
      </c>
      <c r="AC5" s="30">
        <v>1</v>
      </c>
      <c r="AD5" s="30">
        <v>1</v>
      </c>
      <c r="AE5" s="30">
        <v>1</v>
      </c>
      <c r="AF5" s="30">
        <v>1</v>
      </c>
      <c r="AG5" s="30">
        <v>1</v>
      </c>
      <c r="AH5" s="30">
        <v>1</v>
      </c>
      <c r="AI5" s="30">
        <v>1</v>
      </c>
      <c r="AJ5" s="30">
        <v>1</v>
      </c>
      <c r="AK5" s="30">
        <v>1</v>
      </c>
      <c r="AL5" s="30">
        <v>1</v>
      </c>
      <c r="AM5" s="30">
        <v>1</v>
      </c>
      <c r="AN5" s="30">
        <v>1</v>
      </c>
      <c r="AO5" s="30">
        <v>1</v>
      </c>
      <c r="AP5" s="31">
        <v>1</v>
      </c>
      <c r="AQ5" s="30">
        <v>1</v>
      </c>
      <c r="AR5" s="30">
        <v>1</v>
      </c>
      <c r="AS5" s="30">
        <v>1</v>
      </c>
      <c r="AT5" s="30">
        <v>1</v>
      </c>
      <c r="AU5" s="30">
        <v>1</v>
      </c>
      <c r="AV5" s="30">
        <v>1</v>
      </c>
      <c r="AW5" s="30">
        <v>1</v>
      </c>
      <c r="AX5" s="30">
        <v>1</v>
      </c>
      <c r="AY5" s="30">
        <v>1</v>
      </c>
      <c r="AZ5" s="30">
        <v>1</v>
      </c>
      <c r="BA5" s="30">
        <v>1</v>
      </c>
      <c r="BB5" s="31">
        <v>1</v>
      </c>
      <c r="BC5" s="30">
        <v>1</v>
      </c>
      <c r="BD5" s="30">
        <v>1</v>
      </c>
      <c r="BE5" s="30">
        <v>1</v>
      </c>
      <c r="BF5" s="30">
        <v>1</v>
      </c>
      <c r="BG5" s="30">
        <v>1</v>
      </c>
      <c r="BH5" s="30">
        <v>1</v>
      </c>
      <c r="BI5" s="30">
        <v>1</v>
      </c>
      <c r="BJ5" s="31">
        <v>1</v>
      </c>
    </row>
    <row r="6" spans="1:62" ht="25" customHeight="1">
      <c r="A6" s="14" t="s">
        <v>72</v>
      </c>
      <c r="B6" s="30"/>
      <c r="C6" s="30"/>
      <c r="D6" s="30"/>
      <c r="E6" s="30"/>
      <c r="F6" s="30"/>
      <c r="G6" s="30"/>
      <c r="H6" s="30"/>
      <c r="I6" s="30"/>
      <c r="J6" s="29"/>
      <c r="K6" s="448"/>
      <c r="L6" s="448"/>
      <c r="M6" s="31"/>
      <c r="N6" s="30"/>
      <c r="O6" s="30"/>
      <c r="P6" s="30"/>
      <c r="Q6" s="30"/>
      <c r="R6" s="448">
        <v>1</v>
      </c>
      <c r="S6" s="448">
        <v>1</v>
      </c>
      <c r="T6" s="30">
        <v>1</v>
      </c>
      <c r="U6" s="30">
        <v>1</v>
      </c>
      <c r="V6" s="30">
        <v>1</v>
      </c>
      <c r="W6" s="30">
        <v>1</v>
      </c>
      <c r="X6" s="30">
        <v>1</v>
      </c>
      <c r="Y6" s="30">
        <v>1</v>
      </c>
      <c r="Z6" s="31">
        <v>1</v>
      </c>
      <c r="AA6" s="30">
        <v>1</v>
      </c>
      <c r="AB6" s="30">
        <v>1</v>
      </c>
      <c r="AC6" s="30">
        <v>1</v>
      </c>
      <c r="AD6" s="30">
        <v>1</v>
      </c>
      <c r="AE6" s="30">
        <v>1</v>
      </c>
      <c r="AF6" s="30">
        <v>1</v>
      </c>
      <c r="AG6" s="30">
        <v>1</v>
      </c>
      <c r="AH6" s="30">
        <v>1</v>
      </c>
      <c r="AI6" s="30">
        <v>1</v>
      </c>
      <c r="AJ6" s="30">
        <v>1</v>
      </c>
      <c r="AK6" s="30">
        <v>1</v>
      </c>
      <c r="AL6" s="30">
        <v>1</v>
      </c>
      <c r="AM6" s="30">
        <v>1</v>
      </c>
      <c r="AN6" s="30">
        <v>1</v>
      </c>
      <c r="AO6" s="30">
        <v>1</v>
      </c>
      <c r="AP6" s="31">
        <v>1</v>
      </c>
      <c r="AQ6" s="30">
        <v>1</v>
      </c>
      <c r="AR6" s="30">
        <v>1</v>
      </c>
      <c r="AS6" s="30">
        <v>1</v>
      </c>
      <c r="AT6" s="30">
        <v>1</v>
      </c>
      <c r="AU6" s="30">
        <v>1</v>
      </c>
      <c r="AV6" s="30">
        <v>1</v>
      </c>
      <c r="AW6" s="30">
        <v>1</v>
      </c>
      <c r="AX6" s="30">
        <v>1</v>
      </c>
      <c r="AY6" s="30">
        <v>1</v>
      </c>
      <c r="AZ6" s="30">
        <v>1</v>
      </c>
      <c r="BA6" s="30">
        <v>1</v>
      </c>
      <c r="BB6" s="31">
        <v>1</v>
      </c>
      <c r="BC6" s="30">
        <v>1</v>
      </c>
      <c r="BD6" s="30">
        <v>1</v>
      </c>
      <c r="BE6" s="30">
        <v>1</v>
      </c>
      <c r="BF6" s="30">
        <v>1</v>
      </c>
      <c r="BG6" s="30">
        <v>1</v>
      </c>
      <c r="BH6" s="30">
        <v>1</v>
      </c>
      <c r="BI6" s="30">
        <v>1</v>
      </c>
      <c r="BJ6" s="31">
        <v>1</v>
      </c>
    </row>
    <row r="7" spans="1:62" ht="25" customHeight="1">
      <c r="A7" s="14" t="s">
        <v>73</v>
      </c>
      <c r="B7" s="30"/>
      <c r="C7" s="30"/>
      <c r="D7" s="30"/>
      <c r="E7" s="30"/>
      <c r="F7" s="30"/>
      <c r="G7" s="30"/>
      <c r="H7" s="30"/>
      <c r="I7" s="30"/>
      <c r="J7" s="29"/>
      <c r="K7" s="448"/>
      <c r="L7" s="448"/>
      <c r="M7" s="31"/>
      <c r="N7" s="30"/>
      <c r="O7" s="30"/>
      <c r="P7" s="30"/>
      <c r="Q7" s="30"/>
      <c r="R7" s="448">
        <v>1</v>
      </c>
      <c r="S7" s="448">
        <v>1</v>
      </c>
      <c r="T7" s="30">
        <v>1</v>
      </c>
      <c r="U7" s="30">
        <v>1</v>
      </c>
      <c r="V7" s="30">
        <v>1</v>
      </c>
      <c r="W7" s="30">
        <v>1</v>
      </c>
      <c r="X7" s="30">
        <v>1</v>
      </c>
      <c r="Y7" s="30">
        <v>1</v>
      </c>
      <c r="Z7" s="31">
        <v>1</v>
      </c>
      <c r="AA7" s="30">
        <v>1</v>
      </c>
      <c r="AB7" s="30">
        <v>1</v>
      </c>
      <c r="AC7" s="30">
        <v>1</v>
      </c>
      <c r="AD7" s="30">
        <v>1</v>
      </c>
      <c r="AE7" s="30">
        <v>1</v>
      </c>
      <c r="AF7" s="30">
        <v>1</v>
      </c>
      <c r="AG7" s="30">
        <v>1</v>
      </c>
      <c r="AH7" s="30">
        <v>1</v>
      </c>
      <c r="AI7" s="30">
        <v>1</v>
      </c>
      <c r="AJ7" s="30">
        <v>1</v>
      </c>
      <c r="AK7" s="30">
        <v>1</v>
      </c>
      <c r="AL7" s="30">
        <v>1</v>
      </c>
      <c r="AM7" s="30">
        <v>1</v>
      </c>
      <c r="AN7" s="30">
        <v>1</v>
      </c>
      <c r="AO7" s="30">
        <v>1</v>
      </c>
      <c r="AP7" s="31">
        <v>1</v>
      </c>
      <c r="AQ7" s="30">
        <v>1</v>
      </c>
      <c r="AR7" s="30">
        <v>1</v>
      </c>
      <c r="AS7" s="30">
        <v>1</v>
      </c>
      <c r="AT7" s="30">
        <v>1</v>
      </c>
      <c r="AU7" s="30">
        <v>1</v>
      </c>
      <c r="AV7" s="30">
        <v>1</v>
      </c>
      <c r="AW7" s="30">
        <v>1</v>
      </c>
      <c r="AX7" s="30">
        <v>1</v>
      </c>
      <c r="AY7" s="30">
        <v>1</v>
      </c>
      <c r="AZ7" s="30">
        <v>1</v>
      </c>
      <c r="BA7" s="30">
        <v>1</v>
      </c>
      <c r="BB7" s="31">
        <v>1</v>
      </c>
      <c r="BC7" s="30">
        <v>1</v>
      </c>
      <c r="BD7" s="30">
        <v>1</v>
      </c>
      <c r="BE7" s="30">
        <v>1</v>
      </c>
      <c r="BF7" s="30">
        <v>1</v>
      </c>
      <c r="BG7" s="30">
        <v>1</v>
      </c>
      <c r="BH7" s="30">
        <v>1</v>
      </c>
      <c r="BI7" s="30">
        <v>1</v>
      </c>
      <c r="BJ7" s="31">
        <v>1</v>
      </c>
    </row>
    <row r="8" spans="1:62" ht="25" customHeight="1">
      <c r="A8" s="14" t="s">
        <v>74</v>
      </c>
      <c r="B8" s="30"/>
      <c r="C8" s="30"/>
      <c r="D8" s="30"/>
      <c r="E8" s="30"/>
      <c r="F8" s="30"/>
      <c r="G8" s="30"/>
      <c r="H8" s="30"/>
      <c r="I8" s="30"/>
      <c r="J8" s="29"/>
      <c r="K8" s="448"/>
      <c r="L8" s="448"/>
      <c r="M8" s="31"/>
      <c r="N8" s="30"/>
      <c r="O8" s="30"/>
      <c r="P8" s="30"/>
      <c r="Q8" s="30"/>
      <c r="R8" s="448"/>
      <c r="S8" s="448"/>
      <c r="T8" s="30"/>
      <c r="U8" s="30"/>
      <c r="V8" s="30"/>
      <c r="W8" s="30"/>
      <c r="X8" s="30"/>
      <c r="Y8" s="30"/>
      <c r="Z8" s="31"/>
      <c r="AA8" s="30"/>
      <c r="AB8" s="30"/>
      <c r="AC8" s="30"/>
      <c r="AD8" s="30"/>
      <c r="AE8" s="30"/>
      <c r="AF8" s="30"/>
      <c r="AG8" s="30"/>
      <c r="AH8" s="30"/>
      <c r="AI8" s="30"/>
      <c r="AJ8" s="30"/>
      <c r="AK8" s="30"/>
      <c r="AL8" s="30"/>
      <c r="AM8" s="30"/>
      <c r="AN8" s="30"/>
      <c r="AO8" s="30"/>
      <c r="AP8" s="31"/>
      <c r="AQ8" s="30"/>
      <c r="AR8" s="30"/>
      <c r="AS8" s="30"/>
      <c r="AT8" s="30"/>
      <c r="AU8" s="30"/>
      <c r="AV8" s="30"/>
      <c r="AW8" s="30"/>
      <c r="AX8" s="30"/>
      <c r="AY8" s="30"/>
      <c r="AZ8" s="30"/>
      <c r="BA8" s="30"/>
      <c r="BB8" s="31"/>
      <c r="BC8" s="30"/>
      <c r="BD8" s="30"/>
      <c r="BE8" s="30"/>
      <c r="BF8" s="30"/>
      <c r="BG8" s="30"/>
      <c r="BH8" s="30"/>
      <c r="BI8" s="30"/>
      <c r="BJ8" s="31"/>
    </row>
    <row r="9" spans="1:62" ht="25" customHeight="1">
      <c r="A9" s="13" t="s">
        <v>86</v>
      </c>
      <c r="B9" s="12">
        <v>1</v>
      </c>
      <c r="C9" s="12">
        <v>1</v>
      </c>
      <c r="D9" s="12">
        <v>1</v>
      </c>
      <c r="E9" s="12">
        <v>1</v>
      </c>
      <c r="F9" s="12">
        <v>1</v>
      </c>
      <c r="G9" s="12">
        <v>1</v>
      </c>
      <c r="H9" s="12">
        <v>1</v>
      </c>
      <c r="I9" s="12">
        <v>1</v>
      </c>
      <c r="J9" s="29"/>
      <c r="K9" s="447"/>
      <c r="L9" s="447">
        <v>1</v>
      </c>
      <c r="M9" s="18">
        <v>1</v>
      </c>
      <c r="N9" s="12">
        <v>1</v>
      </c>
      <c r="O9" s="12">
        <v>1</v>
      </c>
      <c r="P9" s="12">
        <v>1</v>
      </c>
      <c r="Q9" s="12">
        <v>1</v>
      </c>
      <c r="R9" s="447">
        <v>1</v>
      </c>
      <c r="S9" s="447">
        <v>1</v>
      </c>
      <c r="T9" s="12">
        <v>1</v>
      </c>
      <c r="U9" s="12">
        <v>1</v>
      </c>
      <c r="V9" s="12">
        <v>1</v>
      </c>
      <c r="W9" s="12">
        <v>1</v>
      </c>
      <c r="X9" s="12">
        <v>1</v>
      </c>
      <c r="Y9" s="12">
        <v>1</v>
      </c>
      <c r="Z9" s="18">
        <v>1</v>
      </c>
      <c r="AA9" s="12">
        <v>1</v>
      </c>
      <c r="AB9" s="12">
        <v>1</v>
      </c>
      <c r="AC9" s="12">
        <v>1</v>
      </c>
      <c r="AD9" s="12">
        <v>1</v>
      </c>
      <c r="AE9" s="12">
        <v>1</v>
      </c>
      <c r="AF9" s="12">
        <v>1</v>
      </c>
      <c r="AG9" s="12">
        <v>1</v>
      </c>
      <c r="AH9" s="12">
        <v>1</v>
      </c>
      <c r="AI9" s="12">
        <v>1</v>
      </c>
      <c r="AP9" s="18"/>
      <c r="BB9" s="18"/>
      <c r="BJ9" s="18"/>
    </row>
    <row r="10" spans="1:62" ht="25" customHeight="1">
      <c r="A10" s="13" t="s">
        <v>87</v>
      </c>
      <c r="B10" s="12">
        <v>1</v>
      </c>
      <c r="C10" s="12">
        <v>1</v>
      </c>
      <c r="D10" s="12">
        <v>1</v>
      </c>
      <c r="E10" s="12">
        <v>1</v>
      </c>
      <c r="F10" s="12">
        <v>1</v>
      </c>
      <c r="G10" s="12">
        <v>1</v>
      </c>
      <c r="H10" s="12">
        <v>1</v>
      </c>
      <c r="I10" s="12">
        <v>1</v>
      </c>
      <c r="J10" s="29"/>
      <c r="K10" s="447"/>
      <c r="L10" s="447">
        <v>1</v>
      </c>
      <c r="M10" s="18">
        <v>1</v>
      </c>
      <c r="N10" s="12">
        <v>1</v>
      </c>
      <c r="O10" s="12">
        <v>1</v>
      </c>
      <c r="P10" s="12">
        <v>1</v>
      </c>
      <c r="Q10" s="12">
        <v>1</v>
      </c>
      <c r="R10" s="447">
        <v>1</v>
      </c>
      <c r="S10" s="447">
        <v>1</v>
      </c>
      <c r="T10" s="12">
        <v>1</v>
      </c>
      <c r="U10" s="12">
        <v>1</v>
      </c>
      <c r="V10" s="12">
        <v>1</v>
      </c>
      <c r="W10" s="12">
        <v>1</v>
      </c>
      <c r="X10" s="12">
        <v>1</v>
      </c>
      <c r="Y10" s="12">
        <v>1</v>
      </c>
      <c r="Z10" s="18">
        <v>1</v>
      </c>
      <c r="AA10" s="12">
        <v>1</v>
      </c>
      <c r="AB10" s="12">
        <v>1</v>
      </c>
      <c r="AC10" s="12">
        <v>1</v>
      </c>
      <c r="AD10" s="12">
        <v>1</v>
      </c>
      <c r="AE10" s="12">
        <v>1</v>
      </c>
      <c r="AF10" s="12">
        <v>1</v>
      </c>
      <c r="AG10" s="12">
        <v>1</v>
      </c>
      <c r="AH10" s="12">
        <v>1</v>
      </c>
      <c r="AI10" s="12">
        <v>1</v>
      </c>
      <c r="AP10" s="18"/>
      <c r="BB10" s="18"/>
      <c r="BJ10" s="18"/>
    </row>
    <row r="11" spans="1:62" ht="25" customHeight="1">
      <c r="A11" s="13" t="s">
        <v>88</v>
      </c>
      <c r="J11" s="29"/>
      <c r="K11" s="447"/>
      <c r="L11" s="447"/>
      <c r="M11" s="18"/>
      <c r="R11" s="447"/>
      <c r="S11" s="447"/>
      <c r="Z11" s="18"/>
      <c r="AP11" s="18"/>
      <c r="BB11" s="18"/>
      <c r="BJ11" s="18"/>
    </row>
    <row r="12" spans="1:62" ht="25" customHeight="1">
      <c r="A12" s="15" t="s">
        <v>75</v>
      </c>
      <c r="B12" s="32"/>
      <c r="C12" s="32"/>
      <c r="D12" s="32"/>
      <c r="E12" s="32"/>
      <c r="F12" s="32"/>
      <c r="G12" s="32"/>
      <c r="H12" s="32"/>
      <c r="I12" s="32"/>
      <c r="J12" s="29"/>
      <c r="K12" s="449"/>
      <c r="L12" s="449"/>
      <c r="M12" s="33">
        <v>1</v>
      </c>
      <c r="N12" s="32">
        <v>1</v>
      </c>
      <c r="O12" s="32">
        <v>1</v>
      </c>
      <c r="P12" s="32">
        <v>1</v>
      </c>
      <c r="Q12" s="32">
        <v>1</v>
      </c>
      <c r="R12" s="449">
        <v>1</v>
      </c>
      <c r="S12" s="449">
        <v>1</v>
      </c>
      <c r="T12" s="32">
        <v>1</v>
      </c>
      <c r="U12" s="32">
        <v>1</v>
      </c>
      <c r="V12" s="32">
        <v>1</v>
      </c>
      <c r="W12" s="32">
        <v>1</v>
      </c>
      <c r="X12" s="32"/>
      <c r="Y12" s="32"/>
      <c r="Z12" s="33"/>
      <c r="AA12" s="32"/>
      <c r="AB12" s="32"/>
      <c r="AC12" s="32"/>
      <c r="AD12" s="32"/>
      <c r="AE12" s="32"/>
      <c r="AF12" s="32"/>
      <c r="AG12" s="32"/>
      <c r="AH12" s="32"/>
      <c r="AI12" s="32"/>
      <c r="AJ12" s="32"/>
      <c r="AK12" s="32"/>
      <c r="AL12" s="32"/>
      <c r="AM12" s="32"/>
      <c r="AN12" s="32"/>
      <c r="AO12" s="32"/>
      <c r="AP12" s="33"/>
      <c r="AQ12" s="32"/>
      <c r="AR12" s="32"/>
      <c r="AS12" s="32"/>
      <c r="AT12" s="32"/>
      <c r="AU12" s="32"/>
      <c r="AV12" s="32"/>
      <c r="AW12" s="32"/>
      <c r="AX12" s="32"/>
      <c r="AY12" s="32"/>
      <c r="AZ12" s="32"/>
      <c r="BA12" s="32"/>
      <c r="BB12" s="33"/>
      <c r="BC12" s="32"/>
      <c r="BD12" s="32"/>
      <c r="BE12" s="32"/>
      <c r="BF12" s="32"/>
      <c r="BG12" s="32"/>
      <c r="BH12" s="32"/>
      <c r="BI12" s="32"/>
      <c r="BJ12" s="33"/>
    </row>
    <row r="13" spans="1:62" ht="25" customHeight="1">
      <c r="A13" s="15" t="s">
        <v>76</v>
      </c>
      <c r="B13" s="32"/>
      <c r="C13" s="32"/>
      <c r="D13" s="32"/>
      <c r="E13" s="32"/>
      <c r="F13" s="32"/>
      <c r="G13" s="32"/>
      <c r="H13" s="32"/>
      <c r="I13" s="32"/>
      <c r="J13" s="29"/>
      <c r="K13" s="449"/>
      <c r="L13" s="449"/>
      <c r="M13" s="33">
        <v>1</v>
      </c>
      <c r="N13" s="32">
        <v>1</v>
      </c>
      <c r="O13" s="32">
        <v>1</v>
      </c>
      <c r="P13" s="32">
        <v>1</v>
      </c>
      <c r="Q13" s="32">
        <v>1</v>
      </c>
      <c r="R13" s="449">
        <v>1</v>
      </c>
      <c r="S13" s="449">
        <v>1</v>
      </c>
      <c r="T13" s="32">
        <v>1</v>
      </c>
      <c r="U13" s="32">
        <v>1</v>
      </c>
      <c r="V13" s="32">
        <v>1</v>
      </c>
      <c r="W13" s="32">
        <v>1</v>
      </c>
      <c r="X13" s="32"/>
      <c r="Y13" s="32"/>
      <c r="Z13" s="33"/>
      <c r="AA13" s="32"/>
      <c r="AB13" s="32"/>
      <c r="AC13" s="32"/>
      <c r="AD13" s="32"/>
      <c r="AE13" s="32"/>
      <c r="AF13" s="32"/>
      <c r="AG13" s="32"/>
      <c r="AH13" s="32"/>
      <c r="AI13" s="32"/>
      <c r="AJ13" s="32"/>
      <c r="AK13" s="32"/>
      <c r="AL13" s="32"/>
      <c r="AM13" s="32"/>
      <c r="AN13" s="32"/>
      <c r="AO13" s="32"/>
      <c r="AP13" s="33"/>
      <c r="AQ13" s="32"/>
      <c r="AR13" s="32"/>
      <c r="AS13" s="32"/>
      <c r="AT13" s="32"/>
      <c r="AU13" s="32"/>
      <c r="AV13" s="32"/>
      <c r="AW13" s="32"/>
      <c r="AX13" s="32"/>
      <c r="AY13" s="32"/>
      <c r="AZ13" s="32"/>
      <c r="BA13" s="32"/>
      <c r="BB13" s="33"/>
      <c r="BC13" s="32"/>
      <c r="BD13" s="32"/>
      <c r="BE13" s="32"/>
      <c r="BF13" s="32"/>
      <c r="BG13" s="32"/>
      <c r="BH13" s="32"/>
      <c r="BI13" s="32"/>
      <c r="BJ13" s="33"/>
    </row>
    <row r="14" spans="1:62" ht="25" customHeight="1">
      <c r="A14" s="13" t="s">
        <v>77</v>
      </c>
      <c r="E14" s="12">
        <v>1</v>
      </c>
      <c r="F14" s="12">
        <v>1</v>
      </c>
      <c r="G14" s="12">
        <v>1</v>
      </c>
      <c r="H14" s="12">
        <v>1</v>
      </c>
      <c r="I14" s="12">
        <v>1</v>
      </c>
      <c r="J14" s="29"/>
      <c r="K14" s="447"/>
      <c r="L14" s="447">
        <v>1</v>
      </c>
      <c r="M14" s="18">
        <v>1</v>
      </c>
      <c r="N14" s="12">
        <v>1</v>
      </c>
      <c r="O14" s="12">
        <v>1</v>
      </c>
      <c r="P14" s="12">
        <v>1</v>
      </c>
      <c r="Q14" s="12">
        <v>1</v>
      </c>
      <c r="R14" s="447">
        <v>1</v>
      </c>
      <c r="S14" s="447">
        <v>1</v>
      </c>
      <c r="T14" s="12">
        <v>1</v>
      </c>
      <c r="U14" s="12">
        <v>1</v>
      </c>
      <c r="V14" s="12">
        <v>1</v>
      </c>
      <c r="W14" s="12">
        <v>1</v>
      </c>
      <c r="X14" s="12">
        <v>1</v>
      </c>
      <c r="Y14" s="12">
        <v>1</v>
      </c>
      <c r="Z14" s="18"/>
      <c r="AP14" s="18"/>
      <c r="BB14" s="18"/>
      <c r="BJ14" s="18"/>
    </row>
    <row r="15" spans="1:62" ht="25" customHeight="1">
      <c r="A15" s="13" t="s">
        <v>78</v>
      </c>
      <c r="E15" s="12">
        <v>1</v>
      </c>
      <c r="F15" s="12">
        <v>1</v>
      </c>
      <c r="G15" s="12">
        <v>1</v>
      </c>
      <c r="H15" s="12">
        <v>1</v>
      </c>
      <c r="I15" s="12">
        <v>1</v>
      </c>
      <c r="J15" s="29"/>
      <c r="K15" s="447"/>
      <c r="L15" s="447">
        <v>1</v>
      </c>
      <c r="M15" s="18">
        <v>1</v>
      </c>
      <c r="N15" s="12">
        <v>1</v>
      </c>
      <c r="O15" s="12">
        <v>1</v>
      </c>
      <c r="P15" s="12">
        <v>1</v>
      </c>
      <c r="Q15" s="12">
        <v>1</v>
      </c>
      <c r="R15" s="447">
        <v>1</v>
      </c>
      <c r="S15" s="447">
        <v>1</v>
      </c>
      <c r="T15" s="12">
        <v>1</v>
      </c>
      <c r="U15" s="12">
        <v>1</v>
      </c>
      <c r="V15" s="12">
        <v>1</v>
      </c>
      <c r="W15" s="12">
        <v>1</v>
      </c>
      <c r="X15" s="12">
        <v>1</v>
      </c>
      <c r="Y15" s="12">
        <v>1</v>
      </c>
      <c r="Z15" s="18"/>
      <c r="AP15" s="18"/>
      <c r="BB15" s="18"/>
      <c r="BJ15" s="18"/>
    </row>
    <row r="16" spans="1:62" ht="25" customHeight="1">
      <c r="A16" s="444" t="s">
        <v>412</v>
      </c>
      <c r="B16" s="445"/>
      <c r="C16" s="445"/>
      <c r="D16" s="445"/>
      <c r="E16" s="445"/>
      <c r="F16" s="445"/>
      <c r="G16" s="445"/>
      <c r="H16" s="445"/>
      <c r="I16" s="445"/>
      <c r="J16" s="445"/>
      <c r="K16" s="450"/>
      <c r="L16" s="450"/>
      <c r="M16" s="446"/>
      <c r="N16" s="445"/>
      <c r="O16" s="445"/>
      <c r="P16" s="445"/>
      <c r="Q16" s="445"/>
      <c r="R16" s="450"/>
      <c r="S16" s="450"/>
      <c r="T16" s="445"/>
      <c r="U16" s="445"/>
      <c r="V16" s="445"/>
      <c r="W16" s="445"/>
      <c r="X16" s="445"/>
      <c r="Y16" s="445"/>
      <c r="Z16" s="446"/>
      <c r="AA16" s="445">
        <v>1</v>
      </c>
      <c r="AB16" s="445">
        <v>1</v>
      </c>
      <c r="AC16" s="445">
        <v>1</v>
      </c>
      <c r="AD16" s="445">
        <v>1</v>
      </c>
      <c r="AE16" s="445">
        <v>1</v>
      </c>
      <c r="AF16" s="445">
        <v>1</v>
      </c>
      <c r="AG16" s="445">
        <v>1</v>
      </c>
      <c r="AH16" s="445">
        <v>1</v>
      </c>
      <c r="AI16" s="445">
        <v>1</v>
      </c>
      <c r="AJ16" s="445">
        <v>1</v>
      </c>
      <c r="AK16" s="445">
        <v>1</v>
      </c>
      <c r="AL16" s="445">
        <v>1</v>
      </c>
      <c r="AM16" s="445">
        <v>1</v>
      </c>
      <c r="AN16" s="445">
        <v>1</v>
      </c>
      <c r="AO16" s="445">
        <v>1</v>
      </c>
      <c r="AP16" s="446">
        <v>1</v>
      </c>
      <c r="AQ16" s="445">
        <v>1</v>
      </c>
      <c r="AR16" s="445">
        <v>1</v>
      </c>
      <c r="AS16" s="445">
        <v>1</v>
      </c>
      <c r="AT16" s="445">
        <v>1</v>
      </c>
      <c r="AU16" s="445">
        <v>1</v>
      </c>
      <c r="AV16" s="445">
        <v>1</v>
      </c>
      <c r="AW16" s="445">
        <v>1</v>
      </c>
      <c r="AX16" s="445">
        <v>1</v>
      </c>
      <c r="AY16" s="445">
        <v>1</v>
      </c>
      <c r="AZ16" s="445">
        <v>1</v>
      </c>
      <c r="BA16" s="445">
        <v>1</v>
      </c>
      <c r="BB16" s="446">
        <v>1</v>
      </c>
      <c r="BC16" s="445">
        <v>1</v>
      </c>
      <c r="BD16" s="445">
        <v>1</v>
      </c>
      <c r="BE16" s="445">
        <v>1</v>
      </c>
      <c r="BF16" s="445">
        <v>1</v>
      </c>
      <c r="BG16" s="445">
        <v>1</v>
      </c>
      <c r="BH16" s="445">
        <v>1</v>
      </c>
      <c r="BI16" s="445">
        <v>1</v>
      </c>
      <c r="BJ16" s="446">
        <v>1</v>
      </c>
    </row>
    <row r="17" spans="1:62" ht="25" customHeight="1">
      <c r="A17" s="444" t="s">
        <v>413</v>
      </c>
      <c r="B17" s="445"/>
      <c r="C17" s="445"/>
      <c r="D17" s="445"/>
      <c r="E17" s="445"/>
      <c r="F17" s="445"/>
      <c r="G17" s="445"/>
      <c r="H17" s="445"/>
      <c r="I17" s="445"/>
      <c r="J17" s="445"/>
      <c r="K17" s="450"/>
      <c r="L17" s="450"/>
      <c r="M17" s="446"/>
      <c r="N17" s="445"/>
      <c r="O17" s="445"/>
      <c r="P17" s="445"/>
      <c r="Q17" s="445"/>
      <c r="R17" s="450"/>
      <c r="S17" s="450"/>
      <c r="T17" s="445"/>
      <c r="U17" s="445"/>
      <c r="V17" s="445"/>
      <c r="W17" s="445"/>
      <c r="X17" s="445"/>
      <c r="Y17" s="445"/>
      <c r="Z17" s="446"/>
      <c r="AA17" s="445">
        <v>1</v>
      </c>
      <c r="AB17" s="445">
        <v>1</v>
      </c>
      <c r="AC17" s="445">
        <v>1</v>
      </c>
      <c r="AD17" s="445">
        <v>1</v>
      </c>
      <c r="AE17" s="445">
        <v>1</v>
      </c>
      <c r="AF17" s="445">
        <v>1</v>
      </c>
      <c r="AG17" s="445">
        <v>1</v>
      </c>
      <c r="AH17" s="445">
        <v>1</v>
      </c>
      <c r="AI17" s="445">
        <v>1</v>
      </c>
      <c r="AJ17" s="445">
        <v>1</v>
      </c>
      <c r="AK17" s="445">
        <v>1</v>
      </c>
      <c r="AL17" s="445">
        <v>1</v>
      </c>
      <c r="AM17" s="445">
        <v>1</v>
      </c>
      <c r="AN17" s="445">
        <v>1</v>
      </c>
      <c r="AO17" s="445">
        <v>1</v>
      </c>
      <c r="AP17" s="446">
        <v>1</v>
      </c>
      <c r="AQ17" s="445">
        <v>1</v>
      </c>
      <c r="AR17" s="445">
        <v>1</v>
      </c>
      <c r="AS17" s="445">
        <v>1</v>
      </c>
      <c r="AT17" s="445">
        <v>1</v>
      </c>
      <c r="AU17" s="445">
        <v>1</v>
      </c>
      <c r="AV17" s="445">
        <v>1</v>
      </c>
      <c r="AW17" s="445">
        <v>1</v>
      </c>
      <c r="AX17" s="445">
        <v>1</v>
      </c>
      <c r="AY17" s="445">
        <v>1</v>
      </c>
      <c r="AZ17" s="445">
        <v>1</v>
      </c>
      <c r="BA17" s="445">
        <v>1</v>
      </c>
      <c r="BB17" s="446">
        <v>1</v>
      </c>
      <c r="BC17" s="445">
        <v>1</v>
      </c>
      <c r="BD17" s="445">
        <v>1</v>
      </c>
      <c r="BE17" s="445">
        <v>1</v>
      </c>
      <c r="BF17" s="445">
        <v>1</v>
      </c>
      <c r="BG17" s="445">
        <v>1</v>
      </c>
      <c r="BH17" s="445">
        <v>1</v>
      </c>
      <c r="BI17" s="445">
        <v>1</v>
      </c>
      <c r="BJ17" s="446">
        <v>1</v>
      </c>
    </row>
    <row r="18" spans="1:62" ht="25" customHeight="1">
      <c r="A18" s="444" t="s">
        <v>414</v>
      </c>
      <c r="B18" s="445"/>
      <c r="C18" s="445"/>
      <c r="D18" s="445"/>
      <c r="E18" s="445"/>
      <c r="F18" s="445"/>
      <c r="G18" s="445"/>
      <c r="H18" s="445"/>
      <c r="I18" s="445"/>
      <c r="J18" s="445"/>
      <c r="K18" s="450"/>
      <c r="L18" s="450"/>
      <c r="M18" s="446"/>
      <c r="N18" s="445"/>
      <c r="O18" s="445"/>
      <c r="P18" s="445"/>
      <c r="Q18" s="445"/>
      <c r="R18" s="450"/>
      <c r="S18" s="450"/>
      <c r="T18" s="445"/>
      <c r="U18" s="445"/>
      <c r="V18" s="445"/>
      <c r="W18" s="445"/>
      <c r="X18" s="445"/>
      <c r="Y18" s="445"/>
      <c r="Z18" s="446"/>
      <c r="AA18" s="445">
        <v>1</v>
      </c>
      <c r="AB18" s="445">
        <v>1</v>
      </c>
      <c r="AC18" s="445">
        <v>1</v>
      </c>
      <c r="AD18" s="445">
        <v>1</v>
      </c>
      <c r="AE18" s="445">
        <v>1</v>
      </c>
      <c r="AF18" s="445">
        <v>1</v>
      </c>
      <c r="AG18" s="445">
        <v>1</v>
      </c>
      <c r="AH18" s="445">
        <v>1</v>
      </c>
      <c r="AI18" s="445">
        <v>1</v>
      </c>
      <c r="AJ18" s="445">
        <v>1</v>
      </c>
      <c r="AK18" s="445">
        <v>1</v>
      </c>
      <c r="AL18" s="445">
        <v>1</v>
      </c>
      <c r="AM18" s="445">
        <v>1</v>
      </c>
      <c r="AN18" s="445">
        <v>1</v>
      </c>
      <c r="AO18" s="445">
        <v>1</v>
      </c>
      <c r="AP18" s="446">
        <v>1</v>
      </c>
      <c r="AQ18" s="445">
        <v>1</v>
      </c>
      <c r="AR18" s="445">
        <v>1</v>
      </c>
      <c r="AS18" s="445">
        <v>1</v>
      </c>
      <c r="AT18" s="445">
        <v>1</v>
      </c>
      <c r="AU18" s="445">
        <v>1</v>
      </c>
      <c r="AV18" s="445">
        <v>1</v>
      </c>
      <c r="AW18" s="445">
        <v>1</v>
      </c>
      <c r="AX18" s="445">
        <v>1</v>
      </c>
      <c r="AY18" s="445">
        <v>1</v>
      </c>
      <c r="AZ18" s="445">
        <v>1</v>
      </c>
      <c r="BA18" s="445">
        <v>1</v>
      </c>
      <c r="BB18" s="446">
        <v>1</v>
      </c>
      <c r="BC18" s="445">
        <v>1</v>
      </c>
      <c r="BD18" s="445">
        <v>1</v>
      </c>
      <c r="BE18" s="445">
        <v>1</v>
      </c>
      <c r="BF18" s="445">
        <v>1</v>
      </c>
      <c r="BG18" s="445">
        <v>1</v>
      </c>
      <c r="BH18" s="445">
        <v>1</v>
      </c>
      <c r="BI18" s="445">
        <v>1</v>
      </c>
      <c r="BJ18" s="446">
        <v>1</v>
      </c>
    </row>
    <row r="19" spans="1:62" ht="25" customHeight="1">
      <c r="A19" s="13" t="s">
        <v>415</v>
      </c>
      <c r="J19" s="29"/>
      <c r="K19" s="447"/>
      <c r="L19" s="447"/>
      <c r="M19" s="18"/>
      <c r="R19" s="447"/>
      <c r="S19" s="447"/>
      <c r="Z19" s="18"/>
      <c r="AE19" s="12">
        <v>1</v>
      </c>
      <c r="AF19" s="12">
        <v>1</v>
      </c>
      <c r="AG19" s="12">
        <v>1</v>
      </c>
      <c r="AH19" s="12">
        <v>1</v>
      </c>
      <c r="AI19" s="12">
        <v>1</v>
      </c>
      <c r="AJ19" s="12">
        <v>1</v>
      </c>
      <c r="AK19" s="12">
        <v>1</v>
      </c>
      <c r="AL19" s="12">
        <v>1</v>
      </c>
      <c r="AM19" s="12">
        <v>1</v>
      </c>
      <c r="AN19" s="12">
        <v>1</v>
      </c>
      <c r="AO19" s="12">
        <v>1</v>
      </c>
      <c r="AP19" s="18">
        <v>1</v>
      </c>
      <c r="AQ19" s="12">
        <v>1</v>
      </c>
      <c r="AR19" s="12">
        <v>1</v>
      </c>
      <c r="AS19" s="12">
        <v>1</v>
      </c>
      <c r="AT19" s="12">
        <v>1</v>
      </c>
      <c r="AU19" s="12">
        <v>1</v>
      </c>
      <c r="AV19" s="12">
        <v>1</v>
      </c>
      <c r="AW19" s="12">
        <v>1</v>
      </c>
      <c r="AX19" s="12">
        <v>1</v>
      </c>
      <c r="AY19" s="12">
        <v>1</v>
      </c>
      <c r="AZ19" s="12">
        <v>1</v>
      </c>
      <c r="BA19" s="12">
        <v>1</v>
      </c>
      <c r="BB19" s="18">
        <v>1</v>
      </c>
      <c r="BC19" s="12">
        <v>1</v>
      </c>
      <c r="BD19" s="12">
        <v>1</v>
      </c>
      <c r="BE19" s="12">
        <v>1</v>
      </c>
      <c r="BF19" s="12">
        <v>1</v>
      </c>
      <c r="BG19" s="12">
        <v>1</v>
      </c>
      <c r="BH19" s="12">
        <v>1</v>
      </c>
      <c r="BI19" s="12">
        <v>1</v>
      </c>
      <c r="BJ19" s="18">
        <v>1</v>
      </c>
    </row>
    <row r="20" spans="1:62" ht="25" customHeight="1">
      <c r="A20" s="13" t="s">
        <v>416</v>
      </c>
      <c r="J20" s="29"/>
      <c r="K20" s="447"/>
      <c r="L20" s="447"/>
      <c r="M20" s="18"/>
      <c r="R20" s="447"/>
      <c r="S20" s="447"/>
      <c r="Z20" s="18"/>
      <c r="AE20" s="12">
        <v>1</v>
      </c>
      <c r="AF20" s="12">
        <v>1</v>
      </c>
      <c r="AG20" s="12">
        <v>1</v>
      </c>
      <c r="AH20" s="12">
        <v>1</v>
      </c>
      <c r="AI20" s="12">
        <v>1</v>
      </c>
      <c r="AJ20" s="12">
        <v>1</v>
      </c>
      <c r="AK20" s="12">
        <v>1</v>
      </c>
      <c r="AL20" s="12">
        <v>1</v>
      </c>
      <c r="AM20" s="12">
        <v>1</v>
      </c>
      <c r="AN20" s="12">
        <v>1</v>
      </c>
      <c r="AO20" s="12">
        <v>1</v>
      </c>
      <c r="AP20" s="18">
        <v>1</v>
      </c>
      <c r="AQ20" s="12">
        <v>1</v>
      </c>
      <c r="AR20" s="12">
        <v>1</v>
      </c>
      <c r="AS20" s="12">
        <v>1</v>
      </c>
      <c r="AT20" s="12">
        <v>1</v>
      </c>
      <c r="AU20" s="12">
        <v>1</v>
      </c>
      <c r="AV20" s="12">
        <v>1</v>
      </c>
      <c r="AW20" s="12">
        <v>1</v>
      </c>
      <c r="AX20" s="12">
        <v>1</v>
      </c>
      <c r="AY20" s="12">
        <v>1</v>
      </c>
      <c r="AZ20" s="12">
        <v>1</v>
      </c>
      <c r="BA20" s="12">
        <v>1</v>
      </c>
      <c r="BB20" s="18">
        <v>1</v>
      </c>
      <c r="BC20" s="12">
        <v>1</v>
      </c>
      <c r="BD20" s="12">
        <v>1</v>
      </c>
      <c r="BE20" s="12">
        <v>1</v>
      </c>
      <c r="BF20" s="12">
        <v>1</v>
      </c>
      <c r="BG20" s="12">
        <v>1</v>
      </c>
      <c r="BH20" s="12">
        <v>1</v>
      </c>
      <c r="BI20" s="12">
        <v>1</v>
      </c>
      <c r="BJ20" s="18">
        <v>1</v>
      </c>
    </row>
    <row r="21" spans="1:62" ht="25" customHeight="1">
      <c r="A21" s="452" t="s">
        <v>417</v>
      </c>
      <c r="B21" s="453"/>
      <c r="C21" s="453"/>
      <c r="D21" s="453"/>
      <c r="E21" s="453"/>
      <c r="F21" s="453"/>
      <c r="G21" s="453"/>
      <c r="H21" s="453"/>
      <c r="I21" s="453"/>
      <c r="J21" s="453"/>
      <c r="K21" s="454"/>
      <c r="L21" s="454"/>
      <c r="M21" s="455"/>
      <c r="N21" s="453">
        <v>1</v>
      </c>
      <c r="O21" s="453">
        <v>1</v>
      </c>
      <c r="P21" s="453">
        <v>1</v>
      </c>
      <c r="Q21" s="453">
        <v>1</v>
      </c>
      <c r="R21" s="453">
        <v>1</v>
      </c>
      <c r="S21" s="453">
        <v>1</v>
      </c>
      <c r="T21" s="453">
        <v>1</v>
      </c>
      <c r="U21" s="453">
        <v>1</v>
      </c>
      <c r="V21" s="453">
        <v>1</v>
      </c>
      <c r="W21" s="453">
        <v>1</v>
      </c>
      <c r="X21" s="453">
        <v>1</v>
      </c>
      <c r="Y21" s="453">
        <v>1</v>
      </c>
      <c r="Z21" s="455">
        <v>1</v>
      </c>
      <c r="AA21" s="453">
        <v>1</v>
      </c>
      <c r="AB21" s="453">
        <v>1</v>
      </c>
      <c r="AC21" s="453">
        <v>1</v>
      </c>
      <c r="AD21" s="453">
        <v>1</v>
      </c>
      <c r="AE21" s="453">
        <v>1</v>
      </c>
      <c r="AF21" s="453">
        <v>1</v>
      </c>
      <c r="AG21" s="453">
        <v>1</v>
      </c>
      <c r="AH21" s="453">
        <v>1</v>
      </c>
      <c r="AI21" s="453">
        <v>1</v>
      </c>
      <c r="AJ21" s="453">
        <v>1</v>
      </c>
      <c r="AK21" s="453">
        <v>1</v>
      </c>
      <c r="AL21" s="453">
        <v>1</v>
      </c>
      <c r="AM21" s="453">
        <v>1</v>
      </c>
      <c r="AN21" s="453">
        <v>1</v>
      </c>
      <c r="AO21" s="453">
        <v>1</v>
      </c>
      <c r="AP21" s="455">
        <v>1</v>
      </c>
      <c r="AQ21" s="453">
        <v>1</v>
      </c>
      <c r="AR21" s="453">
        <v>1</v>
      </c>
      <c r="AS21" s="453">
        <v>1</v>
      </c>
      <c r="AT21" s="453">
        <v>1</v>
      </c>
      <c r="AU21" s="453">
        <v>1</v>
      </c>
      <c r="AV21" s="453">
        <v>1</v>
      </c>
      <c r="AW21" s="453">
        <v>1</v>
      </c>
      <c r="AX21" s="453">
        <v>1</v>
      </c>
      <c r="AY21" s="453">
        <v>1</v>
      </c>
      <c r="AZ21" s="453">
        <v>1</v>
      </c>
      <c r="BA21" s="453">
        <v>1</v>
      </c>
      <c r="BB21" s="455">
        <v>1</v>
      </c>
      <c r="BC21" s="453">
        <v>1</v>
      </c>
      <c r="BD21" s="453">
        <v>1</v>
      </c>
      <c r="BE21" s="453">
        <v>1</v>
      </c>
      <c r="BF21" s="453">
        <v>1</v>
      </c>
      <c r="BG21" s="453">
        <v>1</v>
      </c>
      <c r="BH21" s="453">
        <v>1</v>
      </c>
      <c r="BI21" s="453">
        <v>1</v>
      </c>
      <c r="BJ21" s="455">
        <v>1</v>
      </c>
    </row>
    <row r="22" spans="1:62" ht="25" customHeight="1">
      <c r="A22" s="452" t="s">
        <v>418</v>
      </c>
      <c r="B22" s="453"/>
      <c r="C22" s="453"/>
      <c r="D22" s="453"/>
      <c r="E22" s="453"/>
      <c r="F22" s="453"/>
      <c r="G22" s="453"/>
      <c r="H22" s="453"/>
      <c r="I22" s="453"/>
      <c r="J22" s="453"/>
      <c r="K22" s="454"/>
      <c r="L22" s="454"/>
      <c r="M22" s="455"/>
      <c r="N22" s="453">
        <v>1</v>
      </c>
      <c r="O22" s="453">
        <v>1</v>
      </c>
      <c r="P22" s="453">
        <v>1</v>
      </c>
      <c r="Q22" s="453">
        <v>1</v>
      </c>
      <c r="R22" s="453">
        <v>1</v>
      </c>
      <c r="S22" s="453">
        <v>1</v>
      </c>
      <c r="T22" s="453">
        <v>1</v>
      </c>
      <c r="U22" s="453">
        <v>1</v>
      </c>
      <c r="V22" s="453">
        <v>1</v>
      </c>
      <c r="W22" s="453">
        <v>1</v>
      </c>
      <c r="X22" s="453">
        <v>1</v>
      </c>
      <c r="Y22" s="453">
        <v>1</v>
      </c>
      <c r="Z22" s="455">
        <v>1</v>
      </c>
      <c r="AA22" s="453">
        <v>1</v>
      </c>
      <c r="AB22" s="453">
        <v>1</v>
      </c>
      <c r="AC22" s="453">
        <v>1</v>
      </c>
      <c r="AD22" s="453">
        <v>1</v>
      </c>
      <c r="AE22" s="453">
        <v>1</v>
      </c>
      <c r="AF22" s="453">
        <v>1</v>
      </c>
      <c r="AG22" s="453">
        <v>1</v>
      </c>
      <c r="AH22" s="453">
        <v>1</v>
      </c>
      <c r="AI22" s="453">
        <v>1</v>
      </c>
      <c r="AJ22" s="453">
        <v>1</v>
      </c>
      <c r="AK22" s="453">
        <v>1</v>
      </c>
      <c r="AL22" s="453">
        <v>1</v>
      </c>
      <c r="AM22" s="453">
        <v>1</v>
      </c>
      <c r="AN22" s="453">
        <v>1</v>
      </c>
      <c r="AO22" s="453">
        <v>1</v>
      </c>
      <c r="AP22" s="455">
        <v>1</v>
      </c>
      <c r="AQ22" s="453">
        <v>1</v>
      </c>
      <c r="AR22" s="453">
        <v>1</v>
      </c>
      <c r="AS22" s="453">
        <v>1</v>
      </c>
      <c r="AT22" s="453">
        <v>1</v>
      </c>
      <c r="AU22" s="453">
        <v>1</v>
      </c>
      <c r="AV22" s="453">
        <v>1</v>
      </c>
      <c r="AW22" s="453">
        <v>1</v>
      </c>
      <c r="AX22" s="453">
        <v>1</v>
      </c>
      <c r="AY22" s="453">
        <v>1</v>
      </c>
      <c r="AZ22" s="453">
        <v>1</v>
      </c>
      <c r="BA22" s="453">
        <v>1</v>
      </c>
      <c r="BB22" s="455">
        <v>1</v>
      </c>
      <c r="BC22" s="453">
        <v>1</v>
      </c>
      <c r="BD22" s="453">
        <v>1</v>
      </c>
      <c r="BE22" s="453">
        <v>1</v>
      </c>
      <c r="BF22" s="453">
        <v>1</v>
      </c>
      <c r="BG22" s="453">
        <v>1</v>
      </c>
      <c r="BH22" s="453">
        <v>1</v>
      </c>
      <c r="BI22" s="453">
        <v>1</v>
      </c>
      <c r="BJ22" s="455">
        <v>1</v>
      </c>
    </row>
    <row r="23" spans="1:62" ht="25" customHeight="1">
      <c r="A23" s="452" t="s">
        <v>419</v>
      </c>
      <c r="B23" s="453"/>
      <c r="C23" s="453"/>
      <c r="D23" s="453"/>
      <c r="E23" s="453"/>
      <c r="F23" s="453"/>
      <c r="G23" s="453"/>
      <c r="H23" s="453"/>
      <c r="I23" s="453"/>
      <c r="J23" s="453"/>
      <c r="K23" s="454"/>
      <c r="L23" s="454"/>
      <c r="M23" s="455"/>
      <c r="N23" s="453"/>
      <c r="O23" s="453"/>
      <c r="P23" s="453"/>
      <c r="Q23" s="453"/>
      <c r="R23" s="454"/>
      <c r="S23" s="454"/>
      <c r="T23" s="453"/>
      <c r="U23" s="453"/>
      <c r="V23" s="453"/>
      <c r="W23" s="453"/>
      <c r="X23" s="453"/>
      <c r="Y23" s="453"/>
      <c r="Z23" s="455"/>
      <c r="AA23" s="453"/>
      <c r="AB23" s="453"/>
      <c r="AC23" s="453"/>
      <c r="AD23" s="453"/>
      <c r="AE23" s="453"/>
      <c r="AF23" s="453"/>
      <c r="AG23" s="453"/>
      <c r="AH23" s="453"/>
      <c r="AI23" s="453"/>
      <c r="AJ23" s="453"/>
      <c r="AK23" s="453"/>
      <c r="AL23" s="453"/>
      <c r="AM23" s="453"/>
      <c r="AN23" s="453"/>
      <c r="AO23" s="453"/>
      <c r="AP23" s="455"/>
      <c r="AQ23" s="453"/>
      <c r="AR23" s="453"/>
      <c r="AS23" s="453"/>
      <c r="AT23" s="453"/>
      <c r="AU23" s="453"/>
      <c r="AV23" s="453"/>
      <c r="AW23" s="453"/>
      <c r="AX23" s="453"/>
      <c r="AY23" s="453"/>
      <c r="AZ23" s="453"/>
      <c r="BA23" s="453"/>
      <c r="BB23" s="455"/>
      <c r="BC23" s="453"/>
      <c r="BD23" s="453"/>
      <c r="BE23" s="453"/>
      <c r="BF23" s="453"/>
      <c r="BG23" s="453"/>
      <c r="BH23" s="453"/>
      <c r="BI23" s="453"/>
      <c r="BJ23" s="455"/>
    </row>
    <row r="24" spans="1:62" ht="25" customHeight="1">
      <c r="A24" s="13" t="s">
        <v>79</v>
      </c>
      <c r="J24" s="29"/>
      <c r="K24" s="447"/>
      <c r="L24" s="447"/>
      <c r="M24" s="18"/>
      <c r="R24" s="447"/>
      <c r="S24" s="447"/>
      <c r="Z24" s="18"/>
      <c r="AP24" s="18"/>
      <c r="BB24" s="18"/>
      <c r="BJ24" s="18"/>
    </row>
    <row r="25" spans="1:62" ht="25" customHeight="1">
      <c r="A25" s="13" t="s">
        <v>80</v>
      </c>
      <c r="J25" s="29"/>
      <c r="K25" s="447"/>
      <c r="L25" s="447"/>
      <c r="M25" s="18"/>
      <c r="R25" s="447"/>
      <c r="S25" s="447"/>
      <c r="Z25" s="18"/>
      <c r="AP25" s="18"/>
      <c r="BB25" s="18"/>
      <c r="BJ25" s="18"/>
    </row>
    <row r="26" spans="1:62" ht="25" customHeight="1">
      <c r="A26" s="13" t="s">
        <v>81</v>
      </c>
      <c r="J26" s="29"/>
      <c r="K26" s="447"/>
      <c r="L26" s="447"/>
      <c r="M26" s="18"/>
      <c r="R26" s="447"/>
      <c r="S26" s="447"/>
      <c r="Z26" s="18"/>
      <c r="AP26" s="18"/>
      <c r="BB26" s="18"/>
      <c r="BJ26" s="18"/>
    </row>
    <row r="27" spans="1:62" ht="25" customHeight="1">
      <c r="A27" s="13" t="s">
        <v>82</v>
      </c>
      <c r="J27" s="29"/>
      <c r="K27" s="447"/>
      <c r="L27" s="447"/>
      <c r="M27" s="18"/>
      <c r="R27" s="447"/>
      <c r="S27" s="447"/>
      <c r="Z27" s="18"/>
      <c r="AP27" s="18"/>
      <c r="BB27" s="18"/>
      <c r="BJ27" s="18"/>
    </row>
    <row r="28" spans="1:62" ht="25" customHeight="1">
      <c r="A28" s="13" t="s">
        <v>83</v>
      </c>
      <c r="J28" s="29"/>
      <c r="K28" s="447"/>
      <c r="L28" s="447"/>
      <c r="M28" s="18"/>
      <c r="R28" s="447"/>
      <c r="S28" s="447"/>
      <c r="Z28" s="18"/>
      <c r="AP28" s="18"/>
      <c r="BB28" s="18"/>
      <c r="BJ28" s="18"/>
    </row>
    <row r="29" spans="1:62" ht="25" customHeight="1">
      <c r="A29" s="13" t="s">
        <v>84</v>
      </c>
      <c r="J29" s="29"/>
      <c r="K29" s="447"/>
      <c r="L29" s="447"/>
      <c r="M29" s="18"/>
      <c r="R29" s="447"/>
      <c r="S29" s="447"/>
      <c r="Z29" s="18"/>
      <c r="AP29" s="18"/>
      <c r="BB29" s="18"/>
      <c r="BJ29" s="18"/>
    </row>
    <row r="30" spans="1:62" ht="25" customHeight="1">
      <c r="A30" s="13" t="s">
        <v>90</v>
      </c>
      <c r="J30" s="29"/>
      <c r="K30" s="447"/>
      <c r="L30" s="447"/>
      <c r="M30" s="18"/>
      <c r="R30" s="447"/>
      <c r="S30" s="447"/>
      <c r="Z30" s="18"/>
      <c r="AP30" s="18"/>
      <c r="BB30" s="18"/>
      <c r="BJ30" s="18"/>
    </row>
    <row r="31" spans="1:62" ht="25" customHeight="1">
      <c r="A31" s="13" t="s">
        <v>91</v>
      </c>
      <c r="J31" s="29"/>
      <c r="K31" s="447"/>
      <c r="L31" s="447"/>
      <c r="M31" s="18"/>
      <c r="R31" s="447"/>
      <c r="S31" s="447"/>
      <c r="Z31" s="18"/>
      <c r="AP31" s="18"/>
      <c r="BB31" s="18"/>
      <c r="BJ31" s="18"/>
    </row>
    <row r="32" spans="1:62" ht="25" customHeight="1">
      <c r="A32" s="13" t="s">
        <v>92</v>
      </c>
      <c r="J32" s="29"/>
      <c r="K32" s="447"/>
      <c r="L32" s="447"/>
      <c r="M32" s="18"/>
      <c r="R32" s="447"/>
      <c r="S32" s="447"/>
      <c r="Z32" s="18"/>
      <c r="AP32" s="18"/>
      <c r="BB32" s="18"/>
      <c r="BJ32" s="18"/>
    </row>
    <row r="33" spans="1:62" ht="25" customHeight="1">
      <c r="A33" s="13" t="s">
        <v>93</v>
      </c>
      <c r="J33" s="29"/>
      <c r="K33" s="447"/>
      <c r="L33" s="447"/>
      <c r="M33" s="18"/>
      <c r="R33" s="447"/>
      <c r="S33" s="447"/>
      <c r="Z33" s="18"/>
      <c r="AP33" s="18"/>
      <c r="BB33" s="18"/>
      <c r="BJ33" s="18"/>
    </row>
  </sheetData>
  <phoneticPr fontId="14"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54B515-872B-E343-A99C-83B9EABEA6B8}">
  <sheetPr>
    <pageSetUpPr fitToPage="1"/>
  </sheetPr>
  <dimension ref="A1:HG590"/>
  <sheetViews>
    <sheetView tabSelected="1" zoomScale="50" zoomScaleNormal="59" zoomScaleSheetLayoutView="37" zoomScalePageLayoutView="75" workbookViewId="0">
      <selection activeCell="M122" sqref="M122:W122"/>
    </sheetView>
  </sheetViews>
  <sheetFormatPr baseColWidth="10" defaultColWidth="0" defaultRowHeight="0" customHeight="1" zeroHeight="1"/>
  <cols>
    <col min="1" max="1" width="25.5" style="34" customWidth="1"/>
    <col min="2" max="2" width="11.83203125" style="34" customWidth="1"/>
    <col min="3" max="3" width="25.5" style="34" customWidth="1"/>
    <col min="4" max="4" width="10.83203125" style="34" customWidth="1"/>
    <col min="5" max="9" width="9.1640625" style="34" customWidth="1"/>
    <col min="10" max="10" width="4" style="36" customWidth="1"/>
    <col min="11" max="11" width="7.33203125" style="36" customWidth="1"/>
    <col min="12" max="17" width="8.83203125" style="36" customWidth="1"/>
    <col min="18" max="18" width="1.83203125" style="36" customWidth="1"/>
    <col min="19" max="19" width="5" style="36" customWidth="1"/>
    <col min="20" max="20" width="1.6640625" style="136" customWidth="1"/>
    <col min="21" max="26" width="8.83203125" style="36" customWidth="1"/>
    <col min="27" max="27" width="1.6640625" style="136" customWidth="1"/>
    <col min="28" max="28" width="5.1640625" style="36" customWidth="1"/>
    <col min="29" max="29" width="1.6640625" style="136" customWidth="1"/>
    <col min="30" max="35" width="8.83203125" style="36" customWidth="1"/>
    <col min="36" max="36" width="1.6640625" style="136" customWidth="1"/>
    <col min="37" max="37" width="5" style="36" customWidth="1"/>
    <col min="38" max="38" width="1.6640625" style="136" customWidth="1"/>
    <col min="39" max="44" width="8.83203125" style="36" customWidth="1"/>
    <col min="45" max="45" width="1.6640625" style="36" customWidth="1"/>
    <col min="46" max="46" width="5" style="36" customWidth="1"/>
    <col min="47" max="47" width="1.6640625" style="136" customWidth="1"/>
    <col min="48" max="53" width="8.83203125" style="36" customWidth="1"/>
    <col min="54" max="54" width="1.6640625" style="136" customWidth="1"/>
    <col min="55" max="55" width="1.83203125" style="36" customWidth="1"/>
    <col min="56" max="57" width="3" style="36" customWidth="1"/>
    <col min="58" max="88" width="9" style="36" customWidth="1"/>
    <col min="89" max="89" width="9" style="136" customWidth="1"/>
    <col min="90" max="94" width="9" style="34" customWidth="1"/>
    <col min="95" max="95" width="9" style="35" customWidth="1"/>
    <col min="96" max="101" width="9" style="34" customWidth="1"/>
    <col min="102" max="107" width="9" style="36" customWidth="1"/>
    <col min="108" max="114" width="9" style="34" customWidth="1"/>
    <col min="115" max="173" width="9.1640625" style="34" customWidth="1"/>
    <col min="174" max="184" width="9.1640625" style="36" hidden="1" customWidth="1"/>
    <col min="185" max="215" width="0" style="36" hidden="1" customWidth="1"/>
    <col min="216" max="16384" width="9.1640625" style="36" hidden="1"/>
  </cols>
  <sheetData>
    <row r="1" spans="1:183" ht="15">
      <c r="J1" s="34"/>
      <c r="K1" s="34"/>
      <c r="L1" s="34"/>
      <c r="M1" s="34"/>
      <c r="N1" s="34"/>
      <c r="O1" s="34"/>
      <c r="P1" s="34"/>
      <c r="Q1" s="34"/>
      <c r="R1" s="34"/>
      <c r="S1" s="34"/>
      <c r="T1" s="34"/>
      <c r="U1" s="34"/>
      <c r="V1" s="34"/>
      <c r="W1" s="34"/>
      <c r="X1" s="34"/>
      <c r="Y1" s="34"/>
      <c r="Z1" s="34"/>
      <c r="AA1" s="34"/>
      <c r="AB1" s="34"/>
      <c r="AC1" s="34"/>
      <c r="AD1" s="34"/>
      <c r="AE1" s="34"/>
      <c r="AF1" s="34"/>
      <c r="AG1" s="34"/>
      <c r="AH1" s="34"/>
      <c r="AI1" s="34"/>
      <c r="AJ1" s="34"/>
      <c r="AK1" s="34"/>
      <c r="AL1" s="34"/>
      <c r="AM1" s="34"/>
      <c r="AN1" s="34"/>
      <c r="AO1" s="34"/>
      <c r="AP1" s="34"/>
      <c r="AQ1" s="34"/>
      <c r="AR1" s="34"/>
      <c r="AS1" s="34"/>
      <c r="AT1" s="34"/>
      <c r="AU1" s="34"/>
      <c r="AV1" s="34"/>
      <c r="AW1" s="34"/>
      <c r="AX1" s="34"/>
      <c r="AY1" s="34"/>
      <c r="AZ1" s="34"/>
      <c r="BA1" s="34"/>
      <c r="BB1" s="34"/>
      <c r="BC1" s="34"/>
      <c r="BD1" s="34"/>
      <c r="BE1" s="34"/>
      <c r="BF1" s="34"/>
      <c r="BG1" s="34"/>
      <c r="BH1" s="34"/>
      <c r="BI1" s="34"/>
      <c r="BJ1" s="34"/>
      <c r="BK1" s="34"/>
      <c r="BL1" s="34"/>
      <c r="BM1" s="34"/>
      <c r="BN1" s="34"/>
      <c r="BO1" s="34"/>
      <c r="BP1" s="34"/>
      <c r="BQ1" s="34"/>
      <c r="BR1" s="34"/>
      <c r="BS1" s="34"/>
      <c r="BT1" s="34"/>
      <c r="BU1" s="34"/>
      <c r="BV1" s="34"/>
      <c r="BW1" s="34"/>
      <c r="BX1" s="34"/>
      <c r="BY1" s="34"/>
      <c r="BZ1" s="34"/>
      <c r="CA1" s="34"/>
      <c r="CB1" s="34"/>
      <c r="CC1" s="34"/>
      <c r="CD1" s="34"/>
      <c r="CE1" s="34"/>
      <c r="CF1" s="34"/>
      <c r="CG1" s="34"/>
      <c r="CH1" s="34"/>
      <c r="CI1" s="34"/>
      <c r="CJ1" s="34"/>
      <c r="CK1" s="34"/>
      <c r="CX1" s="34"/>
      <c r="CY1" s="34"/>
      <c r="CZ1" s="34"/>
      <c r="DA1" s="34"/>
      <c r="DB1" s="34"/>
      <c r="DC1" s="34"/>
    </row>
    <row r="2" spans="1:183" ht="23" customHeight="1">
      <c r="A2" s="37" t="s">
        <v>217</v>
      </c>
      <c r="B2" s="38"/>
      <c r="C2" s="38"/>
      <c r="D2" s="39" t="s">
        <v>218</v>
      </c>
      <c r="E2" s="39"/>
      <c r="F2" s="39"/>
      <c r="G2" s="39"/>
      <c r="H2" s="39"/>
      <c r="I2" s="39"/>
      <c r="J2" s="39"/>
      <c r="K2" s="39"/>
      <c r="L2" s="39"/>
      <c r="M2" s="39"/>
      <c r="N2" s="39"/>
      <c r="O2" s="39"/>
      <c r="P2" s="39"/>
      <c r="Q2" s="39"/>
      <c r="R2" s="39"/>
      <c r="S2" s="39"/>
      <c r="T2" s="39"/>
      <c r="U2" s="39"/>
      <c r="V2" s="39"/>
      <c r="W2" s="39"/>
      <c r="X2" s="37" t="s">
        <v>219</v>
      </c>
      <c r="Y2" s="38"/>
      <c r="Z2" s="38"/>
      <c r="AA2" s="38"/>
      <c r="AB2" s="38"/>
      <c r="AC2" s="38"/>
      <c r="AD2" s="38"/>
      <c r="AE2" s="38"/>
      <c r="AF2" s="38"/>
      <c r="AG2" s="38"/>
      <c r="AH2" s="38"/>
      <c r="AI2" s="38"/>
      <c r="AJ2" s="38"/>
      <c r="AK2" s="38"/>
      <c r="AL2" s="38"/>
      <c r="AM2" s="38"/>
      <c r="AN2" s="38"/>
      <c r="AO2" s="38"/>
      <c r="AP2" s="38"/>
      <c r="AQ2" s="38"/>
      <c r="AR2" s="38"/>
      <c r="AS2" s="38"/>
      <c r="AT2" s="38"/>
      <c r="AU2" s="38"/>
      <c r="AV2" s="38"/>
      <c r="AW2" s="38"/>
      <c r="AX2" s="38"/>
      <c r="AY2" s="38"/>
      <c r="AZ2" s="38"/>
      <c r="BA2" s="38"/>
      <c r="BB2" s="40"/>
      <c r="BC2" s="34"/>
      <c r="BD2" s="34"/>
      <c r="BE2" s="34"/>
      <c r="BF2" s="37" t="s">
        <v>220</v>
      </c>
      <c r="BG2" s="38"/>
      <c r="BH2" s="38"/>
      <c r="BI2" s="38"/>
      <c r="BJ2" s="38"/>
      <c r="BK2" s="38"/>
      <c r="BL2" s="38"/>
      <c r="BM2" s="38"/>
      <c r="BN2" s="38"/>
      <c r="BO2" s="38"/>
      <c r="BP2" s="38"/>
      <c r="BQ2" s="38"/>
      <c r="BR2" s="38"/>
      <c r="BS2" s="38"/>
      <c r="BT2" s="38"/>
      <c r="BU2" s="40"/>
      <c r="BV2" s="34"/>
      <c r="BW2" s="34"/>
      <c r="BX2" s="34"/>
      <c r="BY2" s="34"/>
      <c r="BZ2" s="34"/>
      <c r="CA2" s="34"/>
      <c r="CB2" s="34"/>
      <c r="CC2" s="34"/>
      <c r="CD2" s="34"/>
      <c r="CE2" s="34"/>
      <c r="CF2" s="34"/>
      <c r="CG2" s="34"/>
      <c r="CH2" s="34"/>
      <c r="CI2" s="34"/>
      <c r="CJ2" s="34"/>
      <c r="CK2" s="34"/>
      <c r="CX2" s="34"/>
      <c r="CY2" s="34"/>
      <c r="CZ2" s="34"/>
      <c r="DA2" s="34"/>
      <c r="DB2" s="34"/>
      <c r="DC2" s="34"/>
    </row>
    <row r="3" spans="1:183" ht="23" customHeight="1">
      <c r="A3" s="41">
        <v>1</v>
      </c>
      <c r="B3" s="42"/>
      <c r="C3" s="42"/>
      <c r="D3" s="43"/>
      <c r="E3" s="44"/>
      <c r="F3" s="44"/>
      <c r="G3" s="44"/>
      <c r="H3" s="44"/>
      <c r="I3" s="44"/>
      <c r="J3" s="44"/>
      <c r="K3" s="44"/>
      <c r="L3" s="44"/>
      <c r="M3" s="44"/>
      <c r="N3" s="44"/>
      <c r="O3" s="44"/>
      <c r="P3" s="44"/>
      <c r="Q3" s="44"/>
      <c r="R3" s="44"/>
      <c r="S3" s="44"/>
      <c r="T3" s="44"/>
      <c r="U3" s="44"/>
      <c r="V3" s="44"/>
      <c r="W3" s="44"/>
      <c r="X3" s="45"/>
      <c r="Y3" s="42"/>
      <c r="Z3" s="42"/>
      <c r="AA3" s="42"/>
      <c r="AB3" s="42"/>
      <c r="AC3" s="42"/>
      <c r="AD3" s="42"/>
      <c r="AE3" s="42"/>
      <c r="AF3" s="42"/>
      <c r="AG3" s="42"/>
      <c r="AH3" s="42"/>
      <c r="AI3" s="42"/>
      <c r="AJ3" s="42"/>
      <c r="AK3" s="42"/>
      <c r="AL3" s="42"/>
      <c r="AM3" s="42"/>
      <c r="AN3" s="42"/>
      <c r="AO3" s="42"/>
      <c r="AP3" s="42"/>
      <c r="AQ3" s="42"/>
      <c r="AR3" s="42"/>
      <c r="AS3" s="42"/>
      <c r="AT3" s="42"/>
      <c r="AU3" s="42"/>
      <c r="AV3" s="42"/>
      <c r="AW3" s="42"/>
      <c r="AX3" s="42"/>
      <c r="AY3" s="42"/>
      <c r="AZ3" s="42"/>
      <c r="BA3" s="42"/>
      <c r="BB3" s="46"/>
      <c r="BC3" s="47"/>
      <c r="BD3" s="34"/>
      <c r="BE3" s="34"/>
      <c r="BF3" s="41">
        <v>1</v>
      </c>
      <c r="BG3" s="48"/>
      <c r="BH3" s="48"/>
      <c r="BI3" s="48"/>
      <c r="BJ3" s="48"/>
      <c r="BK3" s="48"/>
      <c r="BL3" s="48"/>
      <c r="BM3" s="48"/>
      <c r="BN3" s="48"/>
      <c r="BO3" s="48"/>
      <c r="BP3" s="48"/>
      <c r="BQ3" s="48"/>
      <c r="BR3" s="48"/>
      <c r="BS3" s="48"/>
      <c r="BT3" s="48"/>
      <c r="BU3" s="49"/>
      <c r="BV3" s="34"/>
      <c r="BW3" s="34"/>
      <c r="BX3" s="34"/>
      <c r="BY3" s="34"/>
      <c r="BZ3" s="34"/>
      <c r="CA3" s="34"/>
      <c r="CB3" s="34"/>
      <c r="CC3" s="34"/>
      <c r="CD3" s="34"/>
      <c r="CE3" s="34"/>
      <c r="CF3" s="34"/>
      <c r="CG3" s="34"/>
      <c r="CH3" s="34"/>
      <c r="CI3" s="34"/>
      <c r="CJ3" s="34"/>
      <c r="CK3" s="34"/>
      <c r="CX3" s="34"/>
      <c r="CY3" s="34"/>
      <c r="CZ3" s="34"/>
      <c r="DA3" s="34"/>
      <c r="DB3" s="34"/>
      <c r="DC3" s="34"/>
    </row>
    <row r="4" spans="1:183" ht="23" customHeight="1">
      <c r="A4" s="50">
        <v>2</v>
      </c>
      <c r="B4" s="51"/>
      <c r="C4" s="51"/>
      <c r="D4" s="43"/>
      <c r="E4" s="44"/>
      <c r="F4" s="44"/>
      <c r="G4" s="44"/>
      <c r="H4" s="44"/>
      <c r="I4" s="44"/>
      <c r="J4" s="44"/>
      <c r="K4" s="44"/>
      <c r="L4" s="44"/>
      <c r="M4" s="44"/>
      <c r="N4" s="44"/>
      <c r="O4" s="44"/>
      <c r="P4" s="44"/>
      <c r="Q4" s="44"/>
      <c r="R4" s="44"/>
      <c r="S4" s="44"/>
      <c r="T4" s="44"/>
      <c r="U4" s="44"/>
      <c r="V4" s="44"/>
      <c r="W4" s="44"/>
      <c r="X4" s="52"/>
      <c r="Y4" s="51"/>
      <c r="Z4" s="51"/>
      <c r="AA4" s="51"/>
      <c r="AB4" s="51"/>
      <c r="AC4" s="51"/>
      <c r="AD4" s="51"/>
      <c r="AE4" s="51"/>
      <c r="AF4" s="51"/>
      <c r="AG4" s="51"/>
      <c r="AH4" s="51"/>
      <c r="AI4" s="51"/>
      <c r="AJ4" s="51"/>
      <c r="AK4" s="51"/>
      <c r="AL4" s="51"/>
      <c r="AM4" s="51"/>
      <c r="AN4" s="51"/>
      <c r="AO4" s="51"/>
      <c r="AP4" s="51"/>
      <c r="AQ4" s="51"/>
      <c r="AR4" s="51"/>
      <c r="AS4" s="51"/>
      <c r="AT4" s="51"/>
      <c r="AU4" s="51"/>
      <c r="AV4" s="51"/>
      <c r="AW4" s="51"/>
      <c r="AX4" s="51"/>
      <c r="AY4" s="51"/>
      <c r="AZ4" s="51"/>
      <c r="BA4" s="51"/>
      <c r="BB4" s="53"/>
      <c r="BC4" s="47"/>
      <c r="BD4" s="34"/>
      <c r="BE4" s="34"/>
      <c r="BF4" s="50">
        <v>2</v>
      </c>
      <c r="BG4" s="44"/>
      <c r="BH4" s="44"/>
      <c r="BI4" s="44"/>
      <c r="BJ4" s="44"/>
      <c r="BK4" s="44"/>
      <c r="BL4" s="44"/>
      <c r="BM4" s="44"/>
      <c r="BN4" s="44"/>
      <c r="BO4" s="44"/>
      <c r="BP4" s="44"/>
      <c r="BQ4" s="44"/>
      <c r="BR4" s="44"/>
      <c r="BS4" s="44"/>
      <c r="BT4" s="44"/>
      <c r="BU4" s="54"/>
      <c r="BV4" s="34"/>
      <c r="BW4" s="34"/>
      <c r="BX4" s="34"/>
      <c r="BY4" s="34"/>
      <c r="BZ4" s="34"/>
      <c r="CA4" s="34"/>
      <c r="CB4" s="34"/>
      <c r="CC4" s="34"/>
      <c r="CD4" s="34"/>
      <c r="CE4" s="34"/>
      <c r="CF4" s="34"/>
      <c r="CG4" s="34"/>
      <c r="CH4" s="34"/>
      <c r="CI4" s="34"/>
      <c r="CJ4" s="34"/>
      <c r="CK4" s="34"/>
      <c r="CX4" s="34"/>
      <c r="CY4" s="34"/>
      <c r="CZ4" s="34"/>
      <c r="DA4" s="34"/>
      <c r="DB4" s="34"/>
      <c r="DC4" s="34"/>
    </row>
    <row r="5" spans="1:183" ht="23" customHeight="1">
      <c r="A5" s="50">
        <v>3</v>
      </c>
      <c r="B5" s="51"/>
      <c r="C5" s="51"/>
      <c r="D5" s="43"/>
      <c r="E5" s="44"/>
      <c r="F5" s="44"/>
      <c r="G5" s="44"/>
      <c r="H5" s="44"/>
      <c r="I5" s="44"/>
      <c r="J5" s="44"/>
      <c r="K5" s="44"/>
      <c r="L5" s="44"/>
      <c r="M5" s="44"/>
      <c r="N5" s="44"/>
      <c r="O5" s="44"/>
      <c r="P5" s="44"/>
      <c r="Q5" s="44"/>
      <c r="R5" s="44"/>
      <c r="S5" s="44"/>
      <c r="T5" s="44"/>
      <c r="U5" s="44"/>
      <c r="V5" s="44"/>
      <c r="W5" s="44"/>
      <c r="X5" s="52"/>
      <c r="Y5" s="51"/>
      <c r="Z5" s="51"/>
      <c r="AA5" s="51"/>
      <c r="AB5" s="51"/>
      <c r="AC5" s="51"/>
      <c r="AD5" s="51"/>
      <c r="AE5" s="51"/>
      <c r="AF5" s="51"/>
      <c r="AG5" s="51"/>
      <c r="AH5" s="51"/>
      <c r="AI5" s="51"/>
      <c r="AJ5" s="51"/>
      <c r="AK5" s="51"/>
      <c r="AL5" s="51"/>
      <c r="AM5" s="51"/>
      <c r="AN5" s="51"/>
      <c r="AO5" s="51"/>
      <c r="AP5" s="51"/>
      <c r="AQ5" s="51"/>
      <c r="AR5" s="51"/>
      <c r="AS5" s="51"/>
      <c r="AT5" s="51"/>
      <c r="AU5" s="51"/>
      <c r="AV5" s="51"/>
      <c r="AW5" s="51"/>
      <c r="AX5" s="51"/>
      <c r="AY5" s="51"/>
      <c r="AZ5" s="51"/>
      <c r="BA5" s="51"/>
      <c r="BB5" s="53"/>
      <c r="BC5" s="47"/>
      <c r="BD5" s="34"/>
      <c r="BE5" s="34"/>
      <c r="BF5" s="50">
        <v>3</v>
      </c>
      <c r="BG5" s="44"/>
      <c r="BH5" s="44"/>
      <c r="BI5" s="44"/>
      <c r="BJ5" s="44"/>
      <c r="BK5" s="44"/>
      <c r="BL5" s="44"/>
      <c r="BM5" s="44"/>
      <c r="BN5" s="44"/>
      <c r="BO5" s="44"/>
      <c r="BP5" s="44"/>
      <c r="BQ5" s="44"/>
      <c r="BR5" s="44"/>
      <c r="BS5" s="44"/>
      <c r="BT5" s="44"/>
      <c r="BU5" s="54"/>
      <c r="BV5" s="34"/>
      <c r="BW5" s="34"/>
      <c r="BX5" s="34"/>
      <c r="BY5" s="34"/>
      <c r="BZ5" s="34"/>
      <c r="CA5" s="34"/>
      <c r="CB5" s="34"/>
      <c r="CC5" s="34"/>
      <c r="CD5" s="34"/>
      <c r="CE5" s="34"/>
      <c r="CF5" s="34"/>
      <c r="CG5" s="34"/>
      <c r="CH5" s="34"/>
      <c r="CI5" s="34"/>
      <c r="CJ5" s="34"/>
      <c r="CK5" s="34"/>
      <c r="CX5" s="34"/>
      <c r="CY5" s="34"/>
      <c r="CZ5" s="34"/>
      <c r="DA5" s="34"/>
      <c r="DB5" s="34"/>
      <c r="DC5" s="34"/>
    </row>
    <row r="6" spans="1:183" ht="23" customHeight="1">
      <c r="A6" s="50">
        <v>4</v>
      </c>
      <c r="B6" s="51"/>
      <c r="C6" s="51"/>
      <c r="D6" s="43"/>
      <c r="E6" s="44"/>
      <c r="F6" s="44"/>
      <c r="G6" s="44"/>
      <c r="H6" s="44"/>
      <c r="I6" s="44"/>
      <c r="J6" s="44"/>
      <c r="K6" s="44"/>
      <c r="L6" s="44"/>
      <c r="M6" s="44"/>
      <c r="N6" s="44"/>
      <c r="O6" s="44"/>
      <c r="P6" s="44"/>
      <c r="Q6" s="44"/>
      <c r="R6" s="44"/>
      <c r="S6" s="44"/>
      <c r="T6" s="44"/>
      <c r="U6" s="44"/>
      <c r="V6" s="44"/>
      <c r="W6" s="44"/>
      <c r="X6" s="52"/>
      <c r="Y6" s="51"/>
      <c r="Z6" s="51"/>
      <c r="AA6" s="51"/>
      <c r="AB6" s="51"/>
      <c r="AC6" s="51"/>
      <c r="AD6" s="51"/>
      <c r="AE6" s="51"/>
      <c r="AF6" s="51"/>
      <c r="AG6" s="51"/>
      <c r="AH6" s="51"/>
      <c r="AI6" s="51"/>
      <c r="AJ6" s="51"/>
      <c r="AK6" s="51"/>
      <c r="AL6" s="51"/>
      <c r="AM6" s="51"/>
      <c r="AN6" s="51"/>
      <c r="AO6" s="51"/>
      <c r="AP6" s="51"/>
      <c r="AQ6" s="51"/>
      <c r="AR6" s="51"/>
      <c r="AS6" s="51"/>
      <c r="AT6" s="51"/>
      <c r="AU6" s="51"/>
      <c r="AV6" s="51"/>
      <c r="AW6" s="51"/>
      <c r="AX6" s="51"/>
      <c r="AY6" s="51"/>
      <c r="AZ6" s="51"/>
      <c r="BA6" s="51"/>
      <c r="BB6" s="53"/>
      <c r="BC6" s="47"/>
      <c r="BD6" s="34"/>
      <c r="BE6" s="34"/>
      <c r="BF6" s="50">
        <v>4</v>
      </c>
      <c r="BG6" s="44"/>
      <c r="BH6" s="44"/>
      <c r="BI6" s="44"/>
      <c r="BJ6" s="44"/>
      <c r="BK6" s="44"/>
      <c r="BL6" s="44"/>
      <c r="BM6" s="44"/>
      <c r="BN6" s="44"/>
      <c r="BO6" s="44"/>
      <c r="BP6" s="44"/>
      <c r="BQ6" s="44"/>
      <c r="BR6" s="44"/>
      <c r="BS6" s="44"/>
      <c r="BT6" s="44"/>
      <c r="BU6" s="54"/>
      <c r="BV6" s="34"/>
      <c r="BW6" s="34"/>
      <c r="BX6" s="34"/>
      <c r="BY6" s="34"/>
      <c r="BZ6" s="34"/>
      <c r="CA6" s="34"/>
      <c r="CB6" s="34"/>
      <c r="CC6" s="34"/>
      <c r="CD6" s="34"/>
      <c r="CE6" s="34"/>
      <c r="CF6" s="34"/>
      <c r="CG6" s="34"/>
      <c r="CH6" s="34"/>
      <c r="CI6" s="34"/>
      <c r="CJ6" s="34"/>
      <c r="CK6" s="34"/>
      <c r="CX6" s="34"/>
      <c r="CY6" s="34"/>
      <c r="CZ6" s="34"/>
      <c r="DA6" s="34"/>
      <c r="DB6" s="34"/>
      <c r="DC6" s="34"/>
    </row>
    <row r="7" spans="1:183" ht="23" customHeight="1">
      <c r="A7" s="50">
        <v>5</v>
      </c>
      <c r="B7" s="51"/>
      <c r="C7" s="51"/>
      <c r="D7" s="43"/>
      <c r="E7" s="44"/>
      <c r="F7" s="44"/>
      <c r="G7" s="44"/>
      <c r="H7" s="44"/>
      <c r="I7" s="44"/>
      <c r="J7" s="44"/>
      <c r="K7" s="44"/>
      <c r="L7" s="44"/>
      <c r="M7" s="44"/>
      <c r="N7" s="44"/>
      <c r="O7" s="44"/>
      <c r="P7" s="44"/>
      <c r="Q7" s="44"/>
      <c r="R7" s="44"/>
      <c r="S7" s="44"/>
      <c r="T7" s="44"/>
      <c r="U7" s="44"/>
      <c r="V7" s="44"/>
      <c r="W7" s="44"/>
      <c r="X7" s="52"/>
      <c r="Y7" s="51"/>
      <c r="Z7" s="51"/>
      <c r="AA7" s="51"/>
      <c r="AB7" s="51"/>
      <c r="AC7" s="51"/>
      <c r="AD7" s="51"/>
      <c r="AE7" s="51"/>
      <c r="AF7" s="51"/>
      <c r="AG7" s="51"/>
      <c r="AH7" s="51"/>
      <c r="AI7" s="51"/>
      <c r="AJ7" s="51"/>
      <c r="AK7" s="51"/>
      <c r="AL7" s="51"/>
      <c r="AM7" s="51"/>
      <c r="AN7" s="51"/>
      <c r="AO7" s="51"/>
      <c r="AP7" s="51"/>
      <c r="AQ7" s="51"/>
      <c r="AR7" s="51"/>
      <c r="AS7" s="51"/>
      <c r="AT7" s="51"/>
      <c r="AU7" s="51"/>
      <c r="AV7" s="51"/>
      <c r="AW7" s="51"/>
      <c r="AX7" s="51"/>
      <c r="AY7" s="51"/>
      <c r="AZ7" s="51"/>
      <c r="BA7" s="51"/>
      <c r="BB7" s="53"/>
      <c r="BC7" s="47"/>
      <c r="BD7" s="34"/>
      <c r="BE7" s="34"/>
      <c r="BF7" s="50">
        <v>5</v>
      </c>
      <c r="BG7" s="44"/>
      <c r="BH7" s="44"/>
      <c r="BI7" s="44"/>
      <c r="BJ7" s="44"/>
      <c r="BK7" s="44"/>
      <c r="BL7" s="44"/>
      <c r="BM7" s="44"/>
      <c r="BN7" s="44"/>
      <c r="BO7" s="44"/>
      <c r="BP7" s="44"/>
      <c r="BQ7" s="44"/>
      <c r="BR7" s="44"/>
      <c r="BS7" s="44"/>
      <c r="BT7" s="44"/>
      <c r="BU7" s="54"/>
      <c r="BV7" s="34"/>
      <c r="BW7" s="34"/>
      <c r="BX7" s="34"/>
      <c r="BY7" s="34"/>
      <c r="BZ7" s="34"/>
      <c r="CA7" s="34"/>
      <c r="CB7" s="34"/>
      <c r="CC7" s="34"/>
      <c r="CD7" s="34"/>
      <c r="CE7" s="34"/>
      <c r="CF7" s="34"/>
      <c r="CG7" s="34"/>
      <c r="CH7" s="34"/>
      <c r="CI7" s="34"/>
      <c r="CJ7" s="34"/>
      <c r="CK7" s="34"/>
      <c r="CX7" s="34"/>
      <c r="CY7" s="34"/>
      <c r="CZ7" s="34"/>
      <c r="DA7" s="34"/>
      <c r="DB7" s="34"/>
      <c r="DC7" s="34"/>
    </row>
    <row r="8" spans="1:183" ht="23" customHeight="1">
      <c r="A8" s="50">
        <v>6</v>
      </c>
      <c r="B8" s="51"/>
      <c r="C8" s="51"/>
      <c r="D8" s="43"/>
      <c r="E8" s="44"/>
      <c r="F8" s="44"/>
      <c r="G8" s="44"/>
      <c r="H8" s="44"/>
      <c r="I8" s="44"/>
      <c r="J8" s="44"/>
      <c r="K8" s="44"/>
      <c r="L8" s="44"/>
      <c r="M8" s="44"/>
      <c r="N8" s="44"/>
      <c r="O8" s="44"/>
      <c r="P8" s="44"/>
      <c r="Q8" s="44"/>
      <c r="R8" s="44"/>
      <c r="S8" s="44"/>
      <c r="T8" s="44"/>
      <c r="U8" s="44"/>
      <c r="V8" s="44"/>
      <c r="W8" s="44"/>
      <c r="X8" s="52"/>
      <c r="Y8" s="51"/>
      <c r="Z8" s="51"/>
      <c r="AA8" s="51"/>
      <c r="AB8" s="51"/>
      <c r="AC8" s="51"/>
      <c r="AD8" s="51"/>
      <c r="AE8" s="51"/>
      <c r="AF8" s="51"/>
      <c r="AG8" s="51"/>
      <c r="AH8" s="51"/>
      <c r="AI8" s="51"/>
      <c r="AJ8" s="51"/>
      <c r="AK8" s="51"/>
      <c r="AL8" s="51"/>
      <c r="AM8" s="51"/>
      <c r="AN8" s="51"/>
      <c r="AO8" s="51"/>
      <c r="AP8" s="51"/>
      <c r="AQ8" s="51"/>
      <c r="AR8" s="51"/>
      <c r="AS8" s="51"/>
      <c r="AT8" s="51"/>
      <c r="AU8" s="51"/>
      <c r="AV8" s="51"/>
      <c r="AW8" s="51"/>
      <c r="AX8" s="51"/>
      <c r="AY8" s="51"/>
      <c r="AZ8" s="51"/>
      <c r="BA8" s="51"/>
      <c r="BB8" s="53"/>
      <c r="BC8" s="47"/>
      <c r="BD8" s="34"/>
      <c r="BE8" s="34"/>
      <c r="BF8" s="50">
        <v>6</v>
      </c>
      <c r="BG8" s="44"/>
      <c r="BH8" s="44"/>
      <c r="BI8" s="44"/>
      <c r="BJ8" s="44"/>
      <c r="BK8" s="44"/>
      <c r="BL8" s="44"/>
      <c r="BM8" s="44"/>
      <c r="BN8" s="44"/>
      <c r="BO8" s="44"/>
      <c r="BP8" s="44"/>
      <c r="BQ8" s="44"/>
      <c r="BR8" s="44"/>
      <c r="BS8" s="44"/>
      <c r="BT8" s="44"/>
      <c r="BU8" s="54"/>
      <c r="BV8" s="34"/>
      <c r="BW8" s="34"/>
      <c r="BX8" s="34"/>
      <c r="BY8" s="34"/>
      <c r="BZ8" s="34"/>
      <c r="CA8" s="34"/>
      <c r="CB8" s="34"/>
      <c r="CC8" s="34"/>
      <c r="CD8" s="34"/>
      <c r="CE8" s="34"/>
      <c r="CF8" s="34"/>
      <c r="CG8" s="34"/>
      <c r="CH8" s="34"/>
      <c r="CI8" s="34"/>
      <c r="CJ8" s="34"/>
      <c r="CK8" s="34"/>
      <c r="CX8" s="34"/>
      <c r="CY8" s="34"/>
      <c r="CZ8" s="34"/>
      <c r="DA8" s="34"/>
      <c r="DB8" s="34"/>
      <c r="DC8" s="34"/>
    </row>
    <row r="9" spans="1:183" ht="23" customHeight="1">
      <c r="A9" s="55">
        <v>7</v>
      </c>
      <c r="B9" s="56"/>
      <c r="C9" s="56"/>
      <c r="D9" s="57"/>
      <c r="E9" s="58"/>
      <c r="F9" s="58"/>
      <c r="G9" s="58"/>
      <c r="H9" s="58"/>
      <c r="I9" s="58"/>
      <c r="J9" s="58"/>
      <c r="K9" s="58"/>
      <c r="L9" s="58"/>
      <c r="M9" s="58"/>
      <c r="N9" s="58"/>
      <c r="O9" s="58"/>
      <c r="P9" s="58"/>
      <c r="Q9" s="58"/>
      <c r="R9" s="58"/>
      <c r="S9" s="58"/>
      <c r="T9" s="58"/>
      <c r="U9" s="58"/>
      <c r="V9" s="58"/>
      <c r="W9" s="58"/>
      <c r="X9" s="59"/>
      <c r="Y9" s="56"/>
      <c r="Z9" s="56"/>
      <c r="AA9" s="56"/>
      <c r="AB9" s="56"/>
      <c r="AC9" s="56"/>
      <c r="AD9" s="56"/>
      <c r="AE9" s="56"/>
      <c r="AF9" s="56"/>
      <c r="AG9" s="56"/>
      <c r="AH9" s="56"/>
      <c r="AI9" s="56"/>
      <c r="AJ9" s="56"/>
      <c r="AK9" s="56"/>
      <c r="AL9" s="56"/>
      <c r="AM9" s="56"/>
      <c r="AN9" s="56"/>
      <c r="AO9" s="56"/>
      <c r="AP9" s="56"/>
      <c r="AQ9" s="56"/>
      <c r="AR9" s="56"/>
      <c r="AS9" s="56"/>
      <c r="AT9" s="56"/>
      <c r="AU9" s="56"/>
      <c r="AV9" s="56"/>
      <c r="AW9" s="56"/>
      <c r="AX9" s="56"/>
      <c r="AY9" s="56"/>
      <c r="AZ9" s="56"/>
      <c r="BA9" s="56"/>
      <c r="BB9" s="60"/>
      <c r="BC9" s="47"/>
      <c r="BD9" s="34"/>
      <c r="BE9" s="34"/>
      <c r="BF9" s="55">
        <v>7</v>
      </c>
      <c r="BG9" s="58"/>
      <c r="BH9" s="58"/>
      <c r="BI9" s="58"/>
      <c r="BJ9" s="58"/>
      <c r="BK9" s="58"/>
      <c r="BL9" s="58"/>
      <c r="BM9" s="58"/>
      <c r="BN9" s="58"/>
      <c r="BO9" s="58"/>
      <c r="BP9" s="58"/>
      <c r="BQ9" s="58"/>
      <c r="BR9" s="58"/>
      <c r="BS9" s="58"/>
      <c r="BT9" s="58"/>
      <c r="BU9" s="61"/>
      <c r="BV9" s="34"/>
      <c r="BW9" s="34"/>
      <c r="BX9" s="34"/>
      <c r="BY9" s="34"/>
      <c r="BZ9" s="34"/>
      <c r="CA9" s="34"/>
      <c r="CB9" s="34"/>
      <c r="CC9" s="34"/>
      <c r="CD9" s="34"/>
      <c r="CE9" s="34"/>
      <c r="CF9" s="34"/>
      <c r="CG9" s="34"/>
      <c r="CH9" s="34"/>
      <c r="CI9" s="34"/>
      <c r="CJ9" s="34"/>
      <c r="CK9" s="34"/>
      <c r="CX9" s="34"/>
      <c r="CY9" s="34"/>
      <c r="CZ9" s="34"/>
      <c r="DA9" s="34"/>
      <c r="DB9" s="34"/>
      <c r="DC9" s="34"/>
    </row>
    <row r="10" spans="1:183" s="34" customFormat="1" ht="15">
      <c r="CQ10" s="35"/>
      <c r="FR10" s="36"/>
      <c r="FS10" s="36"/>
      <c r="FT10" s="36"/>
      <c r="FU10" s="36"/>
      <c r="FV10" s="36"/>
      <c r="FW10" s="36"/>
      <c r="FX10" s="36"/>
      <c r="FY10" s="36"/>
      <c r="FZ10" s="36"/>
      <c r="GA10" s="36"/>
    </row>
    <row r="11" spans="1:183" ht="34.5" customHeight="1">
      <c r="K11" s="62"/>
      <c r="L11" s="62"/>
      <c r="M11" s="63"/>
      <c r="N11" s="63"/>
      <c r="O11" s="63"/>
      <c r="P11" s="63"/>
      <c r="Q11" s="63"/>
      <c r="R11" s="63"/>
      <c r="S11" s="63"/>
      <c r="T11" s="63"/>
      <c r="U11" s="63"/>
      <c r="V11" s="63"/>
      <c r="W11" s="63"/>
      <c r="X11" s="64"/>
      <c r="Z11" s="65" t="s">
        <v>221</v>
      </c>
      <c r="AA11" s="65"/>
      <c r="AB11" s="65"/>
      <c r="AC11" s="65"/>
      <c r="AD11" s="66">
        <f>INDEX([2]ControlPanel!$AM$4:$AO$35,MATCH($AR$11,[2]ControlPanel!$AM$4:$AM$35,0),2)</f>
        <v>45432</v>
      </c>
      <c r="AE11" s="66"/>
      <c r="AF11" s="67" t="s">
        <v>222</v>
      </c>
      <c r="AG11" s="66">
        <f>INDEX([2]ControlPanel!$AM$4:$AO$35,MATCH($AR$11,[2]ControlPanel!$AM$4:$AM$35,0),3)</f>
        <v>45427</v>
      </c>
      <c r="AH11" s="66"/>
      <c r="AI11" s="68"/>
      <c r="AJ11" s="69"/>
      <c r="AK11" s="69"/>
      <c r="AL11" s="69"/>
      <c r="AM11" s="69"/>
      <c r="AN11" s="70"/>
      <c r="AO11" s="65" t="s">
        <v>223</v>
      </c>
      <c r="AP11" s="65"/>
      <c r="AQ11" s="65"/>
      <c r="AR11" s="71" t="s">
        <v>224</v>
      </c>
      <c r="AS11" s="71"/>
      <c r="AT11" s="71"/>
      <c r="AU11" s="71"/>
      <c r="AV11" s="71"/>
      <c r="AW11" s="71"/>
      <c r="AX11" s="71"/>
      <c r="AY11" s="71"/>
      <c r="AZ11" s="72"/>
      <c r="BA11" s="72"/>
      <c r="BB11" s="36"/>
      <c r="BD11" s="34"/>
      <c r="BE11" s="34"/>
      <c r="BF11" s="73"/>
      <c r="BG11" s="73"/>
      <c r="BH11" s="74" t="s">
        <v>225</v>
      </c>
      <c r="BI11" s="74"/>
      <c r="BJ11" s="74"/>
      <c r="BK11" s="74"/>
      <c r="BL11" s="74"/>
      <c r="BM11" s="74"/>
      <c r="BN11" s="75" t="s">
        <v>226</v>
      </c>
      <c r="BO11" s="75"/>
      <c r="BP11" s="75"/>
      <c r="BQ11" s="75"/>
      <c r="BR11" s="75"/>
      <c r="BS11" s="75"/>
      <c r="BT11" s="34"/>
      <c r="BU11" s="34"/>
      <c r="BV11" s="34"/>
      <c r="BW11" s="34"/>
      <c r="BX11" s="34"/>
      <c r="BY11" s="34"/>
      <c r="BZ11" s="34"/>
      <c r="CA11" s="34"/>
      <c r="CB11" s="34"/>
      <c r="CC11" s="34"/>
      <c r="CD11" s="34"/>
      <c r="CE11" s="34"/>
      <c r="CF11" s="34"/>
      <c r="CG11" s="34"/>
      <c r="CH11" s="34"/>
      <c r="CI11" s="34"/>
      <c r="CJ11" s="34"/>
      <c r="CK11" s="34"/>
      <c r="CQ11" s="34"/>
      <c r="CR11" s="35"/>
      <c r="CX11" s="34"/>
      <c r="CY11" s="34"/>
      <c r="CZ11" s="34"/>
      <c r="DA11" s="34"/>
      <c r="DB11" s="34"/>
      <c r="DC11" s="34"/>
      <c r="FR11" s="34"/>
    </row>
    <row r="12" spans="1:183" ht="26" customHeight="1" thickBot="1">
      <c r="T12" s="36"/>
      <c r="AA12" s="36"/>
      <c r="AC12" s="36"/>
      <c r="AJ12" s="36"/>
      <c r="AL12" s="36"/>
      <c r="AU12" s="36"/>
      <c r="BB12" s="36"/>
      <c r="BD12" s="34"/>
      <c r="BE12" s="34"/>
      <c r="BF12" s="73"/>
      <c r="BG12" s="73"/>
      <c r="BH12" s="76"/>
      <c r="BI12" s="76"/>
      <c r="BJ12" s="76"/>
      <c r="BK12" s="76"/>
      <c r="BL12" s="76"/>
      <c r="BM12" s="76"/>
      <c r="BN12" s="77"/>
      <c r="BO12" s="77"/>
      <c r="BP12" s="77"/>
      <c r="BQ12" s="77"/>
      <c r="BR12" s="77"/>
      <c r="BS12" s="77"/>
      <c r="BT12" s="34"/>
      <c r="BU12" s="34"/>
      <c r="BV12" s="34"/>
      <c r="BW12" s="34"/>
      <c r="BX12" s="34"/>
      <c r="BY12" s="34"/>
      <c r="BZ12" s="34"/>
      <c r="CA12" s="34"/>
      <c r="CB12" s="34"/>
      <c r="CC12" s="34"/>
      <c r="CD12" s="34"/>
      <c r="CE12" s="34"/>
      <c r="CF12" s="34"/>
      <c r="CG12" s="34"/>
      <c r="CH12" s="34"/>
      <c r="CI12" s="34"/>
      <c r="CJ12" s="34"/>
      <c r="CK12" s="34"/>
      <c r="CQ12" s="34"/>
      <c r="CR12" s="35"/>
      <c r="CX12" s="34"/>
      <c r="CY12" s="34"/>
      <c r="CZ12" s="34"/>
      <c r="DA12" s="34"/>
      <c r="DB12" s="34"/>
      <c r="DC12" s="34"/>
      <c r="FR12" s="34"/>
    </row>
    <row r="13" spans="1:183" s="34" customFormat="1" ht="35" customHeight="1">
      <c r="J13" s="36"/>
      <c r="K13" s="78" t="s">
        <v>7</v>
      </c>
      <c r="L13" s="78"/>
      <c r="M13" s="78"/>
      <c r="N13" s="78"/>
      <c r="O13" s="78"/>
      <c r="P13" s="78"/>
      <c r="Q13" s="78"/>
      <c r="R13" s="78"/>
      <c r="S13" s="78"/>
      <c r="T13" s="78"/>
      <c r="U13" s="78"/>
      <c r="V13" s="78"/>
      <c r="W13" s="78"/>
      <c r="X13" s="79"/>
      <c r="Y13" s="78" t="s">
        <v>8</v>
      </c>
      <c r="Z13" s="78"/>
      <c r="AA13" s="78"/>
      <c r="AB13" s="78"/>
      <c r="AC13" s="78"/>
      <c r="AD13" s="78"/>
      <c r="AE13" s="78"/>
      <c r="AF13" s="78"/>
      <c r="AG13" s="78"/>
      <c r="AH13" s="78"/>
      <c r="AI13" s="78"/>
      <c r="AJ13" s="78"/>
      <c r="AK13" s="78"/>
      <c r="AL13" s="78"/>
      <c r="AM13" s="78"/>
      <c r="AN13" s="79"/>
      <c r="AO13" s="78" t="s">
        <v>9</v>
      </c>
      <c r="AP13" s="78"/>
      <c r="AQ13" s="78"/>
      <c r="AR13" s="78"/>
      <c r="AS13" s="78"/>
      <c r="AT13" s="78"/>
      <c r="AU13" s="78"/>
      <c r="AV13" s="78"/>
      <c r="AW13" s="78"/>
      <c r="AX13" s="78"/>
      <c r="AY13" s="78"/>
      <c r="AZ13" s="78"/>
      <c r="BA13" s="78"/>
      <c r="BB13" s="36"/>
      <c r="BC13" s="36"/>
      <c r="BF13" s="80" t="s">
        <v>227</v>
      </c>
      <c r="BG13" s="81"/>
      <c r="BH13" s="82" t="s">
        <v>228</v>
      </c>
      <c r="BI13" s="82" t="s">
        <v>229</v>
      </c>
      <c r="BJ13" s="82" t="s">
        <v>230</v>
      </c>
      <c r="BK13" s="82" t="s">
        <v>231</v>
      </c>
      <c r="BL13" s="82" t="s">
        <v>232</v>
      </c>
      <c r="BM13" s="83" t="s">
        <v>233</v>
      </c>
      <c r="BN13" s="84" t="s">
        <v>228</v>
      </c>
      <c r="BO13" s="84" t="s">
        <v>229</v>
      </c>
      <c r="BP13" s="84" t="s">
        <v>230</v>
      </c>
      <c r="BQ13" s="84" t="s">
        <v>231</v>
      </c>
      <c r="BR13" s="84" t="s">
        <v>232</v>
      </c>
      <c r="BS13" s="85" t="s">
        <v>233</v>
      </c>
    </row>
    <row r="14" spans="1:183" s="34" customFormat="1" ht="35" customHeight="1">
      <c r="A14" s="86"/>
      <c r="B14" s="86"/>
      <c r="C14" s="86"/>
      <c r="D14" s="86"/>
      <c r="E14" s="87" t="s">
        <v>234</v>
      </c>
      <c r="F14" s="87" t="s">
        <v>235</v>
      </c>
      <c r="G14" s="86"/>
      <c r="H14" s="86"/>
      <c r="J14" s="36"/>
      <c r="K14" s="88" t="s">
        <v>236</v>
      </c>
      <c r="L14" s="88"/>
      <c r="M14" s="88"/>
      <c r="N14" s="88"/>
      <c r="O14" s="88"/>
      <c r="P14" s="88"/>
      <c r="Q14" s="88"/>
      <c r="R14" s="88"/>
      <c r="S14" s="88"/>
      <c r="T14" s="88"/>
      <c r="U14" s="89">
        <v>1</v>
      </c>
      <c r="V14" s="89">
        <v>2</v>
      </c>
      <c r="W14" s="89">
        <v>3</v>
      </c>
      <c r="X14" s="90"/>
      <c r="Y14" s="91"/>
      <c r="Z14" s="91"/>
      <c r="AA14" s="91"/>
      <c r="AB14" s="91"/>
      <c r="AC14" s="91"/>
      <c r="AD14" s="91"/>
      <c r="AE14" s="91"/>
      <c r="AF14" s="91"/>
      <c r="AG14" s="91"/>
      <c r="AH14" s="91"/>
      <c r="AI14" s="89">
        <v>1</v>
      </c>
      <c r="AJ14" s="92">
        <v>2</v>
      </c>
      <c r="AK14" s="92"/>
      <c r="AL14" s="92"/>
      <c r="AM14" s="89">
        <v>3</v>
      </c>
      <c r="AN14" s="90"/>
      <c r="AO14" s="91"/>
      <c r="AP14" s="91"/>
      <c r="AQ14" s="91"/>
      <c r="AR14" s="91"/>
      <c r="AS14" s="91"/>
      <c r="AT14" s="91"/>
      <c r="AU14" s="91"/>
      <c r="AV14" s="91"/>
      <c r="AW14" s="91"/>
      <c r="AX14" s="91"/>
      <c r="AY14" s="89">
        <v>1</v>
      </c>
      <c r="AZ14" s="89">
        <v>2</v>
      </c>
      <c r="BA14" s="89">
        <v>3</v>
      </c>
      <c r="BB14" s="36"/>
      <c r="BC14" s="36"/>
      <c r="BF14" s="93">
        <f>COUNT(BF16:BF43)</f>
        <v>1</v>
      </c>
      <c r="BG14" s="94"/>
      <c r="BH14" s="95">
        <f t="shared" ref="BH14:BS14" si="0">COUNTA(BH16:BH43)</f>
        <v>0</v>
      </c>
      <c r="BI14" s="96">
        <f t="shared" si="0"/>
        <v>0</v>
      </c>
      <c r="BJ14" s="96">
        <f t="shared" si="0"/>
        <v>0</v>
      </c>
      <c r="BK14" s="96">
        <f t="shared" si="0"/>
        <v>0</v>
      </c>
      <c r="BL14" s="96">
        <f t="shared" si="0"/>
        <v>0</v>
      </c>
      <c r="BM14" s="97">
        <f t="shared" si="0"/>
        <v>0</v>
      </c>
      <c r="BN14" s="98">
        <f t="shared" si="0"/>
        <v>0</v>
      </c>
      <c r="BO14" s="99">
        <f t="shared" si="0"/>
        <v>0</v>
      </c>
      <c r="BP14" s="99">
        <f t="shared" si="0"/>
        <v>0</v>
      </c>
      <c r="BQ14" s="99">
        <f t="shared" si="0"/>
        <v>0</v>
      </c>
      <c r="BR14" s="99">
        <f t="shared" si="0"/>
        <v>0</v>
      </c>
      <c r="BS14" s="100">
        <f t="shared" si="0"/>
        <v>0</v>
      </c>
    </row>
    <row r="15" spans="1:183" s="34" customFormat="1" ht="35" customHeight="1">
      <c r="A15" s="101" t="s">
        <v>237</v>
      </c>
      <c r="B15" s="102"/>
      <c r="C15" s="103" t="s">
        <v>238</v>
      </c>
      <c r="D15" s="103" t="s">
        <v>239</v>
      </c>
      <c r="E15" s="104"/>
      <c r="F15" s="104"/>
      <c r="G15" s="103" t="s">
        <v>240</v>
      </c>
      <c r="H15" s="103" t="s">
        <v>241</v>
      </c>
      <c r="J15" s="36"/>
      <c r="K15" s="105">
        <v>1</v>
      </c>
      <c r="L15" s="106" t="s">
        <v>242</v>
      </c>
      <c r="M15" s="106"/>
      <c r="N15" s="106"/>
      <c r="O15" s="106"/>
      <c r="P15" s="106"/>
      <c r="Q15" s="106"/>
      <c r="R15" s="106"/>
      <c r="S15" s="106"/>
      <c r="T15" s="106"/>
      <c r="U15" s="105">
        <v>5</v>
      </c>
      <c r="V15" s="105">
        <v>5</v>
      </c>
      <c r="W15" s="105">
        <v>5</v>
      </c>
      <c r="X15" s="90"/>
      <c r="Y15" s="105">
        <v>1</v>
      </c>
      <c r="Z15" s="106" t="s">
        <v>242</v>
      </c>
      <c r="AA15" s="106"/>
      <c r="AB15" s="106"/>
      <c r="AC15" s="106"/>
      <c r="AD15" s="106"/>
      <c r="AE15" s="106"/>
      <c r="AF15" s="106"/>
      <c r="AG15" s="106"/>
      <c r="AH15" s="106"/>
      <c r="AI15" s="105">
        <v>5</v>
      </c>
      <c r="AJ15" s="106">
        <v>5</v>
      </c>
      <c r="AK15" s="106"/>
      <c r="AL15" s="106"/>
      <c r="AM15" s="105">
        <v>5</v>
      </c>
      <c r="AN15" s="90"/>
      <c r="AO15" s="105">
        <v>1</v>
      </c>
      <c r="AP15" s="106" t="s">
        <v>242</v>
      </c>
      <c r="AQ15" s="106"/>
      <c r="AR15" s="106"/>
      <c r="AS15" s="106"/>
      <c r="AT15" s="106"/>
      <c r="AU15" s="106"/>
      <c r="AV15" s="106"/>
      <c r="AW15" s="106"/>
      <c r="AX15" s="106"/>
      <c r="AY15" s="105">
        <v>5</v>
      </c>
      <c r="AZ15" s="105">
        <v>5</v>
      </c>
      <c r="BA15" s="105">
        <v>5</v>
      </c>
      <c r="BB15" s="36"/>
      <c r="BC15" s="36"/>
      <c r="BF15" s="107"/>
      <c r="BG15" s="108"/>
      <c r="BH15" s="95"/>
      <c r="BI15" s="96"/>
      <c r="BJ15" s="96"/>
      <c r="BK15" s="96"/>
      <c r="BL15" s="96"/>
      <c r="BM15" s="97"/>
      <c r="BN15" s="98"/>
      <c r="BO15" s="99"/>
      <c r="BP15" s="99"/>
      <c r="BQ15" s="99"/>
      <c r="BR15" s="99"/>
      <c r="BS15" s="100"/>
    </row>
    <row r="16" spans="1:183" s="34" customFormat="1" ht="35" customHeight="1">
      <c r="A16" s="109" t="s">
        <v>243</v>
      </c>
      <c r="B16" s="109" t="s">
        <v>244</v>
      </c>
      <c r="C16" s="109" t="s">
        <v>245</v>
      </c>
      <c r="D16" s="110" t="str">
        <f>IFERROR(INDEX([2]!Table1RM[#Data],MATCH($M$56,[2]!Table1RM[Athlete],0),MATCH($L16,[2]!Table1RM[#Headers],0)),"")</f>
        <v/>
      </c>
      <c r="E16" s="109" t="str">
        <f>IF($B16="PE",INDEX([2]ExerciseInventory!$J$2:$L$276,MATCH($L16,[2]ExerciseInventory!$J$2:$J$287,0),2),"")</f>
        <v/>
      </c>
      <c r="F16" s="110" t="str">
        <f>IF($B16="PE",INDEX([2]ExerciseInventory!$J$2:$L$276,MATCH($L16,[2]ExerciseInventory!$J$2:$J$287,0),3),"")</f>
        <v/>
      </c>
      <c r="G16" s="110"/>
      <c r="H16" s="109"/>
      <c r="J16" s="36"/>
      <c r="K16" s="111"/>
      <c r="L16" s="111"/>
      <c r="M16" s="111"/>
      <c r="N16" s="111"/>
      <c r="O16" s="111"/>
      <c r="P16" s="111"/>
      <c r="Q16" s="111"/>
      <c r="R16" s="111"/>
      <c r="S16" s="111"/>
      <c r="T16" s="111"/>
      <c r="U16" s="111"/>
      <c r="V16" s="111"/>
      <c r="W16" s="111"/>
      <c r="X16" s="90"/>
      <c r="Y16" s="111"/>
      <c r="Z16" s="111"/>
      <c r="AA16" s="111"/>
      <c r="AB16" s="111"/>
      <c r="AC16" s="111"/>
      <c r="AD16" s="111"/>
      <c r="AE16" s="111"/>
      <c r="AF16" s="111"/>
      <c r="AG16" s="111"/>
      <c r="AH16" s="111"/>
      <c r="AI16" s="111"/>
      <c r="AJ16" s="111"/>
      <c r="AK16" s="111"/>
      <c r="AL16" s="111"/>
      <c r="AM16" s="111"/>
      <c r="AN16" s="90"/>
      <c r="AO16" s="111"/>
      <c r="AP16" s="111"/>
      <c r="AQ16" s="111"/>
      <c r="AR16" s="111"/>
      <c r="AS16" s="111"/>
      <c r="AT16" s="111"/>
      <c r="AU16" s="111"/>
      <c r="AV16" s="111"/>
      <c r="AW16" s="111"/>
      <c r="AX16" s="111"/>
      <c r="AY16" s="111"/>
      <c r="AZ16" s="111"/>
      <c r="BA16" s="111"/>
      <c r="BB16" s="36"/>
      <c r="BC16" s="36"/>
      <c r="BF16" s="112">
        <f>$AD$11</f>
        <v>45432</v>
      </c>
      <c r="BG16" s="113"/>
      <c r="BH16" s="114"/>
      <c r="BI16" s="114"/>
      <c r="BJ16" s="114"/>
      <c r="BK16" s="114"/>
      <c r="BL16" s="114"/>
      <c r="BM16" s="115"/>
      <c r="BN16" s="116"/>
      <c r="BO16" s="116"/>
      <c r="BP16" s="116"/>
      <c r="BQ16" s="116"/>
      <c r="BR16" s="116"/>
      <c r="BS16" s="117"/>
    </row>
    <row r="17" spans="1:174" ht="35" customHeight="1">
      <c r="A17" s="109" t="s">
        <v>243</v>
      </c>
      <c r="B17" s="109" t="s">
        <v>244</v>
      </c>
      <c r="C17" s="109" t="s">
        <v>245</v>
      </c>
      <c r="D17" s="110" t="str">
        <f>IFERROR(INDEX([2]!Table1RM[#Data],MATCH($M$56,[2]!Table1RM[Athlete],0),MATCH($L17,[2]!Table1RM[#Headers],0)),"")</f>
        <v/>
      </c>
      <c r="E17" s="109" t="str">
        <f>IF($B17="PE",INDEX([2]ExerciseInventory!$J$2:$L$276,MATCH($L17,[2]ExerciseInventory!$J$2:$J$287,0),2),"")</f>
        <v/>
      </c>
      <c r="F17" s="110" t="str">
        <f>IF($B17="PE",INDEX([2]ExerciseInventory!$J$2:$L$276,MATCH($L17,[2]ExerciseInventory!$J$2:$J$287,0),3),"")</f>
        <v/>
      </c>
      <c r="G17" s="110"/>
      <c r="H17" s="109"/>
      <c r="K17" s="88" t="s">
        <v>246</v>
      </c>
      <c r="L17" s="88"/>
      <c r="M17" s="88"/>
      <c r="N17" s="88"/>
      <c r="O17" s="88"/>
      <c r="P17" s="88"/>
      <c r="Q17" s="88"/>
      <c r="R17" s="88"/>
      <c r="S17" s="88"/>
      <c r="T17" s="88"/>
      <c r="U17" s="89">
        <v>1</v>
      </c>
      <c r="V17" s="89">
        <v>2</v>
      </c>
      <c r="W17" s="89">
        <v>3</v>
      </c>
      <c r="X17" s="90"/>
      <c r="Y17" s="88"/>
      <c r="Z17" s="88"/>
      <c r="AA17" s="88"/>
      <c r="AB17" s="88"/>
      <c r="AC17" s="88"/>
      <c r="AD17" s="88"/>
      <c r="AE17" s="88"/>
      <c r="AF17" s="88"/>
      <c r="AG17" s="88"/>
      <c r="AH17" s="88"/>
      <c r="AI17" s="89">
        <v>1</v>
      </c>
      <c r="AJ17" s="92">
        <v>2</v>
      </c>
      <c r="AK17" s="92"/>
      <c r="AL17" s="92"/>
      <c r="AM17" s="89">
        <v>3</v>
      </c>
      <c r="AN17" s="90"/>
      <c r="AO17" s="88"/>
      <c r="AP17" s="88"/>
      <c r="AQ17" s="88"/>
      <c r="AR17" s="88"/>
      <c r="AS17" s="88"/>
      <c r="AT17" s="88"/>
      <c r="AU17" s="88"/>
      <c r="AV17" s="88"/>
      <c r="AW17" s="88"/>
      <c r="AX17" s="88"/>
      <c r="AY17" s="89">
        <v>1</v>
      </c>
      <c r="AZ17" s="89">
        <v>2</v>
      </c>
      <c r="BA17" s="89">
        <v>3</v>
      </c>
      <c r="BB17" s="36"/>
      <c r="BD17" s="34"/>
      <c r="BE17" s="34"/>
      <c r="BF17" s="112" t="str">
        <f>IFERROR(IF(BF16+1&lt;=$AG$11,BF16+1,NA()),"")</f>
        <v/>
      </c>
      <c r="BG17" s="113"/>
      <c r="BH17" s="114"/>
      <c r="BI17" s="114"/>
      <c r="BJ17" s="114"/>
      <c r="BK17" s="114"/>
      <c r="BL17" s="114"/>
      <c r="BM17" s="115"/>
      <c r="BN17" s="116"/>
      <c r="BO17" s="116"/>
      <c r="BP17" s="116"/>
      <c r="BQ17" s="116"/>
      <c r="BR17" s="116"/>
      <c r="BS17" s="117"/>
      <c r="BT17" s="34"/>
      <c r="BU17" s="34"/>
      <c r="BV17" s="34"/>
      <c r="BW17" s="34"/>
      <c r="BX17" s="34"/>
      <c r="BY17" s="34"/>
      <c r="BZ17" s="34"/>
      <c r="CA17" s="34"/>
      <c r="CB17" s="34"/>
      <c r="CC17" s="34"/>
      <c r="CD17" s="34"/>
      <c r="CE17" s="34"/>
      <c r="CF17" s="34"/>
      <c r="CG17" s="34"/>
      <c r="CH17" s="34"/>
      <c r="CI17" s="34"/>
      <c r="CJ17" s="34"/>
      <c r="CK17" s="34"/>
      <c r="CQ17" s="34"/>
      <c r="CX17" s="34"/>
      <c r="CY17" s="34"/>
      <c r="CZ17" s="34"/>
      <c r="DA17" s="34"/>
      <c r="DB17" s="34"/>
      <c r="DC17" s="34"/>
      <c r="FR17" s="34"/>
    </row>
    <row r="18" spans="1:174" s="118" customFormat="1" ht="35" customHeight="1">
      <c r="A18" s="109" t="s">
        <v>243</v>
      </c>
      <c r="B18" s="109" t="s">
        <v>244</v>
      </c>
      <c r="C18" s="109" t="s">
        <v>245</v>
      </c>
      <c r="D18" s="110" t="str">
        <f>IFERROR(INDEX([2]!Table1RM[#Data],MATCH($M$56,[2]!Table1RM[Athlete],0),MATCH($L18,[2]!Table1RM[#Headers],0)),"")</f>
        <v/>
      </c>
      <c r="E18" s="109" t="str">
        <f>IF($B18="PE",INDEX([2]ExerciseInventory!$J$2:$L$276,MATCH($L18,[2]ExerciseInventory!$J$2:$J$287,0),2),"")</f>
        <v/>
      </c>
      <c r="F18" s="110" t="str">
        <f>IF($B18="PE",INDEX([2]ExerciseInventory!$J$2:$L$276,MATCH($L18,[2]ExerciseInventory!$J$2:$J$287,0),3),"")</f>
        <v/>
      </c>
      <c r="G18" s="110"/>
      <c r="H18" s="109"/>
      <c r="I18" s="86"/>
      <c r="J18" s="36"/>
      <c r="K18" s="105">
        <v>1</v>
      </c>
      <c r="L18" s="106" t="s">
        <v>94</v>
      </c>
      <c r="M18" s="106"/>
      <c r="N18" s="106"/>
      <c r="O18" s="106"/>
      <c r="P18" s="106"/>
      <c r="Q18" s="106"/>
      <c r="R18" s="106"/>
      <c r="S18" s="106"/>
      <c r="T18" s="106"/>
      <c r="U18" s="105">
        <v>6</v>
      </c>
      <c r="V18" s="105">
        <v>6</v>
      </c>
      <c r="W18" s="105">
        <v>6</v>
      </c>
      <c r="X18" s="90"/>
      <c r="Y18" s="105">
        <v>1</v>
      </c>
      <c r="Z18" s="106" t="s">
        <v>94</v>
      </c>
      <c r="AA18" s="106"/>
      <c r="AB18" s="106"/>
      <c r="AC18" s="106"/>
      <c r="AD18" s="106"/>
      <c r="AE18" s="106"/>
      <c r="AF18" s="106"/>
      <c r="AG18" s="106"/>
      <c r="AH18" s="106"/>
      <c r="AI18" s="105">
        <v>6</v>
      </c>
      <c r="AJ18" s="106">
        <v>6</v>
      </c>
      <c r="AK18" s="106"/>
      <c r="AL18" s="106"/>
      <c r="AM18" s="105">
        <v>6</v>
      </c>
      <c r="AN18" s="90"/>
      <c r="AO18" s="105">
        <v>1</v>
      </c>
      <c r="AP18" s="106" t="s">
        <v>94</v>
      </c>
      <c r="AQ18" s="106"/>
      <c r="AR18" s="106"/>
      <c r="AS18" s="106"/>
      <c r="AT18" s="106"/>
      <c r="AU18" s="106"/>
      <c r="AV18" s="106"/>
      <c r="AW18" s="106"/>
      <c r="AX18" s="106"/>
      <c r="AY18" s="105">
        <v>6</v>
      </c>
      <c r="AZ18" s="105">
        <v>6</v>
      </c>
      <c r="BA18" s="105">
        <v>6</v>
      </c>
      <c r="BB18" s="36"/>
      <c r="BC18" s="36"/>
      <c r="BD18" s="34"/>
      <c r="BE18" s="34"/>
      <c r="BF18" s="112" t="str">
        <f t="shared" ref="BF18:BF53" si="1">IFERROR(IF(BF17+1&lt;=$AG$11,BF17+1,NA()),"")</f>
        <v/>
      </c>
      <c r="BG18" s="113"/>
      <c r="BH18" s="114"/>
      <c r="BI18" s="114"/>
      <c r="BJ18" s="114"/>
      <c r="BK18" s="114"/>
      <c r="BL18" s="114"/>
      <c r="BM18" s="115"/>
      <c r="BN18" s="116"/>
      <c r="BO18" s="116"/>
      <c r="BP18" s="116"/>
      <c r="BQ18" s="116"/>
      <c r="BR18" s="116"/>
      <c r="BS18" s="117"/>
      <c r="BT18" s="34"/>
      <c r="BU18" s="34"/>
      <c r="BV18" s="34"/>
      <c r="BW18" s="34"/>
      <c r="BX18" s="34"/>
      <c r="BY18" s="34"/>
      <c r="BZ18" s="34"/>
      <c r="CA18" s="34"/>
      <c r="CB18" s="34"/>
      <c r="CC18" s="34"/>
      <c r="CD18" s="34"/>
      <c r="CE18" s="34"/>
      <c r="CF18" s="34"/>
      <c r="CG18" s="34"/>
      <c r="CH18" s="34"/>
      <c r="CI18" s="34"/>
      <c r="CJ18" s="34"/>
      <c r="CK18" s="34"/>
      <c r="CL18" s="34"/>
      <c r="CM18" s="34"/>
      <c r="CN18" s="34"/>
      <c r="CO18" s="34"/>
      <c r="CP18" s="34"/>
      <c r="CQ18" s="34"/>
      <c r="CR18" s="34"/>
      <c r="CS18" s="34"/>
      <c r="CT18" s="34"/>
      <c r="CU18" s="34"/>
      <c r="CV18" s="34"/>
      <c r="CW18" s="34"/>
      <c r="CX18" s="34"/>
      <c r="CY18" s="34"/>
      <c r="CZ18" s="34"/>
      <c r="DA18" s="34"/>
      <c r="DB18" s="34"/>
      <c r="DC18" s="34"/>
      <c r="DD18" s="34"/>
      <c r="DE18" s="34"/>
      <c r="DF18" s="34"/>
      <c r="DG18" s="34"/>
      <c r="DH18" s="34"/>
      <c r="DI18" s="34"/>
      <c r="DJ18" s="34"/>
      <c r="DK18" s="34"/>
      <c r="DL18" s="34"/>
      <c r="DM18" s="34"/>
      <c r="DN18" s="34"/>
      <c r="DO18" s="34"/>
      <c r="DP18" s="34"/>
      <c r="DQ18" s="34"/>
      <c r="DR18" s="34"/>
      <c r="DS18" s="34"/>
      <c r="DT18" s="34"/>
      <c r="DU18" s="34"/>
      <c r="DV18" s="34"/>
      <c r="DW18" s="34"/>
      <c r="DX18" s="34"/>
      <c r="DY18" s="34"/>
      <c r="DZ18" s="34"/>
      <c r="EA18" s="34"/>
      <c r="EB18" s="34"/>
      <c r="EC18" s="34"/>
      <c r="ED18" s="34"/>
      <c r="EE18" s="34"/>
      <c r="EF18" s="34"/>
      <c r="EG18" s="34"/>
      <c r="EH18" s="34"/>
      <c r="EI18" s="34"/>
      <c r="EJ18" s="34"/>
      <c r="EK18" s="34"/>
      <c r="EL18" s="34"/>
      <c r="EM18" s="34"/>
      <c r="EN18" s="34"/>
      <c r="EO18" s="34"/>
      <c r="EP18" s="34"/>
      <c r="EQ18" s="34"/>
      <c r="ER18" s="34"/>
      <c r="ES18" s="34"/>
      <c r="ET18" s="34"/>
      <c r="EU18" s="34"/>
      <c r="EV18" s="34"/>
      <c r="EW18" s="34"/>
      <c r="EX18" s="34"/>
      <c r="EY18" s="34"/>
      <c r="EZ18" s="34"/>
      <c r="FA18" s="34"/>
      <c r="FB18" s="34"/>
      <c r="FC18" s="34"/>
      <c r="FD18" s="34"/>
      <c r="FE18" s="34"/>
      <c r="FF18" s="34"/>
      <c r="FG18" s="34"/>
      <c r="FH18" s="34"/>
      <c r="FI18" s="34"/>
      <c r="FJ18" s="34"/>
      <c r="FK18" s="34"/>
      <c r="FL18" s="34"/>
      <c r="FM18" s="34"/>
      <c r="FN18" s="34"/>
      <c r="FO18" s="34"/>
      <c r="FP18" s="34"/>
      <c r="FQ18" s="34"/>
      <c r="FR18" s="34"/>
    </row>
    <row r="19" spans="1:174" s="118" customFormat="1" ht="35" customHeight="1">
      <c r="A19" s="109" t="s">
        <v>243</v>
      </c>
      <c r="B19" s="109" t="s">
        <v>244</v>
      </c>
      <c r="C19" s="109" t="s">
        <v>245</v>
      </c>
      <c r="D19" s="110" t="str">
        <f>IFERROR(INDEX([2]!Table1RM[#Data],MATCH($M$56,[2]!Table1RM[Athlete],0),MATCH($L19,[2]!Table1RM[#Headers],0)),"")</f>
        <v/>
      </c>
      <c r="E19" s="109" t="str">
        <f>IF($B19="PE",INDEX([2]ExerciseInventory!$J$2:$L$276,MATCH($L19,[2]ExerciseInventory!$J$2:$J$287,0),2),"")</f>
        <v/>
      </c>
      <c r="F19" s="110" t="str">
        <f>IF($B19="PE",INDEX([2]ExerciseInventory!$J$2:$L$276,MATCH($L19,[2]ExerciseInventory!$J$2:$J$287,0),3),"")</f>
        <v/>
      </c>
      <c r="G19" s="110"/>
      <c r="H19" s="109"/>
      <c r="I19" s="86"/>
      <c r="J19" s="36"/>
      <c r="K19" s="105">
        <v>2</v>
      </c>
      <c r="L19" s="106" t="s">
        <v>95</v>
      </c>
      <c r="M19" s="106"/>
      <c r="N19" s="106"/>
      <c r="O19" s="106"/>
      <c r="P19" s="106"/>
      <c r="Q19" s="106"/>
      <c r="R19" s="106"/>
      <c r="S19" s="106"/>
      <c r="T19" s="106"/>
      <c r="U19" s="105">
        <v>8</v>
      </c>
      <c r="V19" s="105">
        <v>8</v>
      </c>
      <c r="W19" s="105">
        <v>8</v>
      </c>
      <c r="X19" s="90"/>
      <c r="Y19" s="105">
        <v>2</v>
      </c>
      <c r="Z19" s="106" t="s">
        <v>95</v>
      </c>
      <c r="AA19" s="106"/>
      <c r="AB19" s="106"/>
      <c r="AC19" s="106"/>
      <c r="AD19" s="106"/>
      <c r="AE19" s="106"/>
      <c r="AF19" s="106"/>
      <c r="AG19" s="106"/>
      <c r="AH19" s="106"/>
      <c r="AI19" s="105">
        <v>8</v>
      </c>
      <c r="AJ19" s="106">
        <v>8</v>
      </c>
      <c r="AK19" s="106"/>
      <c r="AL19" s="106"/>
      <c r="AM19" s="105">
        <v>8</v>
      </c>
      <c r="AN19" s="90"/>
      <c r="AO19" s="105">
        <v>2</v>
      </c>
      <c r="AP19" s="106" t="s">
        <v>95</v>
      </c>
      <c r="AQ19" s="106"/>
      <c r="AR19" s="106"/>
      <c r="AS19" s="106"/>
      <c r="AT19" s="106"/>
      <c r="AU19" s="106"/>
      <c r="AV19" s="106"/>
      <c r="AW19" s="106"/>
      <c r="AX19" s="106"/>
      <c r="AY19" s="105">
        <v>8</v>
      </c>
      <c r="AZ19" s="105">
        <v>8</v>
      </c>
      <c r="BA19" s="105">
        <v>8</v>
      </c>
      <c r="BB19" s="36"/>
      <c r="BC19" s="36"/>
      <c r="BD19" s="34"/>
      <c r="BE19" s="34"/>
      <c r="BF19" s="112" t="str">
        <f t="shared" si="1"/>
        <v/>
      </c>
      <c r="BG19" s="113"/>
      <c r="BH19" s="114"/>
      <c r="BI19" s="114"/>
      <c r="BJ19" s="114"/>
      <c r="BK19" s="114"/>
      <c r="BL19" s="114"/>
      <c r="BM19" s="115"/>
      <c r="BN19" s="116"/>
      <c r="BO19" s="116"/>
      <c r="BP19" s="116"/>
      <c r="BQ19" s="116"/>
      <c r="BR19" s="116"/>
      <c r="BS19" s="117"/>
      <c r="BT19" s="34"/>
      <c r="BU19" s="34"/>
      <c r="BV19" s="34"/>
      <c r="BW19" s="34"/>
      <c r="BX19" s="34"/>
      <c r="BY19" s="34"/>
      <c r="BZ19" s="34"/>
      <c r="CA19" s="34"/>
      <c r="CB19" s="34"/>
      <c r="CC19" s="34"/>
      <c r="CD19" s="34"/>
      <c r="CE19" s="34"/>
      <c r="CF19" s="34"/>
      <c r="CG19" s="34"/>
      <c r="CH19" s="34"/>
      <c r="CI19" s="34"/>
      <c r="CJ19" s="34"/>
      <c r="CK19" s="34"/>
      <c r="CL19" s="34"/>
      <c r="CM19" s="34"/>
      <c r="CN19" s="34"/>
      <c r="CO19" s="34"/>
      <c r="CP19" s="34"/>
      <c r="CQ19" s="34"/>
      <c r="CR19" s="34"/>
      <c r="CS19" s="34"/>
      <c r="CT19" s="34"/>
      <c r="CU19" s="34"/>
      <c r="CV19" s="34"/>
      <c r="CW19" s="34"/>
      <c r="CX19" s="34"/>
      <c r="CY19" s="34"/>
      <c r="CZ19" s="34"/>
      <c r="DA19" s="34"/>
      <c r="DB19" s="34"/>
      <c r="DC19" s="34"/>
      <c r="DD19" s="34"/>
      <c r="DE19" s="34"/>
      <c r="DF19" s="34"/>
      <c r="DG19" s="34"/>
      <c r="DH19" s="34"/>
      <c r="DI19" s="34"/>
      <c r="DJ19" s="34"/>
      <c r="DK19" s="34"/>
      <c r="DL19" s="34"/>
      <c r="DM19" s="34"/>
      <c r="DN19" s="34"/>
      <c r="DO19" s="34"/>
      <c r="DP19" s="34"/>
      <c r="DQ19" s="34"/>
      <c r="DR19" s="34"/>
      <c r="DS19" s="34"/>
      <c r="DT19" s="34"/>
      <c r="DU19" s="34"/>
      <c r="DV19" s="34"/>
      <c r="DW19" s="34"/>
      <c r="DX19" s="34"/>
      <c r="DY19" s="34"/>
      <c r="DZ19" s="34"/>
      <c r="EA19" s="34"/>
      <c r="EB19" s="34"/>
      <c r="EC19" s="34"/>
      <c r="ED19" s="34"/>
      <c r="EE19" s="34"/>
      <c r="EF19" s="34"/>
      <c r="EG19" s="34"/>
      <c r="EH19" s="34"/>
      <c r="EI19" s="34"/>
      <c r="EJ19" s="34"/>
      <c r="EK19" s="34"/>
      <c r="EL19" s="34"/>
      <c r="EM19" s="34"/>
      <c r="EN19" s="34"/>
      <c r="EO19" s="34"/>
      <c r="EP19" s="34"/>
      <c r="EQ19" s="34"/>
      <c r="ER19" s="34"/>
      <c r="ES19" s="34"/>
      <c r="ET19" s="34"/>
      <c r="EU19" s="34"/>
      <c r="EV19" s="34"/>
      <c r="EW19" s="34"/>
      <c r="EX19" s="34"/>
      <c r="EY19" s="34"/>
      <c r="EZ19" s="34"/>
      <c r="FA19" s="34"/>
      <c r="FB19" s="34"/>
      <c r="FC19" s="34"/>
      <c r="FD19" s="34"/>
      <c r="FE19" s="34"/>
      <c r="FF19" s="34"/>
      <c r="FG19" s="34"/>
      <c r="FH19" s="34"/>
      <c r="FI19" s="34"/>
      <c r="FJ19" s="34"/>
      <c r="FK19" s="34"/>
      <c r="FL19" s="34"/>
      <c r="FM19" s="34"/>
      <c r="FN19" s="34"/>
      <c r="FO19" s="34"/>
      <c r="FP19" s="34"/>
      <c r="FQ19" s="34"/>
      <c r="FR19" s="34"/>
    </row>
    <row r="20" spans="1:174" ht="35" customHeight="1">
      <c r="A20" s="109" t="s">
        <v>243</v>
      </c>
      <c r="B20" s="109" t="s">
        <v>244</v>
      </c>
      <c r="C20" s="109" t="s">
        <v>245</v>
      </c>
      <c r="D20" s="110" t="str">
        <f>IFERROR(INDEX([2]!Table1RM[#Data],MATCH($M$56,[2]!Table1RM[Athlete],0),MATCH($L20,[2]!Table1RM[#Headers],0)),"")</f>
        <v/>
      </c>
      <c r="E20" s="109" t="str">
        <f>IF($B20="PE",INDEX([2]ExerciseInventory!$J$2:$L$276,MATCH($L20,[2]ExerciseInventory!$J$2:$J$287,0),2),"")</f>
        <v/>
      </c>
      <c r="F20" s="110" t="str">
        <f>IF($B20="PE",INDEX([2]ExerciseInventory!$J$2:$L$276,MATCH($L20,[2]ExerciseInventory!$J$2:$J$287,0),3),"")</f>
        <v/>
      </c>
      <c r="G20" s="110"/>
      <c r="H20" s="109"/>
      <c r="K20" s="105">
        <v>3</v>
      </c>
      <c r="L20" s="106" t="s">
        <v>96</v>
      </c>
      <c r="M20" s="106"/>
      <c r="N20" s="106"/>
      <c r="O20" s="106"/>
      <c r="P20" s="106"/>
      <c r="Q20" s="106"/>
      <c r="R20" s="106"/>
      <c r="S20" s="106"/>
      <c r="T20" s="106"/>
      <c r="U20" s="105">
        <v>10</v>
      </c>
      <c r="V20" s="105">
        <v>10</v>
      </c>
      <c r="W20" s="105">
        <v>10</v>
      </c>
      <c r="X20" s="90"/>
      <c r="Y20" s="105">
        <v>3</v>
      </c>
      <c r="Z20" s="106" t="s">
        <v>96</v>
      </c>
      <c r="AA20" s="106"/>
      <c r="AB20" s="106"/>
      <c r="AC20" s="106"/>
      <c r="AD20" s="106"/>
      <c r="AE20" s="106"/>
      <c r="AF20" s="106"/>
      <c r="AG20" s="106"/>
      <c r="AH20" s="106"/>
      <c r="AI20" s="105">
        <v>10</v>
      </c>
      <c r="AJ20" s="106">
        <v>10</v>
      </c>
      <c r="AK20" s="106"/>
      <c r="AL20" s="106"/>
      <c r="AM20" s="105">
        <v>10</v>
      </c>
      <c r="AN20" s="90"/>
      <c r="AO20" s="105">
        <v>3</v>
      </c>
      <c r="AP20" s="106" t="s">
        <v>96</v>
      </c>
      <c r="AQ20" s="106"/>
      <c r="AR20" s="106"/>
      <c r="AS20" s="106"/>
      <c r="AT20" s="106"/>
      <c r="AU20" s="106"/>
      <c r="AV20" s="106"/>
      <c r="AW20" s="106"/>
      <c r="AX20" s="106"/>
      <c r="AY20" s="105">
        <v>10</v>
      </c>
      <c r="AZ20" s="105">
        <v>10</v>
      </c>
      <c r="BA20" s="105">
        <v>10</v>
      </c>
      <c r="BB20" s="36"/>
      <c r="BD20" s="34"/>
      <c r="BE20" s="34"/>
      <c r="BF20" s="112" t="str">
        <f t="shared" si="1"/>
        <v/>
      </c>
      <c r="BG20" s="113"/>
      <c r="BH20" s="114"/>
      <c r="BI20" s="114"/>
      <c r="BJ20" s="114"/>
      <c r="BK20" s="114"/>
      <c r="BL20" s="114"/>
      <c r="BM20" s="115"/>
      <c r="BN20" s="116"/>
      <c r="BO20" s="116"/>
      <c r="BP20" s="116"/>
      <c r="BQ20" s="116"/>
      <c r="BR20" s="116"/>
      <c r="BS20" s="117"/>
      <c r="BT20" s="34"/>
      <c r="BU20" s="34"/>
      <c r="BV20" s="34"/>
      <c r="BW20" s="34"/>
      <c r="BX20" s="34"/>
      <c r="BY20" s="34"/>
      <c r="BZ20" s="34"/>
      <c r="CA20" s="34"/>
      <c r="CB20" s="34"/>
      <c r="CC20" s="34"/>
      <c r="CD20" s="34"/>
      <c r="CE20" s="34"/>
      <c r="CF20" s="34"/>
      <c r="CG20" s="34"/>
      <c r="CH20" s="34"/>
      <c r="CI20" s="34"/>
      <c r="CJ20" s="34"/>
      <c r="CK20" s="34"/>
      <c r="CQ20" s="34"/>
      <c r="CX20" s="34"/>
      <c r="CY20" s="34"/>
      <c r="CZ20" s="34"/>
      <c r="DA20" s="34"/>
      <c r="DB20" s="34"/>
      <c r="DC20" s="34"/>
      <c r="FR20" s="34"/>
    </row>
    <row r="21" spans="1:174" ht="35" customHeight="1">
      <c r="A21" s="101" t="s">
        <v>237</v>
      </c>
      <c r="B21" s="102"/>
      <c r="C21" s="103" t="s">
        <v>238</v>
      </c>
      <c r="D21" s="103" t="s">
        <v>239</v>
      </c>
      <c r="E21" s="103" t="s">
        <v>247</v>
      </c>
      <c r="F21" s="103" t="s">
        <v>248</v>
      </c>
      <c r="G21" s="103" t="s">
        <v>240</v>
      </c>
      <c r="H21" s="103" t="s">
        <v>241</v>
      </c>
      <c r="K21" s="119">
        <v>4</v>
      </c>
      <c r="L21" s="120" t="s">
        <v>249</v>
      </c>
      <c r="M21" s="120"/>
      <c r="N21" s="120"/>
      <c r="O21" s="120"/>
      <c r="P21" s="120"/>
      <c r="Q21" s="120"/>
      <c r="R21" s="120"/>
      <c r="S21" s="120"/>
      <c r="T21" s="120"/>
      <c r="U21" s="119">
        <v>8</v>
      </c>
      <c r="V21" s="119">
        <v>8</v>
      </c>
      <c r="W21" s="119">
        <v>8</v>
      </c>
      <c r="X21" s="90"/>
      <c r="Y21" s="119">
        <v>4</v>
      </c>
      <c r="Z21" s="120" t="s">
        <v>249</v>
      </c>
      <c r="AA21" s="120"/>
      <c r="AB21" s="120"/>
      <c r="AC21" s="120"/>
      <c r="AD21" s="120"/>
      <c r="AE21" s="120"/>
      <c r="AF21" s="120"/>
      <c r="AG21" s="120"/>
      <c r="AH21" s="120"/>
      <c r="AI21" s="119">
        <v>8</v>
      </c>
      <c r="AJ21" s="120">
        <v>8</v>
      </c>
      <c r="AK21" s="120"/>
      <c r="AL21" s="120"/>
      <c r="AM21" s="119">
        <v>8</v>
      </c>
      <c r="AN21" s="90"/>
      <c r="AO21" s="119">
        <v>4</v>
      </c>
      <c r="AP21" s="120" t="s">
        <v>249</v>
      </c>
      <c r="AQ21" s="120"/>
      <c r="AR21" s="120"/>
      <c r="AS21" s="120"/>
      <c r="AT21" s="120"/>
      <c r="AU21" s="120"/>
      <c r="AV21" s="120"/>
      <c r="AW21" s="120"/>
      <c r="AX21" s="120"/>
      <c r="AY21" s="119">
        <v>8</v>
      </c>
      <c r="AZ21" s="119">
        <v>8</v>
      </c>
      <c r="BA21" s="119">
        <v>8</v>
      </c>
      <c r="BB21" s="36"/>
      <c r="BD21" s="34"/>
      <c r="BE21" s="34"/>
      <c r="BF21" s="112" t="str">
        <f t="shared" si="1"/>
        <v/>
      </c>
      <c r="BG21" s="113"/>
      <c r="BH21" s="114"/>
      <c r="BI21" s="114"/>
      <c r="BJ21" s="114"/>
      <c r="BK21" s="114"/>
      <c r="BL21" s="114"/>
      <c r="BM21" s="115"/>
      <c r="BN21" s="116"/>
      <c r="BO21" s="116"/>
      <c r="BP21" s="116"/>
      <c r="BQ21" s="116"/>
      <c r="BR21" s="116"/>
      <c r="BS21" s="117"/>
      <c r="BT21" s="34"/>
      <c r="BU21" s="34"/>
      <c r="BV21" s="34"/>
      <c r="BW21" s="34"/>
      <c r="BX21" s="34"/>
      <c r="BY21" s="34"/>
      <c r="BZ21" s="34"/>
      <c r="CA21" s="34"/>
      <c r="CB21" s="34"/>
      <c r="CC21" s="34"/>
      <c r="CD21" s="34"/>
      <c r="CE21" s="34"/>
      <c r="CF21" s="34"/>
      <c r="CG21" s="34"/>
      <c r="CH21" s="34"/>
      <c r="CI21" s="34"/>
      <c r="CJ21" s="34"/>
      <c r="CK21" s="34"/>
      <c r="CQ21" s="34"/>
      <c r="CX21" s="34"/>
      <c r="CY21" s="34"/>
      <c r="CZ21" s="34"/>
      <c r="DA21" s="34"/>
      <c r="DB21" s="34"/>
      <c r="DC21" s="34"/>
      <c r="FR21" s="34"/>
    </row>
    <row r="22" spans="1:174" ht="35" customHeight="1">
      <c r="A22" s="109" t="s">
        <v>243</v>
      </c>
      <c r="B22" s="109" t="s">
        <v>244</v>
      </c>
      <c r="C22" s="109" t="s">
        <v>245</v>
      </c>
      <c r="D22" s="110" t="str">
        <f>IFERROR(INDEX([2]!Table1RM[#Data],MATCH($M$56,[2]!Table1RM[Athlete],0),MATCH($L22,[2]!Table1RM[#Headers],0)),"")</f>
        <v/>
      </c>
      <c r="E22" s="109" t="str">
        <f>IF($B22="PE",INDEX([2]ExerciseInventory!$J$2:$L$276,MATCH($L22,[2]ExerciseInventory!$J$2:$J$287,0),2),"")</f>
        <v/>
      </c>
      <c r="F22" s="110" t="str">
        <f>IF($B22="PE",INDEX([2]ExerciseInventory!$J$2:$L$276,MATCH($L22,[2]ExerciseInventory!$J$2:$J$287,0),3),"")</f>
        <v/>
      </c>
      <c r="G22" s="110"/>
      <c r="H22" s="109"/>
      <c r="K22" s="119">
        <v>5</v>
      </c>
      <c r="L22" s="120" t="s">
        <v>98</v>
      </c>
      <c r="M22" s="120"/>
      <c r="N22" s="120"/>
      <c r="O22" s="120"/>
      <c r="P22" s="120"/>
      <c r="Q22" s="120"/>
      <c r="R22" s="120"/>
      <c r="S22" s="120"/>
      <c r="T22" s="120"/>
      <c r="U22" s="119">
        <v>8</v>
      </c>
      <c r="V22" s="119">
        <v>8</v>
      </c>
      <c r="W22" s="119">
        <v>8</v>
      </c>
      <c r="X22" s="90"/>
      <c r="Y22" s="119">
        <v>5</v>
      </c>
      <c r="Z22" s="120" t="s">
        <v>134</v>
      </c>
      <c r="AA22" s="120"/>
      <c r="AB22" s="120"/>
      <c r="AC22" s="120"/>
      <c r="AD22" s="120"/>
      <c r="AE22" s="120"/>
      <c r="AF22" s="120"/>
      <c r="AG22" s="120"/>
      <c r="AH22" s="120"/>
      <c r="AI22" s="119">
        <v>8</v>
      </c>
      <c r="AJ22" s="120">
        <v>8</v>
      </c>
      <c r="AK22" s="120"/>
      <c r="AL22" s="120"/>
      <c r="AM22" s="119">
        <v>8</v>
      </c>
      <c r="AN22" s="90"/>
      <c r="AO22" s="119">
        <v>5</v>
      </c>
      <c r="AP22" s="120" t="s">
        <v>134</v>
      </c>
      <c r="AQ22" s="120"/>
      <c r="AR22" s="120"/>
      <c r="AS22" s="120"/>
      <c r="AT22" s="120"/>
      <c r="AU22" s="120"/>
      <c r="AV22" s="120"/>
      <c r="AW22" s="120"/>
      <c r="AX22" s="120"/>
      <c r="AY22" s="119">
        <v>8</v>
      </c>
      <c r="AZ22" s="119">
        <v>8</v>
      </c>
      <c r="BA22" s="119">
        <v>8</v>
      </c>
      <c r="BB22" s="36"/>
      <c r="BD22" s="34"/>
      <c r="BE22" s="34"/>
      <c r="BF22" s="112" t="str">
        <f t="shared" si="1"/>
        <v/>
      </c>
      <c r="BG22" s="113"/>
      <c r="BH22" s="114"/>
      <c r="BI22" s="114"/>
      <c r="BJ22" s="114"/>
      <c r="BK22" s="114"/>
      <c r="BL22" s="114"/>
      <c r="BM22" s="115"/>
      <c r="BN22" s="116"/>
      <c r="BO22" s="116"/>
      <c r="BP22" s="116"/>
      <c r="BQ22" s="116"/>
      <c r="BR22" s="116"/>
      <c r="BS22" s="117"/>
      <c r="BT22" s="34"/>
      <c r="BU22" s="34"/>
      <c r="BV22" s="34"/>
      <c r="BW22" s="34"/>
      <c r="BX22" s="34"/>
      <c r="BY22" s="34"/>
      <c r="BZ22" s="34"/>
      <c r="CA22" s="34"/>
      <c r="CB22" s="34"/>
      <c r="CC22" s="34"/>
      <c r="CD22" s="34"/>
      <c r="CE22" s="34"/>
      <c r="CF22" s="34"/>
      <c r="CG22" s="34"/>
      <c r="CH22" s="34"/>
      <c r="CI22" s="34"/>
      <c r="CJ22" s="34"/>
      <c r="CK22" s="34"/>
      <c r="CQ22" s="34"/>
      <c r="CX22" s="34"/>
      <c r="CY22" s="34"/>
      <c r="CZ22" s="34"/>
      <c r="DA22" s="34"/>
      <c r="DB22" s="34"/>
      <c r="DC22" s="34"/>
      <c r="FR22" s="34"/>
    </row>
    <row r="23" spans="1:174" ht="35" customHeight="1">
      <c r="A23" s="109" t="s">
        <v>243</v>
      </c>
      <c r="B23" s="109" t="s">
        <v>244</v>
      </c>
      <c r="C23" s="109" t="s">
        <v>245</v>
      </c>
      <c r="D23" s="110" t="str">
        <f>IFERROR(INDEX([2]!Table1RM[#Data],MATCH($M$56,[2]!Table1RM[Athlete],0),MATCH($L23,[2]!Table1RM[#Headers],0)),"")</f>
        <v/>
      </c>
      <c r="E23" s="109" t="str">
        <f>IF($B23="PE",INDEX([2]ExerciseInventory!$J$2:$L$276,MATCH($L23,[2]ExerciseInventory!$J$2:$J$287,0),2),"")</f>
        <v/>
      </c>
      <c r="F23" s="110" t="str">
        <f>IF($B23="PE",INDEX([2]ExerciseInventory!$J$2:$L$276,MATCH($L23,[2]ExerciseInventory!$J$2:$J$287,0),3),"")</f>
        <v/>
      </c>
      <c r="G23" s="110"/>
      <c r="H23" s="109"/>
      <c r="K23" s="119">
        <v>6</v>
      </c>
      <c r="L23" s="120" t="s">
        <v>250</v>
      </c>
      <c r="M23" s="120"/>
      <c r="N23" s="120"/>
      <c r="O23" s="120"/>
      <c r="P23" s="120"/>
      <c r="Q23" s="120"/>
      <c r="R23" s="120"/>
      <c r="S23" s="120"/>
      <c r="T23" s="120"/>
      <c r="U23" s="119">
        <v>4</v>
      </c>
      <c r="V23" s="119">
        <v>4</v>
      </c>
      <c r="W23" s="119">
        <v>4</v>
      </c>
      <c r="X23" s="90"/>
      <c r="Y23" s="119">
        <v>6</v>
      </c>
      <c r="Z23" s="120" t="s">
        <v>250</v>
      </c>
      <c r="AA23" s="120"/>
      <c r="AB23" s="120"/>
      <c r="AC23" s="120"/>
      <c r="AD23" s="120"/>
      <c r="AE23" s="120"/>
      <c r="AF23" s="120"/>
      <c r="AG23" s="120"/>
      <c r="AH23" s="120"/>
      <c r="AI23" s="119">
        <v>4</v>
      </c>
      <c r="AJ23" s="120">
        <v>4</v>
      </c>
      <c r="AK23" s="120"/>
      <c r="AL23" s="120"/>
      <c r="AM23" s="119">
        <v>4</v>
      </c>
      <c r="AN23" s="90"/>
      <c r="AO23" s="119">
        <v>6</v>
      </c>
      <c r="AP23" s="120" t="s">
        <v>250</v>
      </c>
      <c r="AQ23" s="120"/>
      <c r="AR23" s="120"/>
      <c r="AS23" s="120"/>
      <c r="AT23" s="120"/>
      <c r="AU23" s="120"/>
      <c r="AV23" s="120"/>
      <c r="AW23" s="120"/>
      <c r="AX23" s="120"/>
      <c r="AY23" s="119">
        <v>4</v>
      </c>
      <c r="AZ23" s="119">
        <v>4</v>
      </c>
      <c r="BA23" s="119">
        <v>4</v>
      </c>
      <c r="BB23" s="36"/>
      <c r="BD23" s="34"/>
      <c r="BE23" s="34"/>
      <c r="BF23" s="112" t="str">
        <f t="shared" si="1"/>
        <v/>
      </c>
      <c r="BG23" s="113"/>
      <c r="BH23" s="114"/>
      <c r="BI23" s="114"/>
      <c r="BJ23" s="114"/>
      <c r="BK23" s="114"/>
      <c r="BL23" s="114"/>
      <c r="BM23" s="115"/>
      <c r="BN23" s="116"/>
      <c r="BO23" s="116"/>
      <c r="BP23" s="116"/>
      <c r="BQ23" s="116"/>
      <c r="BR23" s="116"/>
      <c r="BS23" s="117"/>
      <c r="BT23" s="34"/>
      <c r="BU23" s="34"/>
      <c r="BV23" s="34"/>
      <c r="BW23" s="34"/>
      <c r="BX23" s="34"/>
      <c r="BY23" s="34"/>
      <c r="BZ23" s="34"/>
      <c r="CA23" s="34"/>
      <c r="CB23" s="34"/>
      <c r="CC23" s="34"/>
      <c r="CD23" s="34"/>
      <c r="CE23" s="34"/>
      <c r="CF23" s="34"/>
      <c r="CG23" s="34"/>
      <c r="CH23" s="34"/>
      <c r="CI23" s="34"/>
      <c r="CJ23" s="34"/>
      <c r="CK23" s="34"/>
      <c r="CQ23" s="34"/>
      <c r="CX23" s="34"/>
      <c r="CY23" s="34"/>
      <c r="CZ23" s="34"/>
      <c r="DA23" s="34"/>
      <c r="DB23" s="34"/>
      <c r="DC23" s="34"/>
      <c r="FR23" s="34"/>
    </row>
    <row r="24" spans="1:174" ht="35" customHeight="1">
      <c r="A24" s="109" t="s">
        <v>243</v>
      </c>
      <c r="B24" s="109" t="s">
        <v>244</v>
      </c>
      <c r="C24" s="109" t="s">
        <v>245</v>
      </c>
      <c r="D24" s="110" t="str">
        <f>IFERROR(INDEX([2]!Table1RM[#Data],MATCH($M$56,[2]!Table1RM[Athlete],0),MATCH($L24,[2]!Table1RM[#Headers],0)),"")</f>
        <v/>
      </c>
      <c r="E24" s="109" t="str">
        <f>IF($B24="PE",INDEX([2]ExerciseInventory!$J$2:$L$276,MATCH($L24,[2]ExerciseInventory!$J$2:$J$287,0),2),"")</f>
        <v/>
      </c>
      <c r="F24" s="110" t="str">
        <f>IF($B24="PE",INDEX([2]ExerciseInventory!$J$2:$L$276,MATCH($L24,[2]ExerciseInventory!$J$2:$J$287,0),3),"")</f>
        <v/>
      </c>
      <c r="G24" s="110"/>
      <c r="H24" s="109"/>
      <c r="K24" s="105">
        <v>7</v>
      </c>
      <c r="L24" s="106" t="s">
        <v>100</v>
      </c>
      <c r="M24" s="106"/>
      <c r="N24" s="106"/>
      <c r="O24" s="106"/>
      <c r="P24" s="106"/>
      <c r="Q24" s="106"/>
      <c r="R24" s="106"/>
      <c r="S24" s="106"/>
      <c r="T24" s="106"/>
      <c r="U24" s="105">
        <v>8</v>
      </c>
      <c r="V24" s="105">
        <v>8</v>
      </c>
      <c r="W24" s="105">
        <v>8</v>
      </c>
      <c r="X24" s="90"/>
      <c r="Y24" s="105">
        <v>7</v>
      </c>
      <c r="Z24" s="106" t="s">
        <v>100</v>
      </c>
      <c r="AA24" s="106"/>
      <c r="AB24" s="106"/>
      <c r="AC24" s="106"/>
      <c r="AD24" s="106"/>
      <c r="AE24" s="106"/>
      <c r="AF24" s="106"/>
      <c r="AG24" s="106"/>
      <c r="AH24" s="106"/>
      <c r="AI24" s="105">
        <v>8</v>
      </c>
      <c r="AJ24" s="106">
        <v>8</v>
      </c>
      <c r="AK24" s="106"/>
      <c r="AL24" s="106"/>
      <c r="AM24" s="105">
        <v>8</v>
      </c>
      <c r="AN24" s="90"/>
      <c r="AO24" s="105">
        <v>7</v>
      </c>
      <c r="AP24" s="106" t="s">
        <v>100</v>
      </c>
      <c r="AQ24" s="106"/>
      <c r="AR24" s="106"/>
      <c r="AS24" s="106"/>
      <c r="AT24" s="106"/>
      <c r="AU24" s="106"/>
      <c r="AV24" s="106"/>
      <c r="AW24" s="106"/>
      <c r="AX24" s="106"/>
      <c r="AY24" s="105">
        <v>8</v>
      </c>
      <c r="AZ24" s="105">
        <v>8</v>
      </c>
      <c r="BA24" s="105">
        <v>8</v>
      </c>
      <c r="BB24" s="36"/>
      <c r="BD24" s="34"/>
      <c r="BE24" s="34"/>
      <c r="BF24" s="112" t="str">
        <f t="shared" si="1"/>
        <v/>
      </c>
      <c r="BG24" s="113"/>
      <c r="BH24" s="114"/>
      <c r="BI24" s="114"/>
      <c r="BJ24" s="114"/>
      <c r="BK24" s="114"/>
      <c r="BL24" s="114"/>
      <c r="BM24" s="115"/>
      <c r="BN24" s="116"/>
      <c r="BO24" s="116"/>
      <c r="BP24" s="116"/>
      <c r="BQ24" s="116"/>
      <c r="BR24" s="116"/>
      <c r="BS24" s="117"/>
      <c r="BT24" s="34"/>
      <c r="BU24" s="34"/>
      <c r="BV24" s="34"/>
      <c r="BW24" s="34"/>
      <c r="BX24" s="34"/>
      <c r="BY24" s="34"/>
      <c r="BZ24" s="34"/>
      <c r="CA24" s="34"/>
      <c r="CB24" s="34"/>
      <c r="CC24" s="34"/>
      <c r="CD24" s="34"/>
      <c r="CE24" s="34"/>
      <c r="CF24" s="34"/>
      <c r="CG24" s="34"/>
      <c r="CH24" s="34"/>
      <c r="CI24" s="34"/>
      <c r="CJ24" s="34"/>
      <c r="CK24" s="34"/>
      <c r="CQ24" s="34"/>
      <c r="CX24" s="34"/>
      <c r="CY24" s="34"/>
      <c r="CZ24" s="34"/>
      <c r="DA24" s="34"/>
      <c r="DB24" s="34"/>
      <c r="DC24" s="34"/>
      <c r="FR24" s="34"/>
    </row>
    <row r="25" spans="1:174" ht="35" customHeight="1">
      <c r="A25" s="109" t="s">
        <v>243</v>
      </c>
      <c r="B25" s="109" t="s">
        <v>244</v>
      </c>
      <c r="C25" s="109" t="s">
        <v>245</v>
      </c>
      <c r="D25" s="110" t="str">
        <f>IFERROR(INDEX([2]!Table1RM[#Data],MATCH($M$56,[2]!Table1RM[Athlete],0),MATCH($L25,[2]!Table1RM[#Headers],0)),"")</f>
        <v/>
      </c>
      <c r="E25" s="109" t="str">
        <f>IF($B25="PE",INDEX([2]ExerciseInventory!$J$2:$L$276,MATCH($L25,[2]ExerciseInventory!$J$2:$J$287,0),2),"")</f>
        <v/>
      </c>
      <c r="F25" s="110" t="str">
        <f>IF($B25="PE",INDEX([2]ExerciseInventory!$J$2:$L$276,MATCH($L25,[2]ExerciseInventory!$J$2:$J$287,0),3),"")</f>
        <v/>
      </c>
      <c r="G25" s="110"/>
      <c r="H25" s="109"/>
      <c r="K25" s="105">
        <v>8</v>
      </c>
      <c r="L25" s="106" t="s">
        <v>251</v>
      </c>
      <c r="M25" s="106"/>
      <c r="N25" s="106"/>
      <c r="O25" s="106"/>
      <c r="P25" s="106"/>
      <c r="Q25" s="106"/>
      <c r="R25" s="106"/>
      <c r="S25" s="106"/>
      <c r="T25" s="106"/>
      <c r="U25" s="105">
        <v>8</v>
      </c>
      <c r="V25" s="105">
        <v>8</v>
      </c>
      <c r="W25" s="105">
        <v>8</v>
      </c>
      <c r="X25" s="90"/>
      <c r="Y25" s="105">
        <v>8</v>
      </c>
      <c r="Z25" s="106" t="s">
        <v>251</v>
      </c>
      <c r="AA25" s="106"/>
      <c r="AB25" s="106"/>
      <c r="AC25" s="106"/>
      <c r="AD25" s="106"/>
      <c r="AE25" s="106"/>
      <c r="AF25" s="106"/>
      <c r="AG25" s="106"/>
      <c r="AH25" s="106"/>
      <c r="AI25" s="105">
        <v>8</v>
      </c>
      <c r="AJ25" s="106">
        <v>8</v>
      </c>
      <c r="AK25" s="106"/>
      <c r="AL25" s="106"/>
      <c r="AM25" s="105">
        <v>8</v>
      </c>
      <c r="AN25" s="90"/>
      <c r="AO25" s="105">
        <v>8</v>
      </c>
      <c r="AP25" s="106" t="s">
        <v>251</v>
      </c>
      <c r="AQ25" s="106"/>
      <c r="AR25" s="106"/>
      <c r="AS25" s="106"/>
      <c r="AT25" s="106"/>
      <c r="AU25" s="106"/>
      <c r="AV25" s="106"/>
      <c r="AW25" s="106"/>
      <c r="AX25" s="106"/>
      <c r="AY25" s="105">
        <v>8</v>
      </c>
      <c r="AZ25" s="105">
        <v>8</v>
      </c>
      <c r="BA25" s="105">
        <v>8</v>
      </c>
      <c r="BB25" s="36"/>
      <c r="BD25" s="34"/>
      <c r="BE25" s="34"/>
      <c r="BF25" s="112" t="str">
        <f t="shared" si="1"/>
        <v/>
      </c>
      <c r="BG25" s="113"/>
      <c r="BH25" s="114"/>
      <c r="BI25" s="114"/>
      <c r="BJ25" s="114"/>
      <c r="BK25" s="114"/>
      <c r="BL25" s="114"/>
      <c r="BM25" s="115"/>
      <c r="BN25" s="116"/>
      <c r="BO25" s="116"/>
      <c r="BP25" s="116"/>
      <c r="BQ25" s="116"/>
      <c r="BR25" s="116"/>
      <c r="BS25" s="117"/>
      <c r="BT25" s="34"/>
      <c r="BU25" s="34"/>
      <c r="BV25" s="34"/>
      <c r="BW25" s="34"/>
      <c r="BX25" s="34"/>
      <c r="BY25" s="34"/>
      <c r="BZ25" s="34"/>
      <c r="CA25" s="34"/>
      <c r="CB25" s="34"/>
      <c r="CC25" s="34"/>
      <c r="CD25" s="34"/>
      <c r="CE25" s="34"/>
      <c r="CF25" s="34"/>
      <c r="CG25" s="34"/>
      <c r="CH25" s="34"/>
      <c r="CI25" s="34"/>
      <c r="CJ25" s="34"/>
      <c r="CK25" s="34"/>
      <c r="CQ25" s="34"/>
      <c r="CX25" s="34"/>
      <c r="CY25" s="34"/>
      <c r="CZ25" s="34"/>
      <c r="DA25" s="34"/>
      <c r="DB25" s="34"/>
      <c r="DC25" s="34"/>
      <c r="FR25" s="34"/>
    </row>
    <row r="26" spans="1:174" ht="35" customHeight="1">
      <c r="A26" s="109" t="s">
        <v>243</v>
      </c>
      <c r="B26" s="109" t="s">
        <v>244</v>
      </c>
      <c r="C26" s="109" t="s">
        <v>245</v>
      </c>
      <c r="D26" s="110" t="str">
        <f>IFERROR(INDEX([2]!Table1RM[#Data],MATCH($M$56,[2]!Table1RM[Athlete],0),MATCH($L26,[2]!Table1RM[#Headers],0)),"")</f>
        <v/>
      </c>
      <c r="E26" s="109" t="str">
        <f>IF($B26="PE",INDEX([2]ExerciseInventory!$J$2:$L$276,MATCH($L26,[2]ExerciseInventory!$J$2:$J$287,0),2),"")</f>
        <v/>
      </c>
      <c r="F26" s="110" t="str">
        <f>IF($B26="PE",INDEX([2]ExerciseInventory!$J$2:$L$276,MATCH($L26,[2]ExerciseInventory!$J$2:$J$287,0),3),"")</f>
        <v/>
      </c>
      <c r="G26" s="110"/>
      <c r="H26" s="109"/>
      <c r="K26" s="105">
        <v>9</v>
      </c>
      <c r="L26" s="106" t="s">
        <v>252</v>
      </c>
      <c r="M26" s="106"/>
      <c r="N26" s="106"/>
      <c r="O26" s="106"/>
      <c r="P26" s="106"/>
      <c r="Q26" s="106"/>
      <c r="R26" s="106"/>
      <c r="S26" s="106"/>
      <c r="T26" s="106"/>
      <c r="U26" s="105">
        <v>6</v>
      </c>
      <c r="V26" s="105">
        <v>6</v>
      </c>
      <c r="W26" s="105">
        <v>6</v>
      </c>
      <c r="X26" s="90"/>
      <c r="Y26" s="105">
        <v>9</v>
      </c>
      <c r="Z26" s="106" t="s">
        <v>252</v>
      </c>
      <c r="AA26" s="106"/>
      <c r="AB26" s="106"/>
      <c r="AC26" s="106"/>
      <c r="AD26" s="106"/>
      <c r="AE26" s="106"/>
      <c r="AF26" s="106"/>
      <c r="AG26" s="106"/>
      <c r="AH26" s="106"/>
      <c r="AI26" s="105">
        <v>6</v>
      </c>
      <c r="AJ26" s="106">
        <v>6</v>
      </c>
      <c r="AK26" s="106"/>
      <c r="AL26" s="106"/>
      <c r="AM26" s="105">
        <v>6</v>
      </c>
      <c r="AN26" s="90"/>
      <c r="AO26" s="105">
        <v>9</v>
      </c>
      <c r="AP26" s="106" t="s">
        <v>252</v>
      </c>
      <c r="AQ26" s="106"/>
      <c r="AR26" s="106"/>
      <c r="AS26" s="106"/>
      <c r="AT26" s="106"/>
      <c r="AU26" s="106"/>
      <c r="AV26" s="106"/>
      <c r="AW26" s="106"/>
      <c r="AX26" s="106"/>
      <c r="AY26" s="105">
        <v>6</v>
      </c>
      <c r="AZ26" s="105">
        <v>6</v>
      </c>
      <c r="BA26" s="105">
        <v>6</v>
      </c>
      <c r="BB26" s="36"/>
      <c r="BD26" s="34"/>
      <c r="BE26" s="34"/>
      <c r="BF26" s="112" t="str">
        <f t="shared" si="1"/>
        <v/>
      </c>
      <c r="BG26" s="113"/>
      <c r="BH26" s="114"/>
      <c r="BI26" s="114"/>
      <c r="BJ26" s="114"/>
      <c r="BK26" s="114"/>
      <c r="BL26" s="114"/>
      <c r="BM26" s="115"/>
      <c r="BN26" s="116"/>
      <c r="BO26" s="116"/>
      <c r="BP26" s="116"/>
      <c r="BQ26" s="116"/>
      <c r="BR26" s="116"/>
      <c r="BS26" s="117"/>
      <c r="BT26" s="34"/>
      <c r="BU26" s="34"/>
      <c r="BV26" s="34"/>
      <c r="BW26" s="34"/>
      <c r="BX26" s="34"/>
      <c r="BY26" s="34"/>
      <c r="BZ26" s="34"/>
      <c r="CA26" s="34"/>
      <c r="CB26" s="34"/>
      <c r="CC26" s="34"/>
      <c r="CD26" s="34"/>
      <c r="CE26" s="34"/>
      <c r="CF26" s="34"/>
      <c r="CG26" s="34"/>
      <c r="CH26" s="34"/>
      <c r="CI26" s="34"/>
      <c r="CJ26" s="34"/>
      <c r="CK26" s="34"/>
      <c r="CQ26" s="34"/>
      <c r="CX26" s="34"/>
      <c r="CY26" s="34"/>
      <c r="CZ26" s="34"/>
      <c r="DA26" s="34"/>
      <c r="DB26" s="34"/>
      <c r="DC26" s="34"/>
      <c r="FR26" s="34"/>
    </row>
    <row r="27" spans="1:174" ht="35" customHeight="1">
      <c r="A27" s="109" t="s">
        <v>243</v>
      </c>
      <c r="B27" s="109" t="s">
        <v>244</v>
      </c>
      <c r="C27" s="109" t="s">
        <v>245</v>
      </c>
      <c r="D27" s="110" t="str">
        <f>IFERROR(INDEX([2]!Table1RM[#Data],MATCH($M$56,[2]!Table1RM[Athlete],0),MATCH($L27,[2]!Table1RM[#Headers],0)),"")</f>
        <v/>
      </c>
      <c r="E27" s="109" t="str">
        <f>IF($B27="PE",INDEX([2]ExerciseInventory!$J$2:$L$276,MATCH($L27,[2]ExerciseInventory!$J$2:$J$287,0),2),"")</f>
        <v/>
      </c>
      <c r="F27" s="110" t="str">
        <f>IF($B27="PE",INDEX([2]ExerciseInventory!$J$2:$L$276,MATCH($L27,[2]ExerciseInventory!$J$2:$J$287,0),3),"")</f>
        <v/>
      </c>
      <c r="G27" s="110"/>
      <c r="H27" s="109"/>
      <c r="K27" s="111"/>
      <c r="L27" s="111"/>
      <c r="M27" s="111"/>
      <c r="N27" s="111"/>
      <c r="O27" s="111"/>
      <c r="P27" s="111"/>
      <c r="Q27" s="111"/>
      <c r="R27" s="111"/>
      <c r="S27" s="111"/>
      <c r="T27" s="111"/>
      <c r="U27" s="111"/>
      <c r="V27" s="111"/>
      <c r="W27" s="111"/>
      <c r="X27" s="90"/>
      <c r="Y27" s="111"/>
      <c r="Z27" s="111"/>
      <c r="AA27" s="111"/>
      <c r="AB27" s="111"/>
      <c r="AC27" s="111"/>
      <c r="AD27" s="111"/>
      <c r="AE27" s="111"/>
      <c r="AF27" s="111"/>
      <c r="AG27" s="111"/>
      <c r="AH27" s="111"/>
      <c r="AI27" s="111"/>
      <c r="AJ27" s="111"/>
      <c r="AK27" s="111"/>
      <c r="AL27" s="111"/>
      <c r="AM27" s="111"/>
      <c r="AN27" s="90"/>
      <c r="AO27" s="111"/>
      <c r="AP27" s="111"/>
      <c r="AQ27" s="111"/>
      <c r="AR27" s="111"/>
      <c r="AS27" s="111"/>
      <c r="AT27" s="111"/>
      <c r="AU27" s="111"/>
      <c r="AV27" s="111"/>
      <c r="AW27" s="111"/>
      <c r="AX27" s="111"/>
      <c r="AY27" s="111"/>
      <c r="AZ27" s="111"/>
      <c r="BA27" s="111"/>
      <c r="BB27" s="36"/>
      <c r="BD27" s="34"/>
      <c r="BE27" s="34"/>
      <c r="BF27" s="112" t="str">
        <f t="shared" si="1"/>
        <v/>
      </c>
      <c r="BG27" s="113"/>
      <c r="BH27" s="114"/>
      <c r="BI27" s="114"/>
      <c r="BJ27" s="114"/>
      <c r="BK27" s="114"/>
      <c r="BL27" s="114"/>
      <c r="BM27" s="115"/>
      <c r="BN27" s="116"/>
      <c r="BO27" s="116"/>
      <c r="BP27" s="116"/>
      <c r="BQ27" s="116"/>
      <c r="BR27" s="116"/>
      <c r="BS27" s="117"/>
      <c r="BT27" s="34"/>
      <c r="BU27" s="34"/>
      <c r="BV27" s="34"/>
      <c r="BW27" s="34"/>
      <c r="BX27" s="34"/>
      <c r="BY27" s="34"/>
      <c r="BZ27" s="34"/>
      <c r="CA27" s="34"/>
      <c r="CB27" s="34"/>
      <c r="CC27" s="34"/>
      <c r="CD27" s="34"/>
      <c r="CE27" s="34"/>
      <c r="CF27" s="34"/>
      <c r="CG27" s="34"/>
      <c r="CH27" s="34"/>
      <c r="CI27" s="34"/>
      <c r="CJ27" s="34"/>
      <c r="CK27" s="34"/>
      <c r="CQ27" s="34"/>
      <c r="CX27" s="34"/>
      <c r="CY27" s="34"/>
      <c r="CZ27" s="34"/>
      <c r="DA27" s="34"/>
      <c r="DB27" s="34"/>
      <c r="DC27" s="34"/>
      <c r="FR27" s="34"/>
    </row>
    <row r="28" spans="1:174" ht="35" customHeight="1">
      <c r="A28" s="109" t="s">
        <v>243</v>
      </c>
      <c r="B28" s="109" t="s">
        <v>244</v>
      </c>
      <c r="C28" s="109" t="s">
        <v>245</v>
      </c>
      <c r="D28" s="110" t="str">
        <f>IFERROR(INDEX([2]!Table1RM[#Data],MATCH($M$56,[2]!Table1RM[Athlete],0),MATCH($L28,[2]!Table1RM[#Headers],0)),"")</f>
        <v/>
      </c>
      <c r="E28" s="109" t="str">
        <f>IF($B28="PE",INDEX([2]ExerciseInventory!$J$2:$L$276,MATCH($L28,[2]ExerciseInventory!$J$2:$J$287,0),2),"")</f>
        <v/>
      </c>
      <c r="F28" s="110" t="str">
        <f>IF($B28="PE",INDEX([2]ExerciseInventory!$J$2:$L$276,MATCH($L28,[2]ExerciseInventory!$J$2:$J$287,0),3),"")</f>
        <v/>
      </c>
      <c r="G28" s="110"/>
      <c r="H28" s="109"/>
      <c r="K28" s="88" t="s">
        <v>68</v>
      </c>
      <c r="L28" s="88"/>
      <c r="M28" s="88"/>
      <c r="N28" s="88"/>
      <c r="O28" s="88"/>
      <c r="P28" s="88"/>
      <c r="Q28" s="88"/>
      <c r="R28" s="88"/>
      <c r="S28" s="88"/>
      <c r="T28" s="88"/>
      <c r="U28" s="89" t="s">
        <v>120</v>
      </c>
      <c r="V28" s="89" t="s">
        <v>120</v>
      </c>
      <c r="W28" s="89" t="s">
        <v>120</v>
      </c>
      <c r="X28" s="90"/>
      <c r="Y28" s="88"/>
      <c r="Z28" s="88"/>
      <c r="AA28" s="88"/>
      <c r="AB28" s="88"/>
      <c r="AC28" s="88"/>
      <c r="AD28" s="88"/>
      <c r="AE28" s="88"/>
      <c r="AF28" s="88"/>
      <c r="AG28" s="88"/>
      <c r="AH28" s="88"/>
      <c r="AI28" s="89" t="s">
        <v>120</v>
      </c>
      <c r="AJ28" s="92" t="s">
        <v>120</v>
      </c>
      <c r="AK28" s="92"/>
      <c r="AL28" s="92"/>
      <c r="AM28" s="89" t="s">
        <v>120</v>
      </c>
      <c r="AN28" s="90"/>
      <c r="AO28" s="88"/>
      <c r="AP28" s="88"/>
      <c r="AQ28" s="88"/>
      <c r="AR28" s="88"/>
      <c r="AS28" s="88"/>
      <c r="AT28" s="88"/>
      <c r="AU28" s="88"/>
      <c r="AV28" s="88"/>
      <c r="AW28" s="88"/>
      <c r="AX28" s="88"/>
      <c r="AY28" s="89" t="s">
        <v>120</v>
      </c>
      <c r="AZ28" s="89" t="s">
        <v>120</v>
      </c>
      <c r="BA28" s="89" t="s">
        <v>120</v>
      </c>
      <c r="BB28" s="36"/>
      <c r="BD28" s="34"/>
      <c r="BE28" s="34"/>
      <c r="BF28" s="112" t="str">
        <f t="shared" si="1"/>
        <v/>
      </c>
      <c r="BG28" s="113"/>
      <c r="BH28" s="114"/>
      <c r="BI28" s="114"/>
      <c r="BJ28" s="114"/>
      <c r="BK28" s="114"/>
      <c r="BL28" s="114"/>
      <c r="BM28" s="115"/>
      <c r="BN28" s="116"/>
      <c r="BO28" s="116"/>
      <c r="BP28" s="116"/>
      <c r="BQ28" s="116"/>
      <c r="BR28" s="116"/>
      <c r="BS28" s="117"/>
      <c r="BT28" s="34"/>
      <c r="BU28" s="34"/>
      <c r="BV28" s="34"/>
      <c r="BW28" s="34"/>
      <c r="BX28" s="34"/>
      <c r="BY28" s="34"/>
      <c r="BZ28" s="34"/>
      <c r="CA28" s="34"/>
      <c r="CB28" s="34"/>
      <c r="CC28" s="34"/>
      <c r="CD28" s="34"/>
      <c r="CE28" s="34"/>
      <c r="CF28" s="34"/>
      <c r="CG28" s="34"/>
      <c r="CH28" s="34"/>
      <c r="CI28" s="34"/>
      <c r="CJ28" s="34"/>
      <c r="CK28" s="34"/>
      <c r="CQ28" s="34"/>
      <c r="CX28" s="34"/>
      <c r="CY28" s="34"/>
      <c r="CZ28" s="34"/>
      <c r="DA28" s="34"/>
      <c r="DB28" s="34"/>
      <c r="DC28" s="34"/>
      <c r="FR28" s="34"/>
    </row>
    <row r="29" spans="1:174" ht="35" customHeight="1">
      <c r="A29" s="109" t="s">
        <v>243</v>
      </c>
      <c r="B29" s="109" t="s">
        <v>244</v>
      </c>
      <c r="C29" s="109" t="s">
        <v>245</v>
      </c>
      <c r="D29" s="110" t="str">
        <f>IFERROR(INDEX([2]!Table1RM[#Data],MATCH($M$56,[2]!Table1RM[Athlete],0),MATCH($L29,[2]!Table1RM[#Headers],0)),"")</f>
        <v/>
      </c>
      <c r="E29" s="109" t="str">
        <f>IF($B29="PE",INDEX([2]ExerciseInventory!$J$2:$L$276,MATCH($L29,[2]ExerciseInventory!$J$2:$J$287,0),2),"")</f>
        <v/>
      </c>
      <c r="F29" s="110" t="str">
        <f>IF($B29="PE",INDEX([2]ExerciseInventory!$J$2:$L$276,MATCH($L29,[2]ExerciseInventory!$J$2:$J$287,0),3),"")</f>
        <v/>
      </c>
      <c r="G29" s="110"/>
      <c r="H29" s="109"/>
      <c r="K29" s="105" t="s">
        <v>107</v>
      </c>
      <c r="L29" s="106" t="s">
        <v>253</v>
      </c>
      <c r="M29" s="106"/>
      <c r="N29" s="106"/>
      <c r="O29" s="106"/>
      <c r="P29" s="106"/>
      <c r="Q29" s="106"/>
      <c r="R29" s="106"/>
      <c r="S29" s="106"/>
      <c r="T29" s="106"/>
      <c r="U29" s="105">
        <v>6</v>
      </c>
      <c r="V29" s="105">
        <v>6</v>
      </c>
      <c r="W29" s="105"/>
      <c r="X29" s="90"/>
      <c r="Y29" s="105" t="s">
        <v>107</v>
      </c>
      <c r="Z29" s="106" t="s">
        <v>253</v>
      </c>
      <c r="AA29" s="106"/>
      <c r="AB29" s="106"/>
      <c r="AC29" s="106"/>
      <c r="AD29" s="106"/>
      <c r="AE29" s="106"/>
      <c r="AF29" s="106"/>
      <c r="AG29" s="106"/>
      <c r="AH29" s="106"/>
      <c r="AI29" s="105">
        <v>7</v>
      </c>
      <c r="AJ29" s="106">
        <v>7</v>
      </c>
      <c r="AK29" s="106"/>
      <c r="AL29" s="106"/>
      <c r="AM29" s="105"/>
      <c r="AN29" s="90"/>
      <c r="AO29" s="105" t="s">
        <v>107</v>
      </c>
      <c r="AP29" s="106" t="s">
        <v>254</v>
      </c>
      <c r="AQ29" s="106"/>
      <c r="AR29" s="106"/>
      <c r="AS29" s="106"/>
      <c r="AT29" s="106"/>
      <c r="AU29" s="106"/>
      <c r="AV29" s="106"/>
      <c r="AW29" s="106"/>
      <c r="AX29" s="106"/>
      <c r="AY29" s="121" t="s">
        <v>255</v>
      </c>
      <c r="AZ29" s="121" t="s">
        <v>256</v>
      </c>
      <c r="BA29" s="121" t="s">
        <v>256</v>
      </c>
      <c r="BB29" s="36"/>
      <c r="BD29" s="34"/>
      <c r="BE29" s="34"/>
      <c r="BF29" s="112" t="str">
        <f t="shared" si="1"/>
        <v/>
      </c>
      <c r="BG29" s="113"/>
      <c r="BH29" s="114"/>
      <c r="BI29" s="114"/>
      <c r="BJ29" s="114"/>
      <c r="BK29" s="114"/>
      <c r="BL29" s="114"/>
      <c r="BM29" s="115"/>
      <c r="BN29" s="116"/>
      <c r="BO29" s="116"/>
      <c r="BP29" s="116"/>
      <c r="BQ29" s="116"/>
      <c r="BR29" s="116"/>
      <c r="BS29" s="117"/>
      <c r="BT29" s="34"/>
      <c r="BU29" s="34"/>
      <c r="BV29" s="34"/>
      <c r="BW29" s="34"/>
      <c r="BX29" s="34"/>
      <c r="BY29" s="34"/>
      <c r="BZ29" s="34"/>
      <c r="CA29" s="34"/>
      <c r="CB29" s="34"/>
      <c r="CC29" s="34"/>
      <c r="CD29" s="34"/>
      <c r="CE29" s="34"/>
      <c r="CF29" s="34"/>
      <c r="CG29" s="34"/>
      <c r="CH29" s="34"/>
      <c r="CI29" s="34"/>
      <c r="CJ29" s="34"/>
      <c r="CK29" s="34"/>
      <c r="CQ29" s="34"/>
      <c r="CX29" s="34"/>
      <c r="CY29" s="34"/>
      <c r="CZ29" s="34"/>
      <c r="DA29" s="34"/>
      <c r="DB29" s="34"/>
      <c r="DC29" s="34"/>
      <c r="FR29" s="34"/>
    </row>
    <row r="30" spans="1:174" ht="35" customHeight="1">
      <c r="A30" s="109" t="s">
        <v>243</v>
      </c>
      <c r="B30" s="109" t="s">
        <v>244</v>
      </c>
      <c r="C30" s="109" t="s">
        <v>245</v>
      </c>
      <c r="D30" s="110" t="str">
        <f>IFERROR(INDEX([2]!Table1RM[#Data],MATCH($M$56,[2]!Table1RM[Athlete],0),MATCH($L30,[2]!Table1RM[#Headers],0)),"")</f>
        <v/>
      </c>
      <c r="E30" s="109" t="str">
        <f>IF($B30="PE",INDEX([2]ExerciseInventory!$J$2:$L$276,MATCH($L30,[2]ExerciseInventory!$J$2:$J$287,0),2),"")</f>
        <v/>
      </c>
      <c r="F30" s="110" t="str">
        <f>IF($B30="PE",INDEX([2]ExerciseInventory!$J$2:$L$276,MATCH($L30,[2]ExerciseInventory!$J$2:$J$287,0),3),"")</f>
        <v/>
      </c>
      <c r="G30" s="110"/>
      <c r="H30" s="109"/>
      <c r="K30" s="105" t="s">
        <v>108</v>
      </c>
      <c r="L30" s="106" t="s">
        <v>257</v>
      </c>
      <c r="M30" s="106"/>
      <c r="N30" s="106"/>
      <c r="O30" s="106"/>
      <c r="P30" s="106"/>
      <c r="Q30" s="106"/>
      <c r="R30" s="106"/>
      <c r="S30" s="106"/>
      <c r="T30" s="106"/>
      <c r="U30" s="105">
        <v>10</v>
      </c>
      <c r="V30" s="105">
        <v>10</v>
      </c>
      <c r="W30" s="105"/>
      <c r="X30" s="90"/>
      <c r="Y30" s="105" t="s">
        <v>108</v>
      </c>
      <c r="Z30" s="106" t="s">
        <v>258</v>
      </c>
      <c r="AA30" s="106"/>
      <c r="AB30" s="106"/>
      <c r="AC30" s="106"/>
      <c r="AD30" s="106"/>
      <c r="AE30" s="106"/>
      <c r="AF30" s="106"/>
      <c r="AG30" s="106"/>
      <c r="AH30" s="106"/>
      <c r="AI30" s="105">
        <v>7</v>
      </c>
      <c r="AJ30" s="106">
        <v>7</v>
      </c>
      <c r="AK30" s="106"/>
      <c r="AL30" s="106"/>
      <c r="AM30" s="105"/>
      <c r="AN30" s="90"/>
      <c r="AO30" s="105" t="s">
        <v>108</v>
      </c>
      <c r="AP30" s="122" t="s">
        <v>259</v>
      </c>
      <c r="AQ30" s="122"/>
      <c r="AR30" s="122"/>
      <c r="AS30" s="122"/>
      <c r="AT30" s="122"/>
      <c r="AU30" s="122"/>
      <c r="AV30" s="122"/>
      <c r="AW30" s="122"/>
      <c r="AX30" s="122"/>
      <c r="AY30" s="105">
        <v>6</v>
      </c>
      <c r="AZ30" s="105">
        <v>7</v>
      </c>
      <c r="BA30" s="105"/>
      <c r="BB30" s="36"/>
      <c r="BD30" s="34"/>
      <c r="BE30" s="34"/>
      <c r="BF30" s="112" t="str">
        <f t="shared" si="1"/>
        <v/>
      </c>
      <c r="BG30" s="113"/>
      <c r="BH30" s="114"/>
      <c r="BI30" s="114"/>
      <c r="BJ30" s="114"/>
      <c r="BK30" s="114"/>
      <c r="BL30" s="114"/>
      <c r="BM30" s="115"/>
      <c r="BN30" s="116"/>
      <c r="BO30" s="116"/>
      <c r="BP30" s="116"/>
      <c r="BQ30" s="116"/>
      <c r="BR30" s="116"/>
      <c r="BS30" s="117"/>
      <c r="BT30" s="34"/>
      <c r="BU30" s="34"/>
      <c r="BV30" s="34"/>
      <c r="BW30" s="34"/>
      <c r="BX30" s="34"/>
      <c r="BY30" s="34"/>
      <c r="BZ30" s="34"/>
      <c r="CA30" s="34"/>
      <c r="CB30" s="34"/>
      <c r="CC30" s="34"/>
      <c r="CD30" s="34"/>
      <c r="CE30" s="34"/>
      <c r="CF30" s="34"/>
      <c r="CG30" s="34"/>
      <c r="CH30" s="34"/>
      <c r="CI30" s="34"/>
      <c r="CJ30" s="34"/>
      <c r="CK30" s="34"/>
      <c r="CQ30" s="34"/>
      <c r="CX30" s="34"/>
      <c r="CY30" s="34"/>
      <c r="CZ30" s="34"/>
      <c r="DA30" s="34"/>
      <c r="DB30" s="34"/>
      <c r="DC30" s="34"/>
      <c r="FR30" s="34"/>
    </row>
    <row r="31" spans="1:174" ht="35" customHeight="1">
      <c r="A31" s="110" t="s">
        <v>243</v>
      </c>
      <c r="B31" s="110" t="s">
        <v>244</v>
      </c>
      <c r="C31" s="110" t="s">
        <v>245</v>
      </c>
      <c r="D31" s="110" t="str">
        <f>IFERROR(INDEX([2]!Table1RM[#Data],MATCH($M$56,[2]!Table1RM[Athlete],0),MATCH($L31,[2]!Table1RM[#Headers],0)),"")</f>
        <v/>
      </c>
      <c r="E31" s="110" t="str">
        <f>IF($B31="PE",INDEX([2]ExerciseInventory!$J$2:$L$276,MATCH($L31,[2]ExerciseInventory!$J$2:$J$287,0),2),"")</f>
        <v/>
      </c>
      <c r="F31" s="110" t="str">
        <f>IF($B31="PE",INDEX([2]ExerciseInventory!$J$2:$L$276,MATCH($L31,[2]ExerciseInventory!$J$2:$J$287,0),3),"")</f>
        <v/>
      </c>
      <c r="G31" s="110"/>
      <c r="H31" s="110"/>
      <c r="K31" s="105" t="s">
        <v>109</v>
      </c>
      <c r="L31" s="106" t="s">
        <v>260</v>
      </c>
      <c r="M31" s="106"/>
      <c r="N31" s="106"/>
      <c r="O31" s="106"/>
      <c r="P31" s="106"/>
      <c r="Q31" s="106"/>
      <c r="R31" s="106"/>
      <c r="S31" s="106"/>
      <c r="T31" s="106"/>
      <c r="U31" s="105">
        <v>6</v>
      </c>
      <c r="V31" s="105">
        <v>6</v>
      </c>
      <c r="W31" s="105"/>
      <c r="X31" s="90"/>
      <c r="Y31" s="105" t="s">
        <v>109</v>
      </c>
      <c r="Z31" s="106" t="s">
        <v>119</v>
      </c>
      <c r="AA31" s="106"/>
      <c r="AB31" s="106"/>
      <c r="AC31" s="106"/>
      <c r="AD31" s="106"/>
      <c r="AE31" s="106"/>
      <c r="AF31" s="106"/>
      <c r="AG31" s="106"/>
      <c r="AH31" s="106"/>
      <c r="AI31" s="123">
        <v>0.125</v>
      </c>
      <c r="AJ31" s="124">
        <v>0.125</v>
      </c>
      <c r="AK31" s="106"/>
      <c r="AL31" s="106"/>
      <c r="AM31" s="105"/>
      <c r="AN31" s="90"/>
      <c r="AO31" s="105" t="s">
        <v>109</v>
      </c>
      <c r="AP31" s="106" t="s">
        <v>119</v>
      </c>
      <c r="AQ31" s="106"/>
      <c r="AR31" s="106"/>
      <c r="AS31" s="106"/>
      <c r="AT31" s="106"/>
      <c r="AU31" s="106"/>
      <c r="AV31" s="106"/>
      <c r="AW31" s="106"/>
      <c r="AX31" s="106"/>
      <c r="AY31" s="123">
        <v>0.125</v>
      </c>
      <c r="AZ31" s="123">
        <v>0.125</v>
      </c>
      <c r="BA31" s="105"/>
      <c r="BB31" s="36"/>
      <c r="BD31" s="34"/>
      <c r="BE31" s="34"/>
      <c r="BF31" s="112" t="str">
        <f t="shared" si="1"/>
        <v/>
      </c>
      <c r="BG31" s="113"/>
      <c r="BH31" s="114"/>
      <c r="BI31" s="114"/>
      <c r="BJ31" s="114"/>
      <c r="BK31" s="114"/>
      <c r="BL31" s="114"/>
      <c r="BM31" s="115"/>
      <c r="BN31" s="116"/>
      <c r="BO31" s="116"/>
      <c r="BP31" s="116"/>
      <c r="BQ31" s="116"/>
      <c r="BR31" s="116"/>
      <c r="BS31" s="117"/>
      <c r="BT31" s="34"/>
      <c r="BU31" s="34"/>
      <c r="BV31" s="34"/>
      <c r="BW31" s="34"/>
      <c r="BX31" s="34"/>
      <c r="BY31" s="34"/>
      <c r="BZ31" s="34"/>
      <c r="CA31" s="34"/>
      <c r="CB31" s="34"/>
      <c r="CC31" s="34"/>
      <c r="CD31" s="34"/>
      <c r="CE31" s="34"/>
      <c r="CF31" s="34"/>
      <c r="CG31" s="34"/>
      <c r="CH31" s="34"/>
      <c r="CI31" s="34"/>
      <c r="CJ31" s="34"/>
      <c r="CK31" s="34"/>
      <c r="CQ31" s="34"/>
      <c r="CX31" s="34"/>
      <c r="CY31" s="34"/>
      <c r="CZ31" s="34"/>
      <c r="DA31" s="34"/>
      <c r="DB31" s="34"/>
      <c r="DC31" s="34"/>
      <c r="FR31" s="34"/>
    </row>
    <row r="32" spans="1:174" ht="35" customHeight="1">
      <c r="A32" s="125" t="s">
        <v>237</v>
      </c>
      <c r="B32" s="125"/>
      <c r="C32" s="125" t="s">
        <v>238</v>
      </c>
      <c r="D32" s="125" t="s">
        <v>239</v>
      </c>
      <c r="E32" s="125" t="s">
        <v>247</v>
      </c>
      <c r="F32" s="125" t="s">
        <v>248</v>
      </c>
      <c r="G32" s="125" t="s">
        <v>240</v>
      </c>
      <c r="H32" s="125" t="s">
        <v>241</v>
      </c>
      <c r="K32" s="119" t="s">
        <v>110</v>
      </c>
      <c r="L32" s="120" t="s">
        <v>261</v>
      </c>
      <c r="M32" s="120"/>
      <c r="N32" s="120"/>
      <c r="O32" s="120"/>
      <c r="P32" s="120"/>
      <c r="Q32" s="120"/>
      <c r="R32" s="120"/>
      <c r="S32" s="120"/>
      <c r="T32" s="120"/>
      <c r="U32" s="119">
        <v>4</v>
      </c>
      <c r="V32" s="119"/>
      <c r="W32" s="119">
        <v>4</v>
      </c>
      <c r="X32" s="90"/>
      <c r="Y32" s="119" t="s">
        <v>110</v>
      </c>
      <c r="Z32" s="120" t="s">
        <v>262</v>
      </c>
      <c r="AA32" s="120"/>
      <c r="AB32" s="120"/>
      <c r="AC32" s="120"/>
      <c r="AD32" s="120"/>
      <c r="AE32" s="120"/>
      <c r="AF32" s="120"/>
      <c r="AG32" s="120"/>
      <c r="AH32" s="120"/>
      <c r="AI32" s="119">
        <v>4</v>
      </c>
      <c r="AJ32" s="120"/>
      <c r="AK32" s="120"/>
      <c r="AL32" s="120"/>
      <c r="AM32" s="119">
        <v>4</v>
      </c>
      <c r="AN32" s="90"/>
      <c r="AO32" s="119" t="s">
        <v>110</v>
      </c>
      <c r="AP32" s="120" t="s">
        <v>262</v>
      </c>
      <c r="AQ32" s="120"/>
      <c r="AR32" s="120"/>
      <c r="AS32" s="120"/>
      <c r="AT32" s="120"/>
      <c r="AU32" s="120"/>
      <c r="AV32" s="120"/>
      <c r="AW32" s="120"/>
      <c r="AX32" s="120"/>
      <c r="AY32" s="119">
        <v>5</v>
      </c>
      <c r="AZ32" s="119"/>
      <c r="BA32" s="119">
        <v>5</v>
      </c>
      <c r="BB32" s="36"/>
      <c r="BD32" s="34"/>
      <c r="BE32" s="34"/>
      <c r="BF32" s="112" t="str">
        <f t="shared" si="1"/>
        <v/>
      </c>
      <c r="BG32" s="113"/>
      <c r="BH32" s="114"/>
      <c r="BI32" s="114"/>
      <c r="BJ32" s="114"/>
      <c r="BK32" s="114"/>
      <c r="BL32" s="114"/>
      <c r="BM32" s="115"/>
      <c r="BN32" s="116"/>
      <c r="BO32" s="116"/>
      <c r="BP32" s="116"/>
      <c r="BQ32" s="116"/>
      <c r="BR32" s="116"/>
      <c r="BS32" s="117"/>
      <c r="BT32" s="34"/>
      <c r="BU32" s="34"/>
      <c r="BV32" s="34"/>
      <c r="BW32" s="34"/>
      <c r="BX32" s="34"/>
      <c r="BY32" s="34"/>
      <c r="BZ32" s="34"/>
      <c r="CA32" s="34"/>
      <c r="CB32" s="34"/>
      <c r="CC32" s="34"/>
      <c r="CD32" s="34"/>
      <c r="CE32" s="34"/>
      <c r="CF32" s="34"/>
      <c r="CG32" s="34"/>
      <c r="CH32" s="34"/>
      <c r="CI32" s="34"/>
      <c r="CJ32" s="34"/>
      <c r="CK32" s="34"/>
      <c r="CQ32" s="34"/>
      <c r="CX32" s="34"/>
      <c r="CY32" s="34"/>
      <c r="CZ32" s="34"/>
      <c r="DA32" s="34"/>
      <c r="DB32" s="34"/>
      <c r="DC32" s="34"/>
      <c r="FR32" s="34"/>
    </row>
    <row r="33" spans="1:174" ht="35" customHeight="1">
      <c r="A33" s="126"/>
      <c r="B33" s="126"/>
      <c r="C33" s="126"/>
      <c r="D33" s="126"/>
      <c r="E33" s="126"/>
      <c r="F33" s="126"/>
      <c r="G33" s="126"/>
      <c r="H33" s="126"/>
      <c r="K33" s="119" t="s">
        <v>111</v>
      </c>
      <c r="L33" s="120" t="s">
        <v>122</v>
      </c>
      <c r="M33" s="120"/>
      <c r="N33" s="120"/>
      <c r="O33" s="120"/>
      <c r="P33" s="120"/>
      <c r="Q33" s="120"/>
      <c r="R33" s="120"/>
      <c r="S33" s="120"/>
      <c r="T33" s="120"/>
      <c r="U33" s="119" t="s">
        <v>263</v>
      </c>
      <c r="V33" s="119"/>
      <c r="W33" s="119">
        <v>8</v>
      </c>
      <c r="X33" s="90"/>
      <c r="Y33" s="119" t="s">
        <v>111</v>
      </c>
      <c r="Z33" s="120" t="s">
        <v>122</v>
      </c>
      <c r="AA33" s="120"/>
      <c r="AB33" s="120"/>
      <c r="AC33" s="120"/>
      <c r="AD33" s="120"/>
      <c r="AE33" s="120"/>
      <c r="AF33" s="120"/>
      <c r="AG33" s="120"/>
      <c r="AH33" s="120"/>
      <c r="AI33" s="119" t="s">
        <v>264</v>
      </c>
      <c r="AJ33" s="120"/>
      <c r="AK33" s="120"/>
      <c r="AL33" s="120"/>
      <c r="AM33" s="119">
        <v>10</v>
      </c>
      <c r="AN33" s="90"/>
      <c r="AO33" s="119" t="s">
        <v>111</v>
      </c>
      <c r="AP33" s="120" t="s">
        <v>265</v>
      </c>
      <c r="AQ33" s="120"/>
      <c r="AR33" s="120"/>
      <c r="AS33" s="120"/>
      <c r="AT33" s="120"/>
      <c r="AU33" s="120"/>
      <c r="AV33" s="120"/>
      <c r="AW33" s="120"/>
      <c r="AX33" s="120"/>
      <c r="AY33" s="119" t="s">
        <v>266</v>
      </c>
      <c r="AZ33" s="119"/>
      <c r="BA33" s="119">
        <v>6</v>
      </c>
      <c r="BB33" s="36"/>
      <c r="BD33" s="34"/>
      <c r="BE33" s="34"/>
      <c r="BF33" s="112" t="str">
        <f t="shared" si="1"/>
        <v/>
      </c>
      <c r="BG33" s="113"/>
      <c r="BH33" s="114"/>
      <c r="BI33" s="114"/>
      <c r="BJ33" s="114"/>
      <c r="BK33" s="114"/>
      <c r="BL33" s="114"/>
      <c r="BM33" s="115"/>
      <c r="BN33" s="116"/>
      <c r="BO33" s="116"/>
      <c r="BP33" s="116"/>
      <c r="BQ33" s="116"/>
      <c r="BR33" s="116"/>
      <c r="BS33" s="117"/>
      <c r="BT33" s="34"/>
      <c r="BU33" s="34"/>
      <c r="BV33" s="34"/>
      <c r="BW33" s="34"/>
      <c r="BX33" s="34"/>
      <c r="BY33" s="34"/>
      <c r="BZ33" s="34"/>
      <c r="CA33" s="34"/>
      <c r="CB33" s="34"/>
      <c r="CC33" s="34"/>
      <c r="CD33" s="34"/>
      <c r="CE33" s="34"/>
      <c r="CF33" s="34"/>
      <c r="CG33" s="34"/>
      <c r="CH33" s="34"/>
      <c r="CI33" s="34"/>
      <c r="CJ33" s="34"/>
      <c r="CK33" s="34"/>
      <c r="CQ33" s="34"/>
      <c r="CX33" s="34"/>
      <c r="CY33" s="34"/>
      <c r="CZ33" s="34"/>
      <c r="DA33" s="34"/>
      <c r="DB33" s="34"/>
      <c r="DC33" s="34"/>
      <c r="FR33" s="34"/>
    </row>
    <row r="34" spans="1:174" ht="35" customHeight="1">
      <c r="A34" s="127" t="s">
        <v>243</v>
      </c>
      <c r="B34" s="127" t="s">
        <v>244</v>
      </c>
      <c r="C34" s="127" t="s">
        <v>245</v>
      </c>
      <c r="D34" s="128" t="str">
        <f>IFERROR(INDEX([2]!Table1RM[#Data],MATCH($M$56,[2]!Table1RM[Athlete],0),MATCH($L34,[2]!Table1RM[#Headers],0)),"")</f>
        <v/>
      </c>
      <c r="E34" s="127" t="str">
        <f>IF($B34="PE",INDEX([2]ExerciseInventory!$J$2:$L$276,MATCH($L34,[2]ExerciseInventory!$J$2:$J$287,0),2),"")</f>
        <v/>
      </c>
      <c r="F34" s="128" t="str">
        <f>IF($B34="PE",INDEX([2]ExerciseInventory!$J$2:$L$276,MATCH($L34,[2]ExerciseInventory!$J$2:$J$287,0),3),"")</f>
        <v/>
      </c>
      <c r="G34" s="128"/>
      <c r="H34" s="127"/>
      <c r="K34" s="119" t="s">
        <v>112</v>
      </c>
      <c r="L34" s="120" t="s">
        <v>267</v>
      </c>
      <c r="M34" s="120"/>
      <c r="N34" s="120"/>
      <c r="O34" s="120"/>
      <c r="P34" s="120"/>
      <c r="Q34" s="120"/>
      <c r="R34" s="120"/>
      <c r="S34" s="120"/>
      <c r="T34" s="120"/>
      <c r="U34" s="119">
        <v>6</v>
      </c>
      <c r="V34" s="119"/>
      <c r="W34" s="119">
        <v>6</v>
      </c>
      <c r="X34" s="90"/>
      <c r="Y34" s="119" t="s">
        <v>112</v>
      </c>
      <c r="Z34" s="120" t="s">
        <v>267</v>
      </c>
      <c r="AA34" s="120"/>
      <c r="AB34" s="120"/>
      <c r="AC34" s="120"/>
      <c r="AD34" s="120"/>
      <c r="AE34" s="120"/>
      <c r="AF34" s="120"/>
      <c r="AG34" s="120"/>
      <c r="AH34" s="120"/>
      <c r="AI34" s="119" t="s">
        <v>263</v>
      </c>
      <c r="AJ34" s="120"/>
      <c r="AK34" s="120"/>
      <c r="AL34" s="120"/>
      <c r="AM34" s="119">
        <v>8</v>
      </c>
      <c r="AN34" s="90"/>
      <c r="AO34" s="119" t="s">
        <v>112</v>
      </c>
      <c r="AP34" s="120" t="s">
        <v>268</v>
      </c>
      <c r="AQ34" s="120"/>
      <c r="AR34" s="120"/>
      <c r="AS34" s="120"/>
      <c r="AT34" s="120"/>
      <c r="AU34" s="120"/>
      <c r="AV34" s="120"/>
      <c r="AW34" s="120"/>
      <c r="AX34" s="120"/>
      <c r="AY34" s="119" t="s">
        <v>269</v>
      </c>
      <c r="AZ34" s="119"/>
      <c r="BA34" s="119">
        <v>6</v>
      </c>
      <c r="BB34" s="36"/>
      <c r="BD34" s="34"/>
      <c r="BE34" s="34"/>
      <c r="BF34" s="112" t="str">
        <f t="shared" si="1"/>
        <v/>
      </c>
      <c r="BG34" s="113"/>
      <c r="BH34" s="114"/>
      <c r="BI34" s="114"/>
      <c r="BJ34" s="114"/>
      <c r="BK34" s="114"/>
      <c r="BL34" s="114"/>
      <c r="BM34" s="115"/>
      <c r="BN34" s="116"/>
      <c r="BO34" s="116"/>
      <c r="BP34" s="116"/>
      <c r="BQ34" s="116"/>
      <c r="BR34" s="116"/>
      <c r="BS34" s="117"/>
      <c r="BT34" s="34"/>
      <c r="BU34" s="34"/>
      <c r="BV34" s="34"/>
      <c r="BW34" s="34"/>
      <c r="BX34" s="34"/>
      <c r="BY34" s="34"/>
      <c r="BZ34" s="34"/>
      <c r="CA34" s="34"/>
      <c r="CB34" s="34"/>
      <c r="CC34" s="34"/>
      <c r="CD34" s="34"/>
      <c r="CE34" s="34"/>
      <c r="CF34" s="34"/>
      <c r="CG34" s="34"/>
      <c r="CH34" s="34"/>
      <c r="CI34" s="34"/>
      <c r="CJ34" s="34"/>
      <c r="CK34" s="34"/>
      <c r="CQ34" s="34"/>
      <c r="CX34" s="34"/>
      <c r="CY34" s="34"/>
      <c r="CZ34" s="34"/>
      <c r="DA34" s="34"/>
      <c r="DB34" s="34"/>
      <c r="DC34" s="34"/>
      <c r="FR34" s="34"/>
    </row>
    <row r="35" spans="1:174" ht="35" customHeight="1">
      <c r="A35" s="129"/>
      <c r="B35" s="129"/>
      <c r="C35" s="129"/>
      <c r="D35" s="128"/>
      <c r="E35" s="129"/>
      <c r="F35" s="128"/>
      <c r="G35" s="128"/>
      <c r="H35" s="129"/>
      <c r="K35" s="105" t="s">
        <v>113</v>
      </c>
      <c r="L35" s="106" t="s">
        <v>270</v>
      </c>
      <c r="M35" s="106"/>
      <c r="N35" s="106"/>
      <c r="O35" s="106"/>
      <c r="P35" s="106"/>
      <c r="Q35" s="106"/>
      <c r="R35" s="106"/>
      <c r="S35" s="106"/>
      <c r="T35" s="106"/>
      <c r="U35" s="105"/>
      <c r="V35" s="105">
        <v>3</v>
      </c>
      <c r="W35" s="105">
        <v>3</v>
      </c>
      <c r="X35" s="90"/>
      <c r="Y35" s="105" t="s">
        <v>113</v>
      </c>
      <c r="Z35" s="106" t="s">
        <v>271</v>
      </c>
      <c r="AA35" s="106"/>
      <c r="AB35" s="106"/>
      <c r="AC35" s="106"/>
      <c r="AD35" s="106"/>
      <c r="AE35" s="106"/>
      <c r="AF35" s="106"/>
      <c r="AG35" s="106"/>
      <c r="AH35" s="106"/>
      <c r="AI35" s="105"/>
      <c r="AJ35" s="106" t="s">
        <v>272</v>
      </c>
      <c r="AK35" s="106"/>
      <c r="AL35" s="106"/>
      <c r="AM35" s="105">
        <v>2</v>
      </c>
      <c r="AN35" s="90"/>
      <c r="AO35" s="105" t="s">
        <v>113</v>
      </c>
      <c r="AP35" s="106" t="s">
        <v>273</v>
      </c>
      <c r="AQ35" s="106"/>
      <c r="AR35" s="106"/>
      <c r="AS35" s="106"/>
      <c r="AT35" s="106"/>
      <c r="AU35" s="106"/>
      <c r="AV35" s="106"/>
      <c r="AW35" s="106"/>
      <c r="AX35" s="106"/>
      <c r="AY35" s="105"/>
      <c r="AZ35" s="105" t="s">
        <v>272</v>
      </c>
      <c r="BA35" s="105">
        <v>2</v>
      </c>
      <c r="BB35" s="36"/>
      <c r="BD35" s="34"/>
      <c r="BE35" s="34"/>
      <c r="BF35" s="112" t="str">
        <f t="shared" si="1"/>
        <v/>
      </c>
      <c r="BG35" s="113"/>
      <c r="BH35" s="114"/>
      <c r="BI35" s="114"/>
      <c r="BJ35" s="114"/>
      <c r="BK35" s="114"/>
      <c r="BL35" s="114"/>
      <c r="BM35" s="115"/>
      <c r="BN35" s="116"/>
      <c r="BO35" s="116"/>
      <c r="BP35" s="116"/>
      <c r="BQ35" s="116"/>
      <c r="BR35" s="116"/>
      <c r="BS35" s="117"/>
      <c r="BT35" s="34"/>
      <c r="BU35" s="34"/>
      <c r="BV35" s="34"/>
      <c r="BW35" s="34"/>
      <c r="BX35" s="34"/>
      <c r="BY35" s="34"/>
      <c r="BZ35" s="34"/>
      <c r="CA35" s="34"/>
      <c r="CB35" s="34"/>
      <c r="CC35" s="34"/>
      <c r="CD35" s="34"/>
      <c r="CE35" s="34"/>
      <c r="CF35" s="34"/>
      <c r="CG35" s="34"/>
      <c r="CH35" s="34"/>
      <c r="CI35" s="34"/>
      <c r="CJ35" s="34"/>
      <c r="CK35" s="34"/>
      <c r="CQ35" s="34"/>
      <c r="CX35" s="34"/>
      <c r="CY35" s="34"/>
      <c r="CZ35" s="34"/>
      <c r="DA35" s="34"/>
      <c r="DB35" s="34"/>
      <c r="DC35" s="34"/>
      <c r="FR35" s="34"/>
    </row>
    <row r="36" spans="1:174" s="34" customFormat="1" ht="35" customHeight="1">
      <c r="A36" s="127" t="s">
        <v>243</v>
      </c>
      <c r="B36" s="127" t="s">
        <v>244</v>
      </c>
      <c r="C36" s="127" t="s">
        <v>245</v>
      </c>
      <c r="D36" s="128" t="str">
        <f>IFERROR(INDEX([2]!Table1RM[#Data],MATCH($M$56,[2]!Table1RM[Athlete],0),MATCH($L36,[2]!Table1RM[#Headers],0)),"")</f>
        <v/>
      </c>
      <c r="E36" s="127" t="str">
        <f>IF($B36="PE",INDEX([2]ExerciseInventory!$J$2:$L$276,MATCH($L36,[2]ExerciseInventory!$J$2:$J$287,0),2),"")</f>
        <v/>
      </c>
      <c r="F36" s="128" t="str">
        <f>IF($B36="PE",INDEX([2]ExerciseInventory!$J$2:$L$276,MATCH($L36,[2]ExerciseInventory!$J$2:$J$287,0),3),"")</f>
        <v/>
      </c>
      <c r="G36" s="128"/>
      <c r="H36" s="127"/>
      <c r="J36" s="36"/>
      <c r="K36" s="105" t="s">
        <v>114</v>
      </c>
      <c r="L36" s="106" t="s">
        <v>125</v>
      </c>
      <c r="M36" s="106"/>
      <c r="N36" s="106"/>
      <c r="O36" s="106"/>
      <c r="P36" s="106"/>
      <c r="Q36" s="106"/>
      <c r="R36" s="106"/>
      <c r="S36" s="106"/>
      <c r="T36" s="106"/>
      <c r="U36" s="105"/>
      <c r="V36" s="105">
        <v>10</v>
      </c>
      <c r="W36" s="105">
        <v>10</v>
      </c>
      <c r="X36" s="90"/>
      <c r="Y36" s="105" t="s">
        <v>114</v>
      </c>
      <c r="Z36" s="106" t="s">
        <v>274</v>
      </c>
      <c r="AA36" s="106"/>
      <c r="AB36" s="106"/>
      <c r="AC36" s="106"/>
      <c r="AD36" s="106"/>
      <c r="AE36" s="106"/>
      <c r="AF36" s="106"/>
      <c r="AG36" s="106"/>
      <c r="AH36" s="106"/>
      <c r="AI36" s="105"/>
      <c r="AJ36" s="106" t="s">
        <v>263</v>
      </c>
      <c r="AK36" s="106"/>
      <c r="AL36" s="106"/>
      <c r="AM36" s="105">
        <v>8</v>
      </c>
      <c r="AN36" s="90"/>
      <c r="AO36" s="105" t="s">
        <v>114</v>
      </c>
      <c r="AP36" s="106" t="s">
        <v>275</v>
      </c>
      <c r="AQ36" s="106"/>
      <c r="AR36" s="106"/>
      <c r="AS36" s="106"/>
      <c r="AT36" s="106"/>
      <c r="AU36" s="106"/>
      <c r="AV36" s="106"/>
      <c r="AW36" s="106"/>
      <c r="AX36" s="106"/>
      <c r="AY36" s="105"/>
      <c r="AZ36" s="105" t="s">
        <v>263</v>
      </c>
      <c r="BA36" s="105">
        <v>8</v>
      </c>
      <c r="BB36" s="36"/>
      <c r="BC36" s="36"/>
      <c r="BF36" s="112" t="str">
        <f t="shared" si="1"/>
        <v/>
      </c>
      <c r="BG36" s="113"/>
      <c r="BH36" s="114"/>
      <c r="BI36" s="114"/>
      <c r="BJ36" s="114"/>
      <c r="BK36" s="114"/>
      <c r="BL36" s="114"/>
      <c r="BM36" s="115"/>
      <c r="BN36" s="116"/>
      <c r="BO36" s="116"/>
      <c r="BP36" s="116"/>
      <c r="BQ36" s="116"/>
      <c r="BR36" s="116"/>
      <c r="BS36" s="117"/>
    </row>
    <row r="37" spans="1:174" s="86" customFormat="1" ht="35" customHeight="1">
      <c r="A37" s="129"/>
      <c r="B37" s="129"/>
      <c r="C37" s="129"/>
      <c r="D37" s="128"/>
      <c r="E37" s="129"/>
      <c r="F37" s="128"/>
      <c r="G37" s="128"/>
      <c r="H37" s="129"/>
      <c r="J37" s="36"/>
      <c r="K37" s="105" t="s">
        <v>115</v>
      </c>
      <c r="L37" s="106" t="s">
        <v>276</v>
      </c>
      <c r="M37" s="106"/>
      <c r="N37" s="106"/>
      <c r="O37" s="106"/>
      <c r="P37" s="106"/>
      <c r="Q37" s="106"/>
      <c r="R37" s="106"/>
      <c r="S37" s="106"/>
      <c r="T37" s="106"/>
      <c r="U37" s="105"/>
      <c r="V37" s="105">
        <v>8</v>
      </c>
      <c r="W37" s="105">
        <v>8</v>
      </c>
      <c r="X37" s="90"/>
      <c r="Y37" s="105" t="s">
        <v>115</v>
      </c>
      <c r="Z37" s="106" t="s">
        <v>276</v>
      </c>
      <c r="AA37" s="106"/>
      <c r="AB37" s="106"/>
      <c r="AC37" s="106"/>
      <c r="AD37" s="106"/>
      <c r="AE37" s="106"/>
      <c r="AF37" s="106"/>
      <c r="AG37" s="106"/>
      <c r="AH37" s="106"/>
      <c r="AI37" s="105"/>
      <c r="AJ37" s="106" t="s">
        <v>264</v>
      </c>
      <c r="AK37" s="106"/>
      <c r="AL37" s="106"/>
      <c r="AM37" s="105">
        <v>10</v>
      </c>
      <c r="AN37" s="90"/>
      <c r="AO37" s="105" t="s">
        <v>115</v>
      </c>
      <c r="AP37" s="106" t="s">
        <v>276</v>
      </c>
      <c r="AQ37" s="106"/>
      <c r="AR37" s="106"/>
      <c r="AS37" s="106"/>
      <c r="AT37" s="106"/>
      <c r="AU37" s="106"/>
      <c r="AV37" s="106"/>
      <c r="AW37" s="106"/>
      <c r="AX37" s="106"/>
      <c r="AY37" s="105"/>
      <c r="AZ37" s="105" t="s">
        <v>264</v>
      </c>
      <c r="BA37" s="105">
        <v>10</v>
      </c>
      <c r="BB37" s="36"/>
      <c r="BC37" s="36"/>
      <c r="BD37" s="34"/>
      <c r="BE37" s="34"/>
      <c r="BF37" s="112" t="str">
        <f t="shared" si="1"/>
        <v/>
      </c>
      <c r="BG37" s="113"/>
      <c r="BH37" s="114"/>
      <c r="BI37" s="114"/>
      <c r="BJ37" s="114"/>
      <c r="BK37" s="114"/>
      <c r="BL37" s="114"/>
      <c r="BM37" s="115"/>
      <c r="BN37" s="116"/>
      <c r="BO37" s="116"/>
      <c r="BP37" s="116"/>
      <c r="BQ37" s="116"/>
      <c r="BR37" s="116"/>
      <c r="BS37" s="117"/>
      <c r="BT37" s="34"/>
      <c r="BU37" s="34"/>
      <c r="BV37" s="34"/>
      <c r="BW37" s="34"/>
      <c r="BX37" s="34"/>
      <c r="BY37" s="34"/>
      <c r="BZ37" s="34"/>
      <c r="CA37" s="34"/>
      <c r="CB37" s="34"/>
      <c r="CC37" s="34"/>
      <c r="CD37" s="34"/>
      <c r="CE37" s="34"/>
      <c r="CF37" s="34"/>
      <c r="CG37" s="34"/>
      <c r="CH37" s="34"/>
      <c r="CI37" s="34"/>
      <c r="CJ37" s="34"/>
      <c r="CK37" s="34"/>
      <c r="CL37" s="34"/>
      <c r="CM37" s="34"/>
      <c r="CN37" s="34"/>
      <c r="CO37" s="34"/>
      <c r="CP37" s="34"/>
      <c r="CQ37" s="34"/>
      <c r="CR37" s="34"/>
      <c r="CS37" s="34"/>
      <c r="CT37" s="34"/>
      <c r="CU37" s="34"/>
      <c r="CV37" s="34"/>
      <c r="CW37" s="34"/>
      <c r="CX37" s="34"/>
      <c r="CY37" s="34"/>
      <c r="CZ37" s="34"/>
      <c r="DA37" s="34"/>
      <c r="DB37" s="34"/>
      <c r="DC37" s="34"/>
      <c r="DD37" s="34"/>
      <c r="DE37" s="34"/>
      <c r="DF37" s="34"/>
      <c r="DG37" s="34"/>
      <c r="DH37" s="34"/>
      <c r="DI37" s="34"/>
      <c r="DJ37" s="34"/>
      <c r="DK37" s="34"/>
      <c r="DL37" s="34"/>
      <c r="DM37" s="34"/>
      <c r="DN37" s="34"/>
      <c r="DO37" s="34"/>
      <c r="DP37" s="34"/>
      <c r="DQ37" s="34"/>
      <c r="DR37" s="34"/>
      <c r="DS37" s="34"/>
      <c r="DT37" s="34"/>
      <c r="DU37" s="34"/>
      <c r="DV37" s="34"/>
      <c r="DW37" s="34"/>
      <c r="DX37" s="34"/>
      <c r="DY37" s="34"/>
      <c r="DZ37" s="34"/>
      <c r="EA37" s="34"/>
      <c r="EB37" s="34"/>
      <c r="EC37" s="34"/>
      <c r="ED37" s="34"/>
      <c r="EE37" s="34"/>
      <c r="EF37" s="34"/>
      <c r="EG37" s="34"/>
      <c r="EH37" s="34"/>
      <c r="EI37" s="34"/>
      <c r="EJ37" s="34"/>
      <c r="EK37" s="34"/>
      <c r="EL37" s="34"/>
      <c r="EM37" s="34"/>
      <c r="EN37" s="34"/>
      <c r="EO37" s="34"/>
      <c r="EP37" s="34"/>
      <c r="EQ37" s="34"/>
      <c r="ER37" s="34"/>
      <c r="ES37" s="34"/>
      <c r="ET37" s="34"/>
      <c r="EU37" s="34"/>
      <c r="EV37" s="34"/>
      <c r="EW37" s="34"/>
      <c r="EX37" s="34"/>
      <c r="EY37" s="34"/>
      <c r="EZ37" s="34"/>
      <c r="FA37" s="34"/>
      <c r="FB37" s="34"/>
      <c r="FC37" s="34"/>
      <c r="FD37" s="34"/>
      <c r="FE37" s="34"/>
      <c r="FF37" s="34"/>
      <c r="FG37" s="34"/>
      <c r="FH37" s="34"/>
      <c r="FI37" s="34"/>
      <c r="FJ37" s="34"/>
      <c r="FK37" s="34"/>
      <c r="FL37" s="34"/>
      <c r="FM37" s="34"/>
      <c r="FN37" s="34"/>
      <c r="FO37" s="34"/>
      <c r="FP37" s="34"/>
      <c r="FQ37" s="34"/>
      <c r="FR37" s="34"/>
    </row>
    <row r="38" spans="1:174" s="114" customFormat="1" ht="35" customHeight="1">
      <c r="A38" s="127" t="s">
        <v>243</v>
      </c>
      <c r="B38" s="127" t="s">
        <v>244</v>
      </c>
      <c r="C38" s="127" t="s">
        <v>245</v>
      </c>
      <c r="D38" s="128" t="str">
        <f>IFERROR(INDEX([2]!Table1RM[#Data],MATCH($M$56,[2]!Table1RM[Athlete],0),MATCH($L38,[2]!Table1RM[#Headers],0)),"")</f>
        <v/>
      </c>
      <c r="E38" s="127" t="str">
        <f>IF($B38="PE",INDEX([2]ExerciseInventory!$J$2:$L$276,MATCH($L38,[2]ExerciseInventory!$J$2:$J$287,0),2),"")</f>
        <v/>
      </c>
      <c r="F38" s="128" t="str">
        <f>IF($B38="PE",INDEX([2]ExerciseInventory!$J$2:$L$276,MATCH($L38,[2]ExerciseInventory!$J$2:$J$287,0),3),"")</f>
        <v/>
      </c>
      <c r="G38" s="128"/>
      <c r="H38" s="127"/>
      <c r="J38" s="36"/>
      <c r="K38" s="111"/>
      <c r="L38" s="111"/>
      <c r="M38" s="111"/>
      <c r="N38" s="111"/>
      <c r="O38" s="111"/>
      <c r="P38" s="111"/>
      <c r="Q38" s="111"/>
      <c r="R38" s="111"/>
      <c r="S38" s="111"/>
      <c r="T38" s="111"/>
      <c r="U38" s="111"/>
      <c r="V38" s="111"/>
      <c r="W38" s="111"/>
      <c r="X38" s="90"/>
      <c r="Y38" s="111"/>
      <c r="Z38" s="111"/>
      <c r="AA38" s="111"/>
      <c r="AB38" s="111"/>
      <c r="AC38" s="111"/>
      <c r="AD38" s="111"/>
      <c r="AE38" s="111"/>
      <c r="AF38" s="111"/>
      <c r="AG38" s="111"/>
      <c r="AH38" s="111"/>
      <c r="AI38" s="111"/>
      <c r="AJ38" s="111"/>
      <c r="AK38" s="111"/>
      <c r="AL38" s="111"/>
      <c r="AM38" s="111"/>
      <c r="AN38" s="90"/>
      <c r="AO38" s="36"/>
      <c r="AP38" s="36"/>
      <c r="AQ38" s="36"/>
      <c r="AR38" s="36"/>
      <c r="AS38" s="36"/>
      <c r="AT38" s="36"/>
      <c r="AU38" s="36"/>
      <c r="AV38" s="36"/>
      <c r="AW38" s="36"/>
      <c r="AX38" s="36"/>
      <c r="AY38" s="36"/>
      <c r="AZ38" s="36"/>
      <c r="BA38" s="36"/>
      <c r="BB38" s="36"/>
      <c r="BC38" s="36"/>
      <c r="BD38" s="34"/>
      <c r="BE38" s="34"/>
      <c r="BF38" s="112" t="str">
        <f t="shared" si="1"/>
        <v/>
      </c>
      <c r="BG38" s="113"/>
      <c r="BM38" s="115"/>
      <c r="BN38" s="116"/>
      <c r="BO38" s="116"/>
      <c r="BP38" s="116"/>
      <c r="BQ38" s="116"/>
      <c r="BR38" s="116"/>
      <c r="BS38" s="117"/>
      <c r="BT38" s="34"/>
      <c r="BU38" s="34"/>
      <c r="BV38" s="34"/>
      <c r="BW38" s="34"/>
      <c r="BX38" s="34"/>
      <c r="BY38" s="34"/>
      <c r="BZ38" s="34"/>
      <c r="CA38" s="34"/>
      <c r="CB38" s="34"/>
      <c r="CC38" s="34"/>
      <c r="CD38" s="34"/>
      <c r="CE38" s="34"/>
      <c r="CF38" s="34"/>
      <c r="CG38" s="34"/>
      <c r="CH38" s="34"/>
      <c r="CI38" s="34"/>
      <c r="CJ38" s="34"/>
      <c r="CK38" s="34"/>
      <c r="CL38" s="34"/>
      <c r="CM38" s="34"/>
      <c r="CN38" s="34"/>
      <c r="CO38" s="34"/>
      <c r="CP38" s="34"/>
      <c r="CQ38" s="34"/>
      <c r="CR38" s="34"/>
      <c r="CS38" s="34"/>
      <c r="CT38" s="34"/>
      <c r="CU38" s="34"/>
      <c r="CV38" s="34"/>
      <c r="CW38" s="34"/>
      <c r="CX38" s="34"/>
      <c r="CY38" s="34"/>
      <c r="CZ38" s="34"/>
      <c r="DA38" s="34"/>
      <c r="DB38" s="34"/>
      <c r="DC38" s="34"/>
      <c r="DD38" s="34"/>
      <c r="DE38" s="34"/>
      <c r="DF38" s="34"/>
      <c r="DG38" s="34"/>
      <c r="DH38" s="34"/>
      <c r="DI38" s="34"/>
      <c r="DJ38" s="34"/>
      <c r="DK38" s="34"/>
      <c r="DL38" s="34"/>
      <c r="DM38" s="34"/>
      <c r="DN38" s="34"/>
      <c r="DO38" s="34"/>
      <c r="DP38" s="34"/>
      <c r="DQ38" s="34"/>
      <c r="DR38" s="34"/>
      <c r="DS38" s="34"/>
      <c r="DT38" s="34"/>
      <c r="DU38" s="34"/>
      <c r="DV38" s="34"/>
      <c r="DW38" s="34"/>
      <c r="DX38" s="34"/>
      <c r="DY38" s="34"/>
      <c r="DZ38" s="34"/>
      <c r="EA38" s="34"/>
      <c r="EB38" s="34"/>
      <c r="EC38" s="34"/>
      <c r="ED38" s="34"/>
      <c r="EE38" s="34"/>
      <c r="EF38" s="34"/>
      <c r="EG38" s="34"/>
      <c r="EH38" s="34"/>
      <c r="EI38" s="34"/>
      <c r="EJ38" s="34"/>
      <c r="EK38" s="34"/>
      <c r="EL38" s="34"/>
      <c r="EM38" s="34"/>
      <c r="EN38" s="34"/>
      <c r="EO38" s="34"/>
      <c r="EP38" s="34"/>
      <c r="EQ38" s="34"/>
      <c r="ER38" s="34"/>
      <c r="ES38" s="34"/>
      <c r="ET38" s="34"/>
      <c r="EU38" s="34"/>
      <c r="EV38" s="34"/>
      <c r="EW38" s="34"/>
      <c r="EX38" s="34"/>
      <c r="EY38" s="34"/>
      <c r="EZ38" s="34"/>
      <c r="FA38" s="34"/>
      <c r="FB38" s="34"/>
      <c r="FC38" s="34"/>
      <c r="FD38" s="34"/>
      <c r="FE38" s="34"/>
      <c r="FF38" s="34"/>
      <c r="FG38" s="34"/>
      <c r="FH38" s="34"/>
      <c r="FI38" s="34"/>
      <c r="FJ38" s="34"/>
      <c r="FK38" s="34"/>
      <c r="FL38" s="34"/>
      <c r="FM38" s="34"/>
      <c r="FN38" s="34"/>
      <c r="FO38" s="34"/>
      <c r="FP38" s="34"/>
      <c r="FQ38" s="34"/>
      <c r="FR38" s="34"/>
    </row>
    <row r="39" spans="1:174" s="34" customFormat="1" ht="35" customHeight="1">
      <c r="A39" s="129"/>
      <c r="B39" s="129"/>
      <c r="C39" s="129"/>
      <c r="D39" s="128"/>
      <c r="E39" s="129"/>
      <c r="F39" s="128"/>
      <c r="G39" s="128"/>
      <c r="H39" s="129"/>
      <c r="J39" s="36"/>
      <c r="K39" s="88" t="s">
        <v>277</v>
      </c>
      <c r="L39" s="88"/>
      <c r="M39" s="88"/>
      <c r="N39" s="88"/>
      <c r="O39" s="88"/>
      <c r="P39" s="88"/>
      <c r="Q39" s="88"/>
      <c r="R39" s="88"/>
      <c r="S39" s="88"/>
      <c r="T39" s="88"/>
      <c r="U39" s="89" t="s">
        <v>120</v>
      </c>
      <c r="V39" s="89" t="s">
        <v>120</v>
      </c>
      <c r="W39" s="89" t="s">
        <v>120</v>
      </c>
      <c r="X39" s="90"/>
      <c r="Y39" s="88"/>
      <c r="Z39" s="88"/>
      <c r="AA39" s="88"/>
      <c r="AB39" s="88"/>
      <c r="AC39" s="88"/>
      <c r="AD39" s="88"/>
      <c r="AE39" s="88"/>
      <c r="AF39" s="88"/>
      <c r="AG39" s="88"/>
      <c r="AH39" s="88"/>
      <c r="AI39" s="89" t="s">
        <v>120</v>
      </c>
      <c r="AJ39" s="92" t="s">
        <v>120</v>
      </c>
      <c r="AK39" s="92"/>
      <c r="AL39" s="92"/>
      <c r="AM39" s="89" t="s">
        <v>120</v>
      </c>
      <c r="AN39" s="90"/>
      <c r="AO39" s="88"/>
      <c r="AP39" s="88"/>
      <c r="AQ39" s="88"/>
      <c r="AR39" s="88"/>
      <c r="AS39" s="88"/>
      <c r="AT39" s="88"/>
      <c r="AU39" s="88"/>
      <c r="AV39" s="88"/>
      <c r="AW39" s="88"/>
      <c r="AX39" s="88"/>
      <c r="AY39" s="89" t="s">
        <v>120</v>
      </c>
      <c r="AZ39" s="89" t="s">
        <v>120</v>
      </c>
      <c r="BA39" s="89" t="s">
        <v>120</v>
      </c>
      <c r="BB39" s="36"/>
      <c r="BC39" s="36"/>
      <c r="BF39" s="112" t="str">
        <f t="shared" si="1"/>
        <v/>
      </c>
      <c r="BG39" s="113"/>
      <c r="BH39" s="114"/>
      <c r="BI39" s="114"/>
      <c r="BJ39" s="114"/>
      <c r="BK39" s="114"/>
      <c r="BL39" s="114"/>
      <c r="BM39" s="115"/>
      <c r="BN39" s="116"/>
      <c r="BO39" s="116"/>
      <c r="BP39" s="116"/>
      <c r="BQ39" s="116"/>
      <c r="BR39" s="116"/>
      <c r="BS39" s="117"/>
    </row>
    <row r="40" spans="1:174" s="34" customFormat="1" ht="35" customHeight="1">
      <c r="A40" s="127" t="s">
        <v>243</v>
      </c>
      <c r="B40" s="127" t="s">
        <v>244</v>
      </c>
      <c r="C40" s="127" t="s">
        <v>245</v>
      </c>
      <c r="D40" s="128" t="str">
        <f>IFERROR(INDEX([2]!Table1RM[#Data],MATCH($M$56,[2]!Table1RM[Athlete],0),MATCH($L40,[2]!Table1RM[#Headers],0)),"")</f>
        <v/>
      </c>
      <c r="E40" s="127" t="str">
        <f>IF($B40="PE",INDEX([2]ExerciseInventory!$J$2:$L$276,MATCH($L40,[2]ExerciseInventory!$J$2:$J$287,0),2),"")</f>
        <v/>
      </c>
      <c r="F40" s="128" t="str">
        <f>IF($B40="PE",INDEX([2]ExerciseInventory!$J$2:$L$276,MATCH($L40,[2]ExerciseInventory!$J$2:$J$287,0),3),"")</f>
        <v/>
      </c>
      <c r="G40" s="128"/>
      <c r="H40" s="127"/>
      <c r="J40" s="36"/>
      <c r="K40" s="105" t="s">
        <v>107</v>
      </c>
      <c r="L40" s="106" t="s">
        <v>164</v>
      </c>
      <c r="M40" s="106"/>
      <c r="N40" s="106"/>
      <c r="O40" s="106"/>
      <c r="P40" s="106"/>
      <c r="Q40" s="106"/>
      <c r="R40" s="106"/>
      <c r="S40" s="106"/>
      <c r="T40" s="106"/>
      <c r="U40" s="105">
        <v>8</v>
      </c>
      <c r="V40" s="105"/>
      <c r="W40" s="105">
        <v>8</v>
      </c>
      <c r="X40" s="90"/>
      <c r="Y40" s="105" t="s">
        <v>107</v>
      </c>
      <c r="Z40" s="106" t="s">
        <v>170</v>
      </c>
      <c r="AA40" s="106"/>
      <c r="AB40" s="106"/>
      <c r="AC40" s="106"/>
      <c r="AD40" s="106"/>
      <c r="AE40" s="106"/>
      <c r="AF40" s="106"/>
      <c r="AG40" s="106"/>
      <c r="AH40" s="106"/>
      <c r="AI40" s="105" t="s">
        <v>172</v>
      </c>
      <c r="AJ40" s="106"/>
      <c r="AK40" s="106"/>
      <c r="AL40" s="106"/>
      <c r="AM40" s="105" t="s">
        <v>172</v>
      </c>
      <c r="AN40" s="90"/>
      <c r="AO40" s="105">
        <v>1</v>
      </c>
      <c r="AP40" s="106" t="s">
        <v>211</v>
      </c>
      <c r="AQ40" s="106"/>
      <c r="AR40" s="106"/>
      <c r="AS40" s="106"/>
      <c r="AT40" s="106"/>
      <c r="AU40" s="106"/>
      <c r="AV40" s="106"/>
      <c r="AW40" s="106"/>
      <c r="AX40" s="106"/>
      <c r="AY40" s="105" t="s">
        <v>172</v>
      </c>
      <c r="AZ40" s="105" t="s">
        <v>172</v>
      </c>
      <c r="BA40" s="105"/>
      <c r="BB40" s="36"/>
      <c r="BC40" s="36"/>
      <c r="BF40" s="112" t="str">
        <f t="shared" si="1"/>
        <v/>
      </c>
      <c r="BG40" s="113"/>
      <c r="BH40" s="114"/>
      <c r="BI40" s="114"/>
      <c r="BJ40" s="114"/>
      <c r="BK40" s="114"/>
      <c r="BL40" s="114"/>
      <c r="BM40" s="115"/>
      <c r="BN40" s="116"/>
      <c r="BO40" s="116"/>
      <c r="BP40" s="116"/>
      <c r="BQ40" s="116"/>
      <c r="BR40" s="116"/>
      <c r="BS40" s="117"/>
    </row>
    <row r="41" spans="1:174" s="34" customFormat="1" ht="35" customHeight="1">
      <c r="A41" s="129"/>
      <c r="B41" s="129"/>
      <c r="C41" s="129"/>
      <c r="D41" s="128"/>
      <c r="E41" s="129"/>
      <c r="F41" s="128"/>
      <c r="G41" s="128"/>
      <c r="H41" s="129"/>
      <c r="J41" s="36"/>
      <c r="K41" s="105" t="s">
        <v>108</v>
      </c>
      <c r="L41" s="106" t="s">
        <v>278</v>
      </c>
      <c r="M41" s="106"/>
      <c r="N41" s="106"/>
      <c r="O41" s="106"/>
      <c r="P41" s="106"/>
      <c r="Q41" s="106"/>
      <c r="R41" s="106"/>
      <c r="S41" s="106"/>
      <c r="T41" s="106"/>
      <c r="U41" s="105" t="s">
        <v>172</v>
      </c>
      <c r="V41" s="105"/>
      <c r="W41" s="105" t="s">
        <v>172</v>
      </c>
      <c r="X41" s="90"/>
      <c r="Y41" s="105" t="s">
        <v>108</v>
      </c>
      <c r="Z41" s="106" t="s">
        <v>279</v>
      </c>
      <c r="AA41" s="106"/>
      <c r="AB41" s="106"/>
      <c r="AC41" s="106"/>
      <c r="AD41" s="106"/>
      <c r="AE41" s="106"/>
      <c r="AF41" s="106"/>
      <c r="AG41" s="106"/>
      <c r="AH41" s="106"/>
      <c r="AI41" s="105">
        <v>8</v>
      </c>
      <c r="AJ41" s="106"/>
      <c r="AK41" s="106"/>
      <c r="AL41" s="106"/>
      <c r="AM41" s="105">
        <v>8</v>
      </c>
      <c r="AN41" s="90"/>
      <c r="AO41" s="105">
        <v>2</v>
      </c>
      <c r="AP41" s="106" t="s">
        <v>280</v>
      </c>
      <c r="AQ41" s="106"/>
      <c r="AR41" s="106"/>
      <c r="AS41" s="106"/>
      <c r="AT41" s="106"/>
      <c r="AU41" s="106"/>
      <c r="AV41" s="106"/>
      <c r="AW41" s="106"/>
      <c r="AX41" s="106"/>
      <c r="AY41" s="105" t="s">
        <v>263</v>
      </c>
      <c r="AZ41" s="105"/>
      <c r="BA41" s="105">
        <v>8</v>
      </c>
      <c r="BB41" s="36"/>
      <c r="BC41" s="36"/>
      <c r="BF41" s="112" t="str">
        <f t="shared" si="1"/>
        <v/>
      </c>
      <c r="BG41" s="113"/>
      <c r="BH41" s="114"/>
      <c r="BI41" s="114"/>
      <c r="BJ41" s="114"/>
      <c r="BK41" s="114"/>
      <c r="BL41" s="114"/>
      <c r="BM41" s="115"/>
      <c r="BN41" s="116"/>
      <c r="BO41" s="116"/>
      <c r="BP41" s="116"/>
      <c r="BQ41" s="116"/>
      <c r="BR41" s="116"/>
      <c r="BS41" s="117"/>
    </row>
    <row r="42" spans="1:174" s="34" customFormat="1" ht="35" customHeight="1">
      <c r="A42" s="127" t="s">
        <v>243</v>
      </c>
      <c r="B42" s="127" t="s">
        <v>244</v>
      </c>
      <c r="C42" s="127" t="s">
        <v>245</v>
      </c>
      <c r="D42" s="128" t="str">
        <f>IFERROR(INDEX([2]!Table1RM[#Data],MATCH($M$56,[2]!Table1RM[Athlete],0),MATCH($L42,[2]!Table1RM[#Headers],0)),"")</f>
        <v/>
      </c>
      <c r="E42" s="127" t="str">
        <f>IF($B42="PE",INDEX([2]ExerciseInventory!$J$2:$L$276,MATCH($L42,[2]ExerciseInventory!$J$2:$J$287,0),2),"")</f>
        <v/>
      </c>
      <c r="F42" s="128" t="str">
        <f>IF($B42="PE",INDEX([2]ExerciseInventory!$J$2:$L$276,MATCH($L42,[2]ExerciseInventory!$J$2:$J$287,0),3),"")</f>
        <v/>
      </c>
      <c r="G42" s="128"/>
      <c r="H42" s="127"/>
      <c r="J42" s="36"/>
      <c r="K42" s="105" t="s">
        <v>109</v>
      </c>
      <c r="L42" s="106" t="s">
        <v>281</v>
      </c>
      <c r="M42" s="106"/>
      <c r="N42" s="106"/>
      <c r="O42" s="106"/>
      <c r="P42" s="106"/>
      <c r="Q42" s="106"/>
      <c r="R42" s="106"/>
      <c r="S42" s="106"/>
      <c r="T42" s="106"/>
      <c r="U42" s="105" t="s">
        <v>282</v>
      </c>
      <c r="V42" s="105"/>
      <c r="W42" s="105" t="s">
        <v>282</v>
      </c>
      <c r="X42" s="90"/>
      <c r="Y42" s="105" t="s">
        <v>109</v>
      </c>
      <c r="Z42" s="106" t="s">
        <v>283</v>
      </c>
      <c r="AA42" s="106"/>
      <c r="AB42" s="106"/>
      <c r="AC42" s="106"/>
      <c r="AD42" s="106"/>
      <c r="AE42" s="106"/>
      <c r="AF42" s="106"/>
      <c r="AG42" s="106"/>
      <c r="AH42" s="106"/>
      <c r="AI42" s="105" t="s">
        <v>282</v>
      </c>
      <c r="AJ42" s="106"/>
      <c r="AK42" s="106"/>
      <c r="AL42" s="106"/>
      <c r="AM42" s="105" t="s">
        <v>282</v>
      </c>
      <c r="AN42" s="90"/>
      <c r="AO42" s="105">
        <v>3</v>
      </c>
      <c r="AP42" s="106" t="s">
        <v>284</v>
      </c>
      <c r="AQ42" s="106"/>
      <c r="AR42" s="106"/>
      <c r="AS42" s="106"/>
      <c r="AT42" s="106"/>
      <c r="AU42" s="106"/>
      <c r="AV42" s="106"/>
      <c r="AW42" s="106"/>
      <c r="AX42" s="106"/>
      <c r="AY42" s="105">
        <v>8</v>
      </c>
      <c r="AZ42" s="105">
        <v>8</v>
      </c>
      <c r="BA42" s="105">
        <v>8</v>
      </c>
      <c r="BB42" s="36"/>
      <c r="BC42" s="36"/>
      <c r="BF42" s="112" t="str">
        <f t="shared" si="1"/>
        <v/>
      </c>
      <c r="BG42" s="113"/>
      <c r="BH42" s="114"/>
      <c r="BI42" s="114"/>
      <c r="BJ42" s="114"/>
      <c r="BK42" s="114"/>
      <c r="BL42" s="114"/>
      <c r="BM42" s="115"/>
      <c r="BN42" s="116"/>
      <c r="BO42" s="116"/>
      <c r="BP42" s="116"/>
      <c r="BQ42" s="116"/>
      <c r="BR42" s="116"/>
      <c r="BS42" s="117"/>
    </row>
    <row r="43" spans="1:174" s="34" customFormat="1" ht="35" customHeight="1">
      <c r="A43" s="129"/>
      <c r="B43" s="129"/>
      <c r="C43" s="129"/>
      <c r="D43" s="128"/>
      <c r="E43" s="129"/>
      <c r="F43" s="128"/>
      <c r="G43" s="128"/>
      <c r="H43" s="129"/>
      <c r="J43" s="36"/>
      <c r="K43" s="105"/>
      <c r="L43" s="106"/>
      <c r="M43" s="106"/>
      <c r="N43" s="106"/>
      <c r="O43" s="106"/>
      <c r="P43" s="106"/>
      <c r="Q43" s="106"/>
      <c r="R43" s="106"/>
      <c r="S43" s="106"/>
      <c r="T43" s="106"/>
      <c r="U43" s="105"/>
      <c r="V43" s="105"/>
      <c r="W43" s="105"/>
      <c r="X43" s="90"/>
      <c r="Y43" s="105"/>
      <c r="Z43" s="106"/>
      <c r="AA43" s="106"/>
      <c r="AB43" s="106"/>
      <c r="AC43" s="106"/>
      <c r="AD43" s="106"/>
      <c r="AE43" s="106"/>
      <c r="AF43" s="106"/>
      <c r="AG43" s="106"/>
      <c r="AH43" s="106"/>
      <c r="AI43" s="105"/>
      <c r="AJ43" s="106"/>
      <c r="AK43" s="106"/>
      <c r="AL43" s="106"/>
      <c r="AM43" s="105"/>
      <c r="AN43" s="90"/>
      <c r="AO43" s="105">
        <v>4</v>
      </c>
      <c r="AP43" s="106" t="s">
        <v>283</v>
      </c>
      <c r="AQ43" s="106"/>
      <c r="AR43" s="106"/>
      <c r="AS43" s="106"/>
      <c r="AT43" s="106"/>
      <c r="AU43" s="106"/>
      <c r="AV43" s="106"/>
      <c r="AW43" s="106"/>
      <c r="AX43" s="106"/>
      <c r="AY43" s="105"/>
      <c r="AZ43" s="105" t="s">
        <v>172</v>
      </c>
      <c r="BA43" s="105" t="s">
        <v>172</v>
      </c>
      <c r="BB43" s="36"/>
      <c r="BC43" s="36"/>
      <c r="BF43" s="112" t="str">
        <f t="shared" si="1"/>
        <v/>
      </c>
      <c r="BG43" s="113"/>
      <c r="BH43" s="114"/>
      <c r="BI43" s="114"/>
      <c r="BJ43" s="114"/>
      <c r="BK43" s="114"/>
      <c r="BL43" s="114"/>
      <c r="BM43" s="115"/>
      <c r="BN43" s="116"/>
      <c r="BO43" s="116"/>
      <c r="BP43" s="116"/>
      <c r="BQ43" s="116"/>
      <c r="BR43" s="116"/>
      <c r="BS43" s="117"/>
    </row>
    <row r="44" spans="1:174" s="34" customFormat="1" ht="35" customHeight="1">
      <c r="A44" s="127" t="s">
        <v>243</v>
      </c>
      <c r="B44" s="127" t="s">
        <v>244</v>
      </c>
      <c r="C44" s="127" t="s">
        <v>245</v>
      </c>
      <c r="D44" s="128" t="str">
        <f>IFERROR(INDEX([2]!Table1RM[#Data],MATCH($M$56,[2]!Table1RM[Athlete],0),MATCH($L44,[2]!Table1RM[#Headers],0)),"")</f>
        <v/>
      </c>
      <c r="E44" s="127" t="str">
        <f>IF($B44="PE",INDEX([2]ExerciseInventory!$J$2:$L$276,MATCH($L44,[2]ExerciseInventory!$J$2:$J$287,0),2),"")</f>
        <v/>
      </c>
      <c r="F44" s="128" t="str">
        <f>IF($B44="PE",INDEX([2]ExerciseInventory!$J$2:$L$276,MATCH($L44,[2]ExerciseInventory!$J$2:$J$287,0),3),"")</f>
        <v/>
      </c>
      <c r="G44" s="128"/>
      <c r="H44" s="127"/>
      <c r="J44" s="36"/>
      <c r="K44" s="105"/>
      <c r="L44" s="106"/>
      <c r="M44" s="106"/>
      <c r="N44" s="106"/>
      <c r="O44" s="106"/>
      <c r="P44" s="106"/>
      <c r="Q44" s="106"/>
      <c r="R44" s="106"/>
      <c r="S44" s="106"/>
      <c r="T44" s="106"/>
      <c r="U44" s="105"/>
      <c r="V44" s="105"/>
      <c r="W44" s="105"/>
      <c r="X44" s="90"/>
      <c r="Y44" s="105"/>
      <c r="Z44" s="106"/>
      <c r="AA44" s="106"/>
      <c r="AB44" s="106"/>
      <c r="AC44" s="106"/>
      <c r="AD44" s="106"/>
      <c r="AE44" s="106"/>
      <c r="AF44" s="106"/>
      <c r="AG44" s="106"/>
      <c r="AH44" s="106"/>
      <c r="AI44" s="105"/>
      <c r="AJ44" s="106"/>
      <c r="AK44" s="106"/>
      <c r="AL44" s="106"/>
      <c r="AM44" s="105"/>
      <c r="AN44" s="90"/>
      <c r="AO44" s="105">
        <v>5</v>
      </c>
      <c r="AP44" s="106"/>
      <c r="AQ44" s="106"/>
      <c r="AR44" s="106"/>
      <c r="AS44" s="106"/>
      <c r="AT44" s="106"/>
      <c r="AU44" s="106"/>
      <c r="AV44" s="106"/>
      <c r="AW44" s="106"/>
      <c r="AX44" s="106"/>
      <c r="AY44" s="105"/>
      <c r="AZ44" s="105"/>
      <c r="BA44" s="105"/>
      <c r="BB44" s="36"/>
      <c r="BC44" s="36"/>
      <c r="BF44" s="112" t="str">
        <f t="shared" si="1"/>
        <v/>
      </c>
      <c r="BG44" s="113"/>
      <c r="BH44" s="114"/>
      <c r="BI44" s="114"/>
      <c r="BJ44" s="114"/>
      <c r="BK44" s="114"/>
      <c r="BL44" s="114"/>
      <c r="BM44" s="115"/>
      <c r="BN44" s="116"/>
      <c r="BO44" s="116"/>
      <c r="BP44" s="116"/>
      <c r="BQ44" s="116"/>
      <c r="BR44" s="116"/>
      <c r="BS44" s="117"/>
    </row>
    <row r="45" spans="1:174" s="34" customFormat="1" ht="35" customHeight="1">
      <c r="A45" s="129"/>
      <c r="B45" s="129"/>
      <c r="C45" s="129"/>
      <c r="D45" s="128"/>
      <c r="E45" s="129"/>
      <c r="F45" s="128"/>
      <c r="G45" s="128"/>
      <c r="H45" s="129"/>
      <c r="J45" s="36"/>
      <c r="K45" s="105"/>
      <c r="L45" s="106"/>
      <c r="M45" s="106"/>
      <c r="N45" s="106"/>
      <c r="O45" s="106"/>
      <c r="P45" s="106"/>
      <c r="Q45" s="106"/>
      <c r="R45" s="106"/>
      <c r="S45" s="106"/>
      <c r="T45" s="106"/>
      <c r="U45" s="105"/>
      <c r="V45" s="105"/>
      <c r="W45" s="105"/>
      <c r="X45" s="90"/>
      <c r="Y45" s="105"/>
      <c r="Z45" s="106"/>
      <c r="AA45" s="106"/>
      <c r="AB45" s="106"/>
      <c r="AC45" s="106"/>
      <c r="AD45" s="106"/>
      <c r="AE45" s="106"/>
      <c r="AF45" s="106"/>
      <c r="AG45" s="106"/>
      <c r="AH45" s="106"/>
      <c r="AI45" s="105"/>
      <c r="AJ45" s="106"/>
      <c r="AK45" s="106"/>
      <c r="AL45" s="106"/>
      <c r="AM45" s="105"/>
      <c r="AN45" s="90"/>
      <c r="AO45" s="105">
        <v>6</v>
      </c>
      <c r="AP45" s="106"/>
      <c r="AQ45" s="106"/>
      <c r="AR45" s="106"/>
      <c r="AS45" s="106"/>
      <c r="AT45" s="106"/>
      <c r="AU45" s="106"/>
      <c r="AV45" s="106"/>
      <c r="AW45" s="106"/>
      <c r="AX45" s="106"/>
      <c r="AY45" s="105"/>
      <c r="AZ45" s="105"/>
      <c r="BA45" s="105"/>
      <c r="BB45" s="36"/>
      <c r="BC45" s="36"/>
      <c r="BF45" s="112" t="str">
        <f t="shared" si="1"/>
        <v/>
      </c>
      <c r="BG45" s="113"/>
      <c r="BH45" s="114"/>
      <c r="BI45" s="114"/>
      <c r="BJ45" s="114"/>
      <c r="BK45" s="114"/>
      <c r="BL45" s="114"/>
      <c r="BM45" s="115"/>
      <c r="BN45" s="116"/>
      <c r="BO45" s="116"/>
      <c r="BP45" s="116"/>
      <c r="BQ45" s="116"/>
      <c r="BR45" s="116"/>
      <c r="BS45" s="117"/>
    </row>
    <row r="46" spans="1:174" s="34" customFormat="1" ht="35" customHeight="1">
      <c r="A46" s="127" t="s">
        <v>243</v>
      </c>
      <c r="B46" s="127" t="s">
        <v>244</v>
      </c>
      <c r="C46" s="127" t="s">
        <v>245</v>
      </c>
      <c r="D46" s="128" t="str">
        <f>IFERROR(INDEX([2]!Table1RM[#Data],MATCH($M$56,[2]!Table1RM[Athlete],0),MATCH($L46,[2]!Table1RM[#Headers],0)),"")</f>
        <v/>
      </c>
      <c r="E46" s="127" t="str">
        <f>IF($B46="PE",INDEX([2]ExerciseInventory!$J$2:$L$276,MATCH($L46,[2]ExerciseInventory!$J$2:$J$287,0),2),"")</f>
        <v/>
      </c>
      <c r="F46" s="128" t="str">
        <f>IF($B46="PE",INDEX([2]ExerciseInventory!$J$2:$L$276,MATCH($L46,[2]ExerciseInventory!$J$2:$J$287,0),3),"")</f>
        <v/>
      </c>
      <c r="G46" s="128"/>
      <c r="H46" s="127"/>
      <c r="J46" s="36"/>
      <c r="K46" s="111"/>
      <c r="L46" s="111"/>
      <c r="M46" s="111"/>
      <c r="N46" s="111"/>
      <c r="O46" s="111"/>
      <c r="P46" s="111"/>
      <c r="Q46" s="111"/>
      <c r="R46" s="111"/>
      <c r="S46" s="111"/>
      <c r="T46" s="111"/>
      <c r="U46" s="111"/>
      <c r="V46" s="111"/>
      <c r="W46" s="111"/>
      <c r="X46" s="90"/>
      <c r="Y46" s="111"/>
      <c r="Z46" s="111"/>
      <c r="AA46" s="111"/>
      <c r="AB46" s="111"/>
      <c r="AC46" s="111"/>
      <c r="AD46" s="111"/>
      <c r="AE46" s="111"/>
      <c r="AF46" s="111"/>
      <c r="AG46" s="111"/>
      <c r="AH46" s="111"/>
      <c r="AI46" s="111"/>
      <c r="AJ46" s="111"/>
      <c r="AK46" s="111"/>
      <c r="AL46" s="111"/>
      <c r="AM46" s="111"/>
      <c r="AN46" s="90"/>
      <c r="AO46" s="111"/>
      <c r="AP46" s="111"/>
      <c r="AQ46" s="111"/>
      <c r="AR46" s="111"/>
      <c r="AS46" s="111"/>
      <c r="AT46" s="111"/>
      <c r="AU46" s="111"/>
      <c r="AV46" s="111"/>
      <c r="AW46" s="111"/>
      <c r="AX46" s="111"/>
      <c r="AY46" s="111"/>
      <c r="AZ46" s="111"/>
      <c r="BA46" s="111"/>
      <c r="BB46" s="36"/>
      <c r="BC46" s="36"/>
      <c r="BF46" s="112" t="str">
        <f t="shared" si="1"/>
        <v/>
      </c>
      <c r="BG46" s="113"/>
      <c r="BH46" s="114"/>
      <c r="BI46" s="114"/>
      <c r="BJ46" s="114"/>
      <c r="BK46" s="114"/>
      <c r="BL46" s="114"/>
      <c r="BM46" s="115"/>
      <c r="BN46" s="116"/>
      <c r="BO46" s="116"/>
      <c r="BP46" s="116"/>
      <c r="BQ46" s="116"/>
      <c r="BR46" s="116"/>
      <c r="BS46" s="117"/>
    </row>
    <row r="47" spans="1:174" s="34" customFormat="1" ht="35" customHeight="1">
      <c r="A47" s="129"/>
      <c r="B47" s="129"/>
      <c r="C47" s="129"/>
      <c r="D47" s="128"/>
      <c r="E47" s="129"/>
      <c r="F47" s="128"/>
      <c r="G47" s="128"/>
      <c r="H47" s="129"/>
      <c r="J47" s="36"/>
      <c r="K47" s="88" t="s">
        <v>285</v>
      </c>
      <c r="L47" s="88"/>
      <c r="M47" s="88"/>
      <c r="N47" s="88"/>
      <c r="O47" s="88"/>
      <c r="P47" s="88"/>
      <c r="Q47" s="88"/>
      <c r="R47" s="88"/>
      <c r="S47" s="88"/>
      <c r="T47" s="88"/>
      <c r="U47" s="89" t="s">
        <v>120</v>
      </c>
      <c r="V47" s="89" t="s">
        <v>120</v>
      </c>
      <c r="W47" s="89" t="s">
        <v>120</v>
      </c>
      <c r="X47" s="90"/>
      <c r="Y47" s="88"/>
      <c r="Z47" s="88"/>
      <c r="AA47" s="88"/>
      <c r="AB47" s="88"/>
      <c r="AC47" s="88"/>
      <c r="AD47" s="88"/>
      <c r="AE47" s="88"/>
      <c r="AF47" s="88"/>
      <c r="AG47" s="88"/>
      <c r="AH47" s="88"/>
      <c r="AI47" s="89" t="s">
        <v>120</v>
      </c>
      <c r="AJ47" s="92" t="s">
        <v>120</v>
      </c>
      <c r="AK47" s="92"/>
      <c r="AL47" s="92"/>
      <c r="AM47" s="89" t="s">
        <v>120</v>
      </c>
      <c r="AN47" s="90"/>
      <c r="AO47" s="88"/>
      <c r="AP47" s="88"/>
      <c r="AQ47" s="88"/>
      <c r="AR47" s="88"/>
      <c r="AS47" s="88"/>
      <c r="AT47" s="88"/>
      <c r="AU47" s="88"/>
      <c r="AV47" s="88"/>
      <c r="AW47" s="88"/>
      <c r="AX47" s="88"/>
      <c r="AY47" s="89" t="s">
        <v>120</v>
      </c>
      <c r="AZ47" s="89" t="s">
        <v>120</v>
      </c>
      <c r="BA47" s="89" t="s">
        <v>120</v>
      </c>
      <c r="BB47" s="36"/>
      <c r="BC47" s="36"/>
      <c r="BF47" s="112" t="str">
        <f t="shared" si="1"/>
        <v/>
      </c>
      <c r="BG47" s="113"/>
      <c r="BH47" s="114"/>
      <c r="BI47" s="114"/>
      <c r="BJ47" s="114"/>
      <c r="BK47" s="114"/>
      <c r="BL47" s="114"/>
      <c r="BM47" s="115"/>
      <c r="BN47" s="116"/>
      <c r="BO47" s="116"/>
      <c r="BP47" s="116"/>
      <c r="BQ47" s="116"/>
      <c r="BR47" s="116"/>
      <c r="BS47" s="117"/>
    </row>
    <row r="48" spans="1:174" s="34" customFormat="1" ht="35" customHeight="1">
      <c r="A48" s="127" t="s">
        <v>243</v>
      </c>
      <c r="B48" s="127" t="s">
        <v>244</v>
      </c>
      <c r="C48" s="127" t="s">
        <v>245</v>
      </c>
      <c r="D48" s="128" t="str">
        <f>IFERROR(INDEX([2]!Table1RM[#Data],MATCH($M$56,[2]!Table1RM[Athlete],0),MATCH($L48,[2]!Table1RM[#Headers],0)),"")</f>
        <v/>
      </c>
      <c r="E48" s="127" t="str">
        <f>IF($B48="PE",INDEX([2]ExerciseInventory!$J$2:$L$276,MATCH($L48,[2]ExerciseInventory!$J$2:$J$287,0),2),"")</f>
        <v/>
      </c>
      <c r="F48" s="128" t="str">
        <f>IF($B48="PE",INDEX([2]ExerciseInventory!$J$2:$L$276,MATCH($L48,[2]ExerciseInventory!$J$2:$J$287,0),3),"")</f>
        <v/>
      </c>
      <c r="G48" s="128"/>
      <c r="H48" s="127"/>
      <c r="J48" s="36"/>
      <c r="K48" s="105" t="s">
        <v>107</v>
      </c>
      <c r="L48" s="106" t="s">
        <v>286</v>
      </c>
      <c r="M48" s="106"/>
      <c r="N48" s="106"/>
      <c r="O48" s="106"/>
      <c r="P48" s="106"/>
      <c r="Q48" s="106"/>
      <c r="R48" s="106"/>
      <c r="S48" s="106"/>
      <c r="T48" s="106"/>
      <c r="U48" s="105">
        <v>6</v>
      </c>
      <c r="V48" s="105"/>
      <c r="W48" s="105">
        <v>6</v>
      </c>
      <c r="X48" s="90"/>
      <c r="Y48" s="105">
        <v>1</v>
      </c>
      <c r="Z48" s="106" t="s">
        <v>287</v>
      </c>
      <c r="AA48" s="106"/>
      <c r="AB48" s="106"/>
      <c r="AC48" s="106"/>
      <c r="AD48" s="106"/>
      <c r="AE48" s="106"/>
      <c r="AF48" s="106"/>
      <c r="AG48" s="106"/>
      <c r="AH48" s="106"/>
      <c r="AI48" s="105">
        <v>8</v>
      </c>
      <c r="AJ48" s="106"/>
      <c r="AK48" s="106"/>
      <c r="AL48" s="106"/>
      <c r="AM48" s="105">
        <v>8</v>
      </c>
      <c r="AN48" s="90"/>
      <c r="AO48" s="105">
        <v>1</v>
      </c>
      <c r="AP48" s="106" t="s">
        <v>288</v>
      </c>
      <c r="AQ48" s="106"/>
      <c r="AR48" s="106"/>
      <c r="AS48" s="106"/>
      <c r="AT48" s="106"/>
      <c r="AU48" s="106"/>
      <c r="AV48" s="106"/>
      <c r="AW48" s="106"/>
      <c r="AX48" s="106"/>
      <c r="AY48" s="105">
        <v>6</v>
      </c>
      <c r="AZ48" s="105">
        <v>6</v>
      </c>
      <c r="BA48" s="105"/>
      <c r="BB48" s="36"/>
      <c r="BC48" s="36"/>
      <c r="BF48" s="112" t="str">
        <f t="shared" si="1"/>
        <v/>
      </c>
      <c r="BG48" s="113"/>
      <c r="BH48" s="114"/>
      <c r="BI48" s="114"/>
      <c r="BJ48" s="114"/>
      <c r="BK48" s="114"/>
      <c r="BL48" s="114"/>
      <c r="BM48" s="115"/>
      <c r="BN48" s="116"/>
      <c r="BO48" s="116"/>
      <c r="BP48" s="116"/>
      <c r="BQ48" s="116"/>
      <c r="BR48" s="116"/>
      <c r="BS48" s="117"/>
    </row>
    <row r="49" spans="1:161" s="34" customFormat="1" ht="35" customHeight="1">
      <c r="A49" s="129"/>
      <c r="B49" s="129"/>
      <c r="C49" s="129"/>
      <c r="D49" s="128"/>
      <c r="E49" s="129"/>
      <c r="F49" s="128"/>
      <c r="G49" s="128"/>
      <c r="H49" s="129"/>
      <c r="J49" s="36"/>
      <c r="K49" s="105" t="s">
        <v>108</v>
      </c>
      <c r="L49" s="106" t="s">
        <v>289</v>
      </c>
      <c r="M49" s="106"/>
      <c r="N49" s="106"/>
      <c r="O49" s="106"/>
      <c r="P49" s="106"/>
      <c r="Q49" s="106"/>
      <c r="R49" s="106"/>
      <c r="S49" s="106"/>
      <c r="T49" s="106"/>
      <c r="U49" s="105" t="s">
        <v>269</v>
      </c>
      <c r="V49" s="105"/>
      <c r="W49" s="105">
        <v>6</v>
      </c>
      <c r="X49" s="90"/>
      <c r="Y49" s="105">
        <v>2</v>
      </c>
      <c r="Z49" s="106" t="s">
        <v>289</v>
      </c>
      <c r="AA49" s="106"/>
      <c r="AB49" s="106"/>
      <c r="AC49" s="106"/>
      <c r="AD49" s="106"/>
      <c r="AE49" s="106"/>
      <c r="AF49" s="106"/>
      <c r="AG49" s="106"/>
      <c r="AH49" s="106"/>
      <c r="AI49" s="105" t="s">
        <v>269</v>
      </c>
      <c r="AJ49" s="106"/>
      <c r="AK49" s="106"/>
      <c r="AL49" s="106"/>
      <c r="AM49" s="105">
        <v>6</v>
      </c>
      <c r="AN49" s="90"/>
      <c r="AO49" s="105">
        <v>2</v>
      </c>
      <c r="AP49" s="106" t="s">
        <v>290</v>
      </c>
      <c r="AQ49" s="106"/>
      <c r="AR49" s="106"/>
      <c r="AS49" s="106"/>
      <c r="AT49" s="106"/>
      <c r="AU49" s="106"/>
      <c r="AV49" s="106"/>
      <c r="AW49" s="106"/>
      <c r="AX49" s="106"/>
      <c r="AY49" s="105">
        <v>3</v>
      </c>
      <c r="AZ49" s="105"/>
      <c r="BA49" s="105">
        <v>3</v>
      </c>
      <c r="BB49" s="36"/>
      <c r="BC49" s="36"/>
      <c r="BF49" s="112" t="str">
        <f t="shared" si="1"/>
        <v/>
      </c>
      <c r="BG49" s="113"/>
      <c r="BH49" s="114"/>
      <c r="BI49" s="114"/>
      <c r="BJ49" s="114"/>
      <c r="BK49" s="114"/>
      <c r="BL49" s="114"/>
      <c r="BM49" s="115"/>
      <c r="BN49" s="116"/>
      <c r="BO49" s="116"/>
      <c r="BP49" s="116"/>
      <c r="BQ49" s="116"/>
      <c r="BR49" s="116"/>
      <c r="BS49" s="117"/>
    </row>
    <row r="50" spans="1:161" s="34" customFormat="1" ht="35" customHeight="1">
      <c r="A50" s="127" t="s">
        <v>243</v>
      </c>
      <c r="B50" s="127" t="s">
        <v>244</v>
      </c>
      <c r="C50" s="127" t="s">
        <v>245</v>
      </c>
      <c r="D50" s="128" t="str">
        <f>IFERROR(INDEX([2]!Table1RM[#Data],MATCH($M$56,[2]!Table1RM[Athlete],0),MATCH($L50,[2]!Table1RM[#Headers],0)),"")</f>
        <v/>
      </c>
      <c r="E50" s="127" t="str">
        <f>IF($B50="PE",INDEX([2]ExerciseInventory!$J$2:$L$276,MATCH($L50,[2]ExerciseInventory!$J$2:$J$287,0),2),"")</f>
        <v/>
      </c>
      <c r="F50" s="128" t="str">
        <f>IF($B50="PE",INDEX([2]ExerciseInventory!$J$2:$L$276,MATCH($L50,[2]ExerciseInventory!$J$2:$J$287,0),3),"")</f>
        <v/>
      </c>
      <c r="G50" s="128"/>
      <c r="H50" s="127"/>
      <c r="J50" s="36"/>
      <c r="K50" s="105" t="s">
        <v>109</v>
      </c>
      <c r="L50" s="106" t="s">
        <v>169</v>
      </c>
      <c r="M50" s="106"/>
      <c r="N50" s="106"/>
      <c r="O50" s="106"/>
      <c r="P50" s="106"/>
      <c r="Q50" s="106"/>
      <c r="R50" s="106"/>
      <c r="S50" s="106"/>
      <c r="T50" s="106"/>
      <c r="U50" s="105">
        <v>6</v>
      </c>
      <c r="V50" s="105"/>
      <c r="W50" s="105">
        <v>6</v>
      </c>
      <c r="X50" s="90"/>
      <c r="Y50" s="105">
        <v>3</v>
      </c>
      <c r="Z50" s="106" t="s">
        <v>291</v>
      </c>
      <c r="AA50" s="106"/>
      <c r="AB50" s="106"/>
      <c r="AC50" s="106"/>
      <c r="AD50" s="106"/>
      <c r="AE50" s="106"/>
      <c r="AF50" s="106"/>
      <c r="AG50" s="106"/>
      <c r="AH50" s="106"/>
      <c r="AI50" s="105">
        <v>6</v>
      </c>
      <c r="AJ50" s="106"/>
      <c r="AK50" s="106"/>
      <c r="AL50" s="106"/>
      <c r="AM50" s="105">
        <v>6</v>
      </c>
      <c r="AN50" s="90"/>
      <c r="AO50" s="105">
        <v>3</v>
      </c>
      <c r="AP50" s="106" t="s">
        <v>216</v>
      </c>
      <c r="AQ50" s="106"/>
      <c r="AR50" s="106"/>
      <c r="AS50" s="106"/>
      <c r="AT50" s="106"/>
      <c r="AU50" s="106"/>
      <c r="AV50" s="106"/>
      <c r="AW50" s="106"/>
      <c r="AX50" s="106"/>
      <c r="AY50" s="105"/>
      <c r="AZ50" s="105">
        <v>5</v>
      </c>
      <c r="BA50" s="105">
        <v>5</v>
      </c>
      <c r="BB50" s="36"/>
      <c r="BC50" s="36"/>
      <c r="BF50" s="112" t="str">
        <f t="shared" si="1"/>
        <v/>
      </c>
      <c r="BG50" s="113"/>
      <c r="BH50" s="114"/>
      <c r="BI50" s="114"/>
      <c r="BJ50" s="114"/>
      <c r="BK50" s="114"/>
      <c r="BL50" s="114"/>
      <c r="BM50" s="115"/>
      <c r="BN50" s="116"/>
      <c r="BO50" s="116"/>
      <c r="BP50" s="116"/>
      <c r="BQ50" s="116"/>
      <c r="BR50" s="116"/>
      <c r="BS50" s="117"/>
    </row>
    <row r="51" spans="1:161" s="34" customFormat="1" ht="35" customHeight="1">
      <c r="A51" s="129"/>
      <c r="B51" s="129"/>
      <c r="C51" s="129"/>
      <c r="D51" s="128"/>
      <c r="E51" s="129"/>
      <c r="F51" s="128"/>
      <c r="G51" s="128"/>
      <c r="H51" s="129"/>
      <c r="J51" s="36"/>
      <c r="K51" s="105"/>
      <c r="L51" s="106"/>
      <c r="M51" s="106"/>
      <c r="N51" s="106"/>
      <c r="O51" s="106"/>
      <c r="P51" s="106"/>
      <c r="Q51" s="106"/>
      <c r="R51" s="106"/>
      <c r="S51" s="106"/>
      <c r="T51" s="106"/>
      <c r="U51" s="105"/>
      <c r="V51" s="105"/>
      <c r="W51" s="105"/>
      <c r="X51" s="90"/>
      <c r="Y51" s="105">
        <v>4</v>
      </c>
      <c r="Z51" s="106"/>
      <c r="AA51" s="106"/>
      <c r="AB51" s="106"/>
      <c r="AC51" s="106"/>
      <c r="AD51" s="106"/>
      <c r="AE51" s="106"/>
      <c r="AF51" s="106"/>
      <c r="AG51" s="106"/>
      <c r="AH51" s="106"/>
      <c r="AI51" s="105"/>
      <c r="AJ51" s="106"/>
      <c r="AK51" s="106"/>
      <c r="AL51" s="106"/>
      <c r="AM51" s="105"/>
      <c r="AN51" s="90"/>
      <c r="AO51" s="105">
        <v>4</v>
      </c>
      <c r="AP51" s="106"/>
      <c r="AQ51" s="106"/>
      <c r="AR51" s="106"/>
      <c r="AS51" s="106"/>
      <c r="AT51" s="106"/>
      <c r="AU51" s="106"/>
      <c r="AV51" s="106"/>
      <c r="AW51" s="106"/>
      <c r="AX51" s="106"/>
      <c r="AY51" s="105"/>
      <c r="AZ51" s="105"/>
      <c r="BA51" s="105"/>
      <c r="BB51" s="36"/>
      <c r="BC51" s="36"/>
      <c r="BF51" s="112" t="str">
        <f t="shared" si="1"/>
        <v/>
      </c>
      <c r="BG51" s="113"/>
      <c r="BH51" s="114"/>
      <c r="BI51" s="114"/>
      <c r="BJ51" s="114"/>
      <c r="BK51" s="114"/>
      <c r="BL51" s="114"/>
      <c r="BM51" s="115"/>
      <c r="BN51" s="116"/>
      <c r="BO51" s="116"/>
      <c r="BP51" s="116"/>
      <c r="BQ51" s="116"/>
      <c r="BR51" s="116"/>
      <c r="BS51" s="117"/>
    </row>
    <row r="52" spans="1:161" s="34" customFormat="1" ht="35" customHeight="1">
      <c r="A52" s="127" t="s">
        <v>243</v>
      </c>
      <c r="B52" s="127" t="s">
        <v>244</v>
      </c>
      <c r="C52" s="127" t="s">
        <v>245</v>
      </c>
      <c r="D52" s="128" t="str">
        <f>IFERROR(INDEX([2]!Table1RM[#Data],MATCH($M$56,[2]!Table1RM[Athlete],0),MATCH($L52,[2]!Table1RM[#Headers],0)),"")</f>
        <v/>
      </c>
      <c r="E52" s="127" t="str">
        <f>IF($B52="PE",INDEX([2]ExerciseInventory!$J$2:$L$276,MATCH($L52,[2]ExerciseInventory!$J$2:$J$287,0),2),"")</f>
        <v/>
      </c>
      <c r="F52" s="128" t="str">
        <f>IF($B52="PE",INDEX([2]ExerciseInventory!$J$2:$L$276,MATCH($L52,[2]ExerciseInventory!$J$2:$J$287,0),3),"")</f>
        <v/>
      </c>
      <c r="G52" s="128"/>
      <c r="H52" s="127"/>
      <c r="J52" s="36"/>
      <c r="K52" s="105"/>
      <c r="L52" s="106"/>
      <c r="M52" s="106"/>
      <c r="N52" s="106"/>
      <c r="O52" s="106"/>
      <c r="P52" s="106"/>
      <c r="Q52" s="106"/>
      <c r="R52" s="106"/>
      <c r="S52" s="106"/>
      <c r="T52" s="106"/>
      <c r="U52" s="105"/>
      <c r="V52" s="105"/>
      <c r="W52" s="105"/>
      <c r="X52" s="90"/>
      <c r="Y52" s="105">
        <v>5</v>
      </c>
      <c r="Z52" s="106"/>
      <c r="AA52" s="106"/>
      <c r="AB52" s="106"/>
      <c r="AC52" s="106"/>
      <c r="AD52" s="106"/>
      <c r="AE52" s="106"/>
      <c r="AF52" s="106"/>
      <c r="AG52" s="106"/>
      <c r="AH52" s="106"/>
      <c r="AI52" s="105"/>
      <c r="AJ52" s="106"/>
      <c r="AK52" s="106"/>
      <c r="AL52" s="106"/>
      <c r="AM52" s="105"/>
      <c r="AN52" s="90"/>
      <c r="AO52" s="105">
        <v>5</v>
      </c>
      <c r="AP52" s="106"/>
      <c r="AQ52" s="106"/>
      <c r="AR52" s="106"/>
      <c r="AS52" s="106"/>
      <c r="AT52" s="106"/>
      <c r="AU52" s="106"/>
      <c r="AV52" s="106"/>
      <c r="AW52" s="106"/>
      <c r="AX52" s="106"/>
      <c r="AY52" s="105"/>
      <c r="AZ52" s="105"/>
      <c r="BA52" s="105"/>
      <c r="BB52" s="36"/>
      <c r="BC52" s="36"/>
      <c r="BF52" s="112" t="str">
        <f t="shared" si="1"/>
        <v/>
      </c>
      <c r="BG52" s="113"/>
      <c r="BH52" s="114"/>
      <c r="BI52" s="114"/>
      <c r="BJ52" s="114"/>
      <c r="BK52" s="114"/>
      <c r="BL52" s="114"/>
      <c r="BM52" s="115"/>
      <c r="BN52" s="116"/>
      <c r="BO52" s="116"/>
      <c r="BP52" s="116"/>
      <c r="BQ52" s="116"/>
      <c r="BR52" s="116"/>
      <c r="BS52" s="117"/>
    </row>
    <row r="53" spans="1:161" s="34" customFormat="1" ht="35" customHeight="1">
      <c r="A53" s="129"/>
      <c r="B53" s="129"/>
      <c r="C53" s="129"/>
      <c r="D53" s="128"/>
      <c r="E53" s="129"/>
      <c r="F53" s="128"/>
      <c r="G53" s="128"/>
      <c r="H53" s="129"/>
      <c r="J53" s="36"/>
      <c r="K53" s="105"/>
      <c r="L53" s="106"/>
      <c r="M53" s="106"/>
      <c r="N53" s="106"/>
      <c r="O53" s="106"/>
      <c r="P53" s="106"/>
      <c r="Q53" s="106"/>
      <c r="R53" s="106"/>
      <c r="S53" s="106"/>
      <c r="T53" s="106"/>
      <c r="U53" s="105"/>
      <c r="V53" s="105"/>
      <c r="W53" s="105"/>
      <c r="X53" s="90"/>
      <c r="Y53" s="105">
        <v>6</v>
      </c>
      <c r="Z53" s="106"/>
      <c r="AA53" s="106"/>
      <c r="AB53" s="106"/>
      <c r="AC53" s="106"/>
      <c r="AD53" s="106"/>
      <c r="AE53" s="106"/>
      <c r="AF53" s="106"/>
      <c r="AG53" s="106"/>
      <c r="AH53" s="106"/>
      <c r="AI53" s="105"/>
      <c r="AJ53" s="106"/>
      <c r="AK53" s="106"/>
      <c r="AL53" s="106"/>
      <c r="AM53" s="105"/>
      <c r="AN53" s="90"/>
      <c r="AO53" s="105">
        <v>6</v>
      </c>
      <c r="AP53" s="106"/>
      <c r="AQ53" s="106"/>
      <c r="AR53" s="106"/>
      <c r="AS53" s="106"/>
      <c r="AT53" s="106"/>
      <c r="AU53" s="106"/>
      <c r="AV53" s="106"/>
      <c r="AW53" s="106"/>
      <c r="AX53" s="106"/>
      <c r="AY53" s="105"/>
      <c r="AZ53" s="105"/>
      <c r="BA53" s="105"/>
      <c r="BB53" s="36"/>
      <c r="BC53" s="36"/>
      <c r="BF53" s="112" t="str">
        <f t="shared" si="1"/>
        <v/>
      </c>
      <c r="BG53" s="113"/>
      <c r="BH53" s="114"/>
      <c r="BI53" s="114"/>
      <c r="BJ53" s="114"/>
      <c r="BK53" s="114"/>
      <c r="BL53" s="114"/>
      <c r="BM53" s="115"/>
      <c r="BN53" s="116"/>
      <c r="BO53" s="116"/>
      <c r="BP53" s="116"/>
      <c r="BQ53" s="116"/>
      <c r="BR53" s="116"/>
      <c r="BS53" s="117"/>
    </row>
    <row r="54" spans="1:161" s="34" customFormat="1" ht="35" customHeight="1" thickBot="1">
      <c r="J54" s="36"/>
      <c r="K54" s="105"/>
      <c r="L54" s="106"/>
      <c r="M54" s="106"/>
      <c r="N54" s="106"/>
      <c r="O54" s="106"/>
      <c r="P54" s="106"/>
      <c r="Q54" s="106"/>
      <c r="R54" s="106"/>
      <c r="S54" s="106"/>
      <c r="T54" s="106"/>
      <c r="U54" s="105"/>
      <c r="V54" s="105"/>
      <c r="W54" s="105"/>
      <c r="X54" s="90"/>
      <c r="Y54" s="105">
        <v>7</v>
      </c>
      <c r="Z54" s="106"/>
      <c r="AA54" s="106"/>
      <c r="AB54" s="106"/>
      <c r="AC54" s="106"/>
      <c r="AD54" s="106"/>
      <c r="AE54" s="106"/>
      <c r="AF54" s="106"/>
      <c r="AG54" s="106"/>
      <c r="AH54" s="106"/>
      <c r="AI54" s="105"/>
      <c r="AJ54" s="106"/>
      <c r="AK54" s="106"/>
      <c r="AL54" s="106"/>
      <c r="AM54" s="105"/>
      <c r="AN54" s="90"/>
      <c r="AO54" s="105">
        <v>7</v>
      </c>
      <c r="AP54" s="106"/>
      <c r="AQ54" s="106"/>
      <c r="AR54" s="106"/>
      <c r="AS54" s="106"/>
      <c r="AT54" s="106"/>
      <c r="AU54" s="106"/>
      <c r="AV54" s="106"/>
      <c r="AW54" s="106"/>
      <c r="AX54" s="106"/>
      <c r="AY54" s="105"/>
      <c r="AZ54" s="105"/>
      <c r="BA54" s="105"/>
      <c r="BB54" s="36"/>
      <c r="BC54" s="36"/>
      <c r="BF54" s="130"/>
      <c r="BG54" s="130"/>
      <c r="BH54" s="131"/>
      <c r="BI54" s="131"/>
      <c r="BJ54" s="131"/>
      <c r="BK54" s="131"/>
      <c r="BL54" s="131"/>
      <c r="BM54" s="132"/>
      <c r="BN54" s="131"/>
      <c r="BO54" s="131"/>
      <c r="BP54" s="131"/>
      <c r="BQ54" s="131"/>
      <c r="BR54" s="131"/>
      <c r="BS54" s="132"/>
    </row>
    <row r="55" spans="1:161" s="34" customFormat="1" ht="19" customHeight="1" thickBot="1">
      <c r="J55" s="36"/>
      <c r="K55" s="36"/>
      <c r="L55" s="133"/>
      <c r="M55" s="133"/>
      <c r="N55" s="133"/>
      <c r="O55" s="133"/>
      <c r="P55" s="133"/>
      <c r="Q55" s="133"/>
      <c r="R55" s="133"/>
      <c r="S55" s="133"/>
      <c r="T55" s="133"/>
      <c r="U55" s="133"/>
      <c r="V55" s="133"/>
      <c r="W55" s="133"/>
      <c r="X55" s="133"/>
      <c r="Y55" s="133"/>
      <c r="Z55" s="36"/>
      <c r="AA55" s="36"/>
      <c r="AB55" s="36"/>
      <c r="AC55" s="36"/>
      <c r="AD55" s="36"/>
      <c r="AE55" s="36"/>
      <c r="AF55" s="36"/>
      <c r="AG55" s="36"/>
      <c r="AH55" s="36"/>
      <c r="AI55" s="36"/>
      <c r="AJ55" s="36"/>
      <c r="AK55" s="36"/>
      <c r="AL55" s="36"/>
      <c r="AM55" s="36"/>
      <c r="AN55" s="36"/>
      <c r="AO55" s="36"/>
      <c r="AP55" s="36"/>
      <c r="AQ55" s="36"/>
      <c r="AR55" s="36"/>
      <c r="AS55" s="36"/>
      <c r="AT55" s="36"/>
      <c r="AU55" s="36"/>
      <c r="AV55" s="36"/>
      <c r="AW55" s="36"/>
      <c r="AX55" s="36"/>
      <c r="AY55" s="36"/>
      <c r="AZ55" s="36"/>
      <c r="BA55" s="36"/>
      <c r="BB55" s="36"/>
      <c r="BC55" s="36"/>
    </row>
    <row r="56" spans="1:161" s="34" customFormat="1" ht="34.5" customHeight="1" thickBot="1">
      <c r="E56" s="134" t="s">
        <v>292</v>
      </c>
      <c r="F56" s="135" t="str">
        <f>IFERROR(INDEX([2]!Table1RM[#Data],MATCH($M$56,[2]!Table1RM[Athlete],0),MATCH($E$56,[2]!Table1RM[#Headers],0)),"")</f>
        <v/>
      </c>
      <c r="J56" s="36"/>
      <c r="K56" s="62"/>
      <c r="L56" s="62"/>
      <c r="M56" s="63"/>
      <c r="N56" s="63"/>
      <c r="O56" s="63"/>
      <c r="P56" s="63"/>
      <c r="Q56" s="63"/>
      <c r="R56" s="63"/>
      <c r="S56" s="63"/>
      <c r="T56" s="63"/>
      <c r="U56" s="63"/>
      <c r="V56" s="63"/>
      <c r="W56" s="63"/>
      <c r="X56" s="64"/>
      <c r="Y56" s="36"/>
      <c r="Z56" s="65" t="s">
        <v>221</v>
      </c>
      <c r="AA56" s="65"/>
      <c r="AB56" s="65"/>
      <c r="AC56" s="65"/>
      <c r="AD56" s="66">
        <f>$AD$11</f>
        <v>45432</v>
      </c>
      <c r="AE56" s="66"/>
      <c r="AF56" s="67" t="s">
        <v>222</v>
      </c>
      <c r="AG56" s="66">
        <f>$AG$11</f>
        <v>45427</v>
      </c>
      <c r="AH56" s="66"/>
      <c r="AI56" s="68"/>
      <c r="AJ56" s="69"/>
      <c r="AK56" s="69"/>
      <c r="AL56" s="69"/>
      <c r="AM56" s="69"/>
      <c r="AN56" s="70"/>
      <c r="AO56" s="65" t="s">
        <v>223</v>
      </c>
      <c r="AP56" s="65"/>
      <c r="AQ56" s="71" t="str">
        <f>$AR$11</f>
        <v>Meso 1</v>
      </c>
      <c r="AR56" s="71"/>
      <c r="AS56" s="71"/>
      <c r="AT56" s="71"/>
      <c r="AU56" s="71"/>
      <c r="AV56" s="71"/>
      <c r="AW56" s="71"/>
      <c r="AX56" s="71"/>
      <c r="AY56" s="71"/>
      <c r="AZ56" s="72"/>
      <c r="BA56" s="72"/>
      <c r="BB56" s="136"/>
      <c r="BC56" s="36"/>
      <c r="BL56" s="35"/>
    </row>
    <row r="57" spans="1:161" s="34" customFormat="1" ht="10" customHeight="1" thickBot="1">
      <c r="J57" s="36"/>
      <c r="K57" s="36"/>
      <c r="L57" s="36"/>
      <c r="M57" s="36"/>
      <c r="N57" s="36"/>
      <c r="O57" s="36"/>
      <c r="P57" s="36"/>
      <c r="Q57" s="36"/>
      <c r="R57" s="36"/>
      <c r="S57" s="36"/>
      <c r="T57" s="136"/>
      <c r="U57" s="36"/>
      <c r="V57" s="36"/>
      <c r="W57" s="36"/>
      <c r="X57" s="36"/>
      <c r="Y57" s="36"/>
      <c r="Z57" s="36"/>
      <c r="AA57" s="136"/>
      <c r="AB57" s="36"/>
      <c r="AC57" s="136"/>
      <c r="AD57" s="36"/>
      <c r="AE57" s="36"/>
      <c r="AF57" s="36"/>
      <c r="AG57" s="36"/>
      <c r="AH57" s="36"/>
      <c r="AI57" s="36"/>
      <c r="AJ57" s="136"/>
      <c r="AK57" s="36"/>
      <c r="AL57" s="136"/>
      <c r="AM57" s="36"/>
      <c r="AN57" s="36"/>
      <c r="AO57" s="36"/>
      <c r="AP57" s="36"/>
      <c r="AQ57" s="36"/>
      <c r="AR57" s="36"/>
      <c r="AS57" s="36"/>
      <c r="AT57" s="36"/>
      <c r="AU57" s="136"/>
      <c r="AV57" s="36"/>
      <c r="AW57" s="36"/>
      <c r="AX57" s="36"/>
      <c r="AY57" s="36"/>
      <c r="AZ57" s="36"/>
      <c r="BA57" s="36"/>
      <c r="BB57" s="136"/>
      <c r="BC57" s="36"/>
      <c r="BL57" s="35"/>
    </row>
    <row r="58" spans="1:161" s="34" customFormat="1" ht="29" customHeight="1">
      <c r="E58" s="137" t="s">
        <v>293</v>
      </c>
      <c r="F58" s="138" t="e">
        <f>$F$56*0.5</f>
        <v>#VALUE!</v>
      </c>
      <c r="J58" s="36"/>
      <c r="K58" s="139" t="s">
        <v>294</v>
      </c>
      <c r="L58" s="140" t="s">
        <v>120</v>
      </c>
      <c r="M58" s="141"/>
      <c r="N58" s="141"/>
      <c r="O58" s="141"/>
      <c r="P58" s="141"/>
      <c r="Q58" s="141"/>
      <c r="R58" s="141"/>
      <c r="S58" s="141"/>
      <c r="T58" s="141"/>
      <c r="U58" s="141"/>
      <c r="V58" s="141"/>
      <c r="W58" s="141"/>
      <c r="X58" s="141"/>
      <c r="Y58" s="142"/>
      <c r="Z58" s="139" t="s">
        <v>294</v>
      </c>
      <c r="AA58" s="143"/>
      <c r="AB58" s="140" t="s">
        <v>120</v>
      </c>
      <c r="AC58" s="140"/>
      <c r="AD58" s="140"/>
      <c r="AE58" s="144"/>
      <c r="AF58" s="144"/>
      <c r="AG58" s="144"/>
      <c r="AH58" s="144"/>
      <c r="AI58" s="144"/>
      <c r="AJ58" s="144"/>
      <c r="AK58" s="144"/>
      <c r="AL58" s="144"/>
      <c r="AM58" s="144"/>
      <c r="AN58" s="144"/>
      <c r="AO58" s="145"/>
      <c r="AP58" s="139" t="s">
        <v>294</v>
      </c>
      <c r="AQ58" s="140" t="s">
        <v>120</v>
      </c>
      <c r="AR58" s="144"/>
      <c r="AS58" s="144"/>
      <c r="AT58" s="144"/>
      <c r="AU58" s="144"/>
      <c r="AV58" s="144"/>
      <c r="AW58" s="144"/>
      <c r="AX58" s="144"/>
      <c r="AY58" s="144"/>
      <c r="AZ58" s="144"/>
      <c r="BA58" s="144"/>
      <c r="BB58" s="145"/>
      <c r="BC58" s="36"/>
      <c r="BM58" s="35"/>
    </row>
    <row r="59" spans="1:161" s="34" customFormat="1" ht="29" customHeight="1" thickBot="1">
      <c r="E59" s="137" t="s">
        <v>295</v>
      </c>
      <c r="F59" s="138" t="e">
        <f>$F$56*0.25</f>
        <v>#VALUE!</v>
      </c>
      <c r="J59" s="36"/>
      <c r="K59" s="146">
        <v>1</v>
      </c>
      <c r="L59" s="147"/>
      <c r="M59" s="148"/>
      <c r="N59" s="148"/>
      <c r="O59" s="148"/>
      <c r="P59" s="148"/>
      <c r="Q59" s="148"/>
      <c r="R59" s="148"/>
      <c r="S59" s="148"/>
      <c r="T59" s="148"/>
      <c r="U59" s="148"/>
      <c r="V59" s="149"/>
      <c r="W59" s="149"/>
      <c r="X59" s="149"/>
      <c r="Y59" s="150"/>
      <c r="Z59" s="146">
        <v>2</v>
      </c>
      <c r="AA59" s="151"/>
      <c r="AB59" s="147"/>
      <c r="AC59" s="147"/>
      <c r="AD59" s="147"/>
      <c r="AE59" s="148"/>
      <c r="AF59" s="148"/>
      <c r="AG59" s="148"/>
      <c r="AH59" s="148"/>
      <c r="AI59" s="148"/>
      <c r="AJ59" s="148"/>
      <c r="AK59" s="148"/>
      <c r="AL59" s="148"/>
      <c r="AM59" s="148"/>
      <c r="AN59" s="148"/>
      <c r="AO59" s="152"/>
      <c r="AP59" s="146">
        <v>3</v>
      </c>
      <c r="AQ59" s="147"/>
      <c r="AR59" s="149"/>
      <c r="AS59" s="149"/>
      <c r="AT59" s="149"/>
      <c r="AU59" s="149"/>
      <c r="AV59" s="149"/>
      <c r="AW59" s="149"/>
      <c r="AX59" s="149"/>
      <c r="AY59" s="149"/>
      <c r="AZ59" s="149"/>
      <c r="BA59" s="149"/>
      <c r="BB59" s="150"/>
      <c r="BC59" s="36"/>
      <c r="BM59" s="35"/>
    </row>
    <row r="60" spans="1:161" s="34" customFormat="1" ht="10" customHeight="1" thickBot="1">
      <c r="J60" s="36"/>
      <c r="K60" s="36"/>
      <c r="L60" s="36"/>
      <c r="M60" s="36"/>
      <c r="N60" s="36"/>
      <c r="O60" s="36"/>
      <c r="P60" s="36"/>
      <c r="Q60" s="36"/>
      <c r="R60" s="36"/>
      <c r="S60" s="36"/>
      <c r="T60" s="136"/>
      <c r="U60" s="36"/>
      <c r="V60" s="36"/>
      <c r="W60" s="36"/>
      <c r="X60" s="36"/>
      <c r="Y60" s="36"/>
      <c r="Z60" s="36"/>
      <c r="AA60" s="136"/>
      <c r="AB60" s="36"/>
      <c r="AC60" s="136"/>
      <c r="AD60" s="36"/>
      <c r="AE60" s="36"/>
      <c r="AF60" s="36"/>
      <c r="AG60" s="36"/>
      <c r="AH60" s="36"/>
      <c r="AI60" s="36"/>
      <c r="AJ60" s="136"/>
      <c r="AK60" s="36"/>
      <c r="AL60" s="136"/>
      <c r="AM60" s="36"/>
      <c r="AN60" s="36"/>
      <c r="AO60" s="36"/>
      <c r="AP60" s="36"/>
      <c r="AQ60" s="36"/>
      <c r="AR60" s="36"/>
      <c r="AS60" s="36"/>
      <c r="AT60" s="36"/>
      <c r="AU60" s="136"/>
      <c r="AV60" s="36"/>
      <c r="AW60" s="36"/>
      <c r="AX60" s="36"/>
      <c r="AY60" s="36"/>
      <c r="AZ60" s="36"/>
      <c r="BA60" s="36"/>
      <c r="BB60" s="136"/>
      <c r="BC60" s="36"/>
      <c r="BL60" s="35"/>
    </row>
    <row r="61" spans="1:161" s="86" customFormat="1" ht="25" customHeight="1">
      <c r="E61" s="87" t="s">
        <v>234</v>
      </c>
      <c r="F61" s="87" t="s">
        <v>235</v>
      </c>
      <c r="J61" s="118"/>
      <c r="K61" s="153" t="s">
        <v>296</v>
      </c>
      <c r="L61" s="154"/>
      <c r="M61" s="154"/>
      <c r="N61" s="154"/>
      <c r="O61" s="154"/>
      <c r="P61" s="154"/>
      <c r="Q61" s="154"/>
      <c r="R61" s="154"/>
      <c r="S61" s="155"/>
      <c r="T61" s="156"/>
      <c r="U61" s="157" t="s">
        <v>221</v>
      </c>
      <c r="V61" s="158"/>
      <c r="W61" s="158"/>
      <c r="X61" s="156"/>
      <c r="Y61" s="159"/>
      <c r="Z61" s="160"/>
      <c r="AA61" s="156"/>
      <c r="AB61" s="155"/>
      <c r="AC61" s="156"/>
      <c r="AD61" s="157" t="s">
        <v>221</v>
      </c>
      <c r="AE61" s="158"/>
      <c r="AF61" s="158"/>
      <c r="AG61" s="156"/>
      <c r="AH61" s="159"/>
      <c r="AI61" s="160"/>
      <c r="AJ61" s="156"/>
      <c r="AK61" s="155"/>
      <c r="AL61" s="156"/>
      <c r="AM61" s="157" t="s">
        <v>221</v>
      </c>
      <c r="AN61" s="158"/>
      <c r="AO61" s="158"/>
      <c r="AP61" s="156"/>
      <c r="AQ61" s="159"/>
      <c r="AR61" s="160"/>
      <c r="AS61" s="160"/>
      <c r="AT61" s="155"/>
      <c r="AU61" s="156"/>
      <c r="AV61" s="157" t="s">
        <v>221</v>
      </c>
      <c r="AW61" s="158"/>
      <c r="AX61" s="158"/>
      <c r="AY61" s="156"/>
      <c r="AZ61" s="159"/>
      <c r="BA61" s="160"/>
      <c r="BB61" s="161"/>
      <c r="BC61" s="118"/>
      <c r="BD61" s="34"/>
      <c r="BE61" s="34"/>
      <c r="BF61" s="34"/>
      <c r="BL61" s="114"/>
      <c r="BY61" s="34"/>
      <c r="BZ61" s="34"/>
      <c r="CA61" s="34"/>
      <c r="CB61" s="34"/>
      <c r="CC61" s="34"/>
      <c r="CD61" s="34"/>
      <c r="CE61" s="34"/>
      <c r="CF61" s="34"/>
      <c r="CG61" s="34"/>
      <c r="CH61" s="34"/>
      <c r="CI61" s="34"/>
      <c r="CJ61" s="34"/>
      <c r="CK61" s="34"/>
      <c r="CL61" s="34"/>
      <c r="CM61" s="34"/>
      <c r="CN61" s="34"/>
      <c r="CO61" s="34"/>
      <c r="CP61" s="34"/>
      <c r="CQ61" s="34"/>
      <c r="CR61" s="34"/>
      <c r="CS61" s="34"/>
      <c r="CT61" s="34"/>
      <c r="CU61" s="34"/>
      <c r="CV61" s="34"/>
      <c r="CW61" s="34"/>
      <c r="CX61" s="34"/>
      <c r="CY61" s="34"/>
      <c r="CZ61" s="34"/>
      <c r="DA61" s="34"/>
      <c r="DB61" s="34"/>
      <c r="DC61" s="34"/>
      <c r="DD61" s="34"/>
      <c r="DE61" s="34"/>
      <c r="DF61" s="34"/>
      <c r="DG61" s="34"/>
      <c r="DH61" s="34"/>
      <c r="DI61" s="34"/>
      <c r="DJ61" s="34"/>
      <c r="DK61" s="34"/>
      <c r="DL61" s="34"/>
      <c r="DM61" s="34"/>
      <c r="DN61" s="34"/>
      <c r="DO61" s="34"/>
      <c r="DP61" s="34"/>
      <c r="DQ61" s="34"/>
      <c r="DR61" s="34"/>
      <c r="DS61" s="34"/>
      <c r="DT61" s="34"/>
      <c r="DU61" s="34"/>
      <c r="DV61" s="34"/>
      <c r="DW61" s="34"/>
      <c r="DX61" s="34"/>
      <c r="DY61" s="34"/>
      <c r="DZ61" s="34"/>
      <c r="EA61" s="34"/>
      <c r="EB61" s="34"/>
      <c r="EC61" s="34"/>
      <c r="ED61" s="34"/>
      <c r="EE61" s="34"/>
      <c r="EF61" s="34"/>
      <c r="EG61" s="34"/>
      <c r="EH61" s="34"/>
      <c r="EI61" s="34"/>
      <c r="EJ61" s="34"/>
      <c r="EK61" s="34"/>
      <c r="EL61" s="34"/>
      <c r="FE61" s="34"/>
    </row>
    <row r="62" spans="1:161" s="86" customFormat="1" ht="25" customHeight="1">
      <c r="A62" s="101" t="s">
        <v>237</v>
      </c>
      <c r="B62" s="102"/>
      <c r="C62" s="103" t="s">
        <v>238</v>
      </c>
      <c r="D62" s="103" t="s">
        <v>239</v>
      </c>
      <c r="E62" s="104"/>
      <c r="F62" s="104"/>
      <c r="G62" s="103" t="s">
        <v>240</v>
      </c>
      <c r="H62" s="103" t="s">
        <v>241</v>
      </c>
      <c r="J62" s="118"/>
      <c r="K62" s="162"/>
      <c r="L62" s="163"/>
      <c r="M62" s="163"/>
      <c r="N62" s="163"/>
      <c r="O62" s="163"/>
      <c r="P62" s="163"/>
      <c r="Q62" s="163"/>
      <c r="R62" s="163"/>
      <c r="S62" s="164"/>
      <c r="T62" s="165"/>
      <c r="U62" s="166" t="s">
        <v>297</v>
      </c>
      <c r="V62" s="166"/>
      <c r="W62" s="166"/>
      <c r="X62" s="166"/>
      <c r="Y62" s="166"/>
      <c r="Z62" s="166"/>
      <c r="AA62" s="165"/>
      <c r="AB62" s="164"/>
      <c r="AC62" s="165"/>
      <c r="AD62" s="166" t="s">
        <v>297</v>
      </c>
      <c r="AE62" s="166"/>
      <c r="AF62" s="166"/>
      <c r="AG62" s="166"/>
      <c r="AH62" s="166"/>
      <c r="AI62" s="166"/>
      <c r="AJ62" s="165"/>
      <c r="AK62" s="164"/>
      <c r="AL62" s="165"/>
      <c r="AM62" s="166" t="s">
        <v>297</v>
      </c>
      <c r="AN62" s="166"/>
      <c r="AO62" s="166"/>
      <c r="AP62" s="166"/>
      <c r="AQ62" s="166"/>
      <c r="AR62" s="166"/>
      <c r="AS62" s="167"/>
      <c r="AT62" s="164"/>
      <c r="AU62" s="165"/>
      <c r="AV62" s="166" t="s">
        <v>297</v>
      </c>
      <c r="AW62" s="166"/>
      <c r="AX62" s="166"/>
      <c r="AY62" s="166"/>
      <c r="AZ62" s="166"/>
      <c r="BA62" s="166"/>
      <c r="BB62" s="168"/>
      <c r="BC62" s="118"/>
      <c r="BD62" s="34"/>
      <c r="BE62" s="34"/>
      <c r="BF62" s="34"/>
      <c r="BH62" s="103" t="s">
        <v>298</v>
      </c>
      <c r="BI62" s="103" t="s">
        <v>299</v>
      </c>
      <c r="BJ62" s="103" t="s">
        <v>300</v>
      </c>
      <c r="BK62" s="103" t="s">
        <v>301</v>
      </c>
      <c r="BL62" s="114"/>
      <c r="BN62" s="103" t="s">
        <v>302</v>
      </c>
      <c r="BO62" s="103" t="s">
        <v>303</v>
      </c>
      <c r="BP62" s="103" t="s">
        <v>304</v>
      </c>
      <c r="BT62" s="103" t="s">
        <v>298</v>
      </c>
      <c r="BU62" s="103" t="s">
        <v>299</v>
      </c>
      <c r="BV62" s="103" t="s">
        <v>300</v>
      </c>
      <c r="BW62" s="103" t="s">
        <v>301</v>
      </c>
      <c r="BX62" s="169"/>
      <c r="BY62" s="34"/>
      <c r="BZ62" s="34"/>
      <c r="CA62" s="34"/>
      <c r="CB62" s="34"/>
      <c r="CC62" s="34"/>
      <c r="CD62" s="34"/>
      <c r="CE62" s="34"/>
      <c r="CF62" s="34"/>
      <c r="CG62" s="34"/>
      <c r="CH62" s="34"/>
      <c r="CI62" s="34"/>
      <c r="CJ62" s="34"/>
      <c r="CK62" s="34"/>
      <c r="CL62" s="34"/>
      <c r="CM62" s="34"/>
      <c r="CN62" s="34"/>
      <c r="CO62" s="34"/>
      <c r="CP62" s="34"/>
      <c r="CQ62" s="34"/>
      <c r="CR62" s="34"/>
      <c r="CS62" s="34"/>
      <c r="CT62" s="34"/>
      <c r="CU62" s="34"/>
      <c r="CV62" s="34"/>
      <c r="CW62" s="34"/>
      <c r="CX62" s="34"/>
      <c r="CY62" s="34"/>
      <c r="CZ62" s="34"/>
      <c r="DA62" s="34"/>
      <c r="DB62" s="34"/>
      <c r="DC62" s="34"/>
      <c r="DD62" s="34"/>
      <c r="DE62" s="34"/>
      <c r="DF62" s="34"/>
      <c r="DG62" s="34"/>
      <c r="DH62" s="34"/>
      <c r="DI62" s="34"/>
      <c r="DJ62" s="34"/>
      <c r="DK62" s="34"/>
      <c r="DL62" s="34"/>
      <c r="DM62" s="34"/>
      <c r="DN62" s="34"/>
      <c r="DO62" s="34"/>
      <c r="DP62" s="34"/>
      <c r="DQ62" s="34"/>
      <c r="DR62" s="34"/>
      <c r="DS62" s="34"/>
      <c r="DT62" s="34"/>
      <c r="DU62" s="34"/>
      <c r="DV62" s="34"/>
      <c r="DW62" s="34"/>
      <c r="DX62" s="34"/>
      <c r="DY62" s="34"/>
      <c r="DZ62" s="34"/>
      <c r="EA62" s="34"/>
      <c r="EB62" s="34"/>
      <c r="EC62" s="34"/>
      <c r="ED62" s="34"/>
      <c r="EE62" s="34"/>
      <c r="EF62" s="34"/>
      <c r="EG62" s="34"/>
      <c r="EH62" s="34"/>
      <c r="EI62" s="34"/>
      <c r="EJ62" s="34"/>
      <c r="EK62" s="34"/>
      <c r="EL62" s="34"/>
      <c r="FE62" s="34"/>
    </row>
    <row r="63" spans="1:161" s="34" customFormat="1" ht="25" customHeight="1">
      <c r="A63" s="127" t="s">
        <v>305</v>
      </c>
      <c r="B63" s="127" t="s">
        <v>244</v>
      </c>
      <c r="C63" s="127" t="s">
        <v>306</v>
      </c>
      <c r="D63" s="127" t="str">
        <f>IFERROR(INDEX([2]!Table1RM[#Data],MATCH($M$56,[2]!Table1RM[Athlete],0),MATCH($L63,[2]!Table1RM[#Headers],0)),"")</f>
        <v/>
      </c>
      <c r="E63" s="127" t="str">
        <f>IF($B63="PE",INDEX([2]ExerciseInventory!$J$2:$L$276,MATCH($L63,[2]ExerciseInventory!$J$2:$J$287,0),2),"")</f>
        <v/>
      </c>
      <c r="F63" s="127" t="str">
        <f>IF($B63="PE",INDEX([2]ExerciseInventory!$J$2:$L$276,MATCH($L63,[2]ExerciseInventory!$J$2:$J$287,0),3),"")</f>
        <v/>
      </c>
      <c r="G63" s="127"/>
      <c r="H63" s="127"/>
      <c r="J63" s="36"/>
      <c r="K63" s="170" t="s">
        <v>107</v>
      </c>
      <c r="L63" s="171" t="s">
        <v>175</v>
      </c>
      <c r="M63" s="171"/>
      <c r="N63" s="171"/>
      <c r="O63" s="171"/>
      <c r="P63" s="172"/>
      <c r="Q63" s="173"/>
      <c r="R63" s="174"/>
      <c r="S63" s="175" t="str">
        <f>CLEAN(IFERROR(INDEX(TableSetRepSchemes,MATCH(#REF!,ListSetRepSchemes,0),COLUMNS($R63:S63)),""))</f>
        <v/>
      </c>
      <c r="T63" s="111"/>
      <c r="U63" s="176" t="s">
        <v>307</v>
      </c>
      <c r="V63" s="177"/>
      <c r="W63" s="177"/>
      <c r="X63" s="177"/>
      <c r="Y63" s="177"/>
      <c r="Z63" s="177"/>
      <c r="AA63" s="178"/>
      <c r="AB63" s="179" t="str">
        <f>CLEAN(IFERROR(INDEX(TableSetRepSchemes,MATCH('1'!$C63,ListSetRepSchemes,0),COLUMNS($R63:AB63)),""))</f>
        <v/>
      </c>
      <c r="AC63" s="178"/>
      <c r="AD63" s="178">
        <f>IFERROR(INDEX(TableSetRepSchemes,MATCH('1'!$C63,ListSetRepSchemes,0),COLUMNS($R63:AD63)),"")</f>
        <v>8</v>
      </c>
      <c r="AE63" s="178">
        <f>IFERROR(INDEX(TableSetRepSchemes,MATCH('1'!$C63,ListSetRepSchemes,0),COLUMNS($R63:AE63)),"")</f>
        <v>8</v>
      </c>
      <c r="AF63" s="178">
        <f>IFERROR(INDEX(TableSetRepSchemes,MATCH('1'!$C63,ListSetRepSchemes,0),COLUMNS($R63:AF63)),"")</f>
        <v>8</v>
      </c>
      <c r="AG63" s="178">
        <f>IFERROR(INDEX(TableSetRepSchemes,MATCH('1'!$C63,ListSetRepSchemes,0),COLUMNS($R63:AG63)),"")</f>
        <v>0</v>
      </c>
      <c r="AH63" s="178">
        <f>IFERROR(INDEX(TableSetRepSchemes,MATCH('1'!$C63,ListSetRepSchemes,0),COLUMNS($R63:AH63)),"")</f>
        <v>0</v>
      </c>
      <c r="AI63" s="178">
        <f>IFERROR(INDEX(TableSetRepSchemes,MATCH('1'!$C63,ListSetRepSchemes,0),COLUMNS($R63:AI63)),"")</f>
        <v>0</v>
      </c>
      <c r="AJ63" s="178"/>
      <c r="AK63" s="179" t="str">
        <f>CLEAN(IFERROR(INDEX(TableSetRepSchemes,MATCH('1'!$C63,ListSetRepSchemes,0),COLUMNS($R63:AK63)),""))</f>
        <v/>
      </c>
      <c r="AL63" s="178"/>
      <c r="AM63" s="178">
        <f>IFERROR(INDEX(TableSetRepSchemes,MATCH('1'!$C63,ListSetRepSchemes,0),COLUMNS($R63:AM63)),"")</f>
        <v>8</v>
      </c>
      <c r="AN63" s="178">
        <f>IFERROR(INDEX(TableSetRepSchemes,MATCH('1'!$C63,ListSetRepSchemes,0),COLUMNS($R63:AN63)),"")</f>
        <v>8</v>
      </c>
      <c r="AO63" s="178">
        <f>IFERROR(INDEX(TableSetRepSchemes,MATCH('1'!$C63,ListSetRepSchemes,0),COLUMNS($R63:AO63)),"")</f>
        <v>8</v>
      </c>
      <c r="AP63" s="178">
        <f>IFERROR(INDEX(TableSetRepSchemes,MATCH('1'!$C63,ListSetRepSchemes,0),COLUMNS($R63:AP63)),"")</f>
        <v>0</v>
      </c>
      <c r="AQ63" s="178">
        <f>IFERROR(INDEX(TableSetRepSchemes,MATCH('1'!$C63,ListSetRepSchemes,0),COLUMNS($R63:AQ63)),"")</f>
        <v>0</v>
      </c>
      <c r="AR63" s="178">
        <f>IFERROR(INDEX(TableSetRepSchemes,MATCH('1'!$C63,ListSetRepSchemes,0),COLUMNS($R63:AR63)),"")</f>
        <v>0</v>
      </c>
      <c r="AS63" s="178"/>
      <c r="AT63" s="179" t="str">
        <f>CLEAN(IFERROR(INDEX(TableSetRepSchemes,MATCH('1'!$C63,ListSetRepSchemes,0),COLUMNS($R63:AT63)),""))</f>
        <v/>
      </c>
      <c r="AU63" s="178"/>
      <c r="AV63" s="178">
        <f>IFERROR(INDEX(TableSetRepSchemes,MATCH('1'!$C63,ListSetRepSchemes,0),COLUMNS($R63:AV63)),"")</f>
        <v>8</v>
      </c>
      <c r="AW63" s="178">
        <f>IFERROR(INDEX(TableSetRepSchemes,MATCH('1'!$C63,ListSetRepSchemes,0),COLUMNS($R63:AW63)),"")</f>
        <v>8</v>
      </c>
      <c r="AX63" s="178">
        <f>IFERROR(INDEX(TableSetRepSchemes,MATCH('1'!$C63,ListSetRepSchemes,0),COLUMNS($R63:AX63)),"")</f>
        <v>8</v>
      </c>
      <c r="AY63" s="178">
        <f>IFERROR(INDEX(TableSetRepSchemes,MATCH('1'!$C63,ListSetRepSchemes,0),COLUMNS($R63:AY63)),"")</f>
        <v>0</v>
      </c>
      <c r="AZ63" s="178">
        <f>IFERROR(INDEX(TableSetRepSchemes,MATCH('1'!$C63,ListSetRepSchemes,0),COLUMNS($R63:AZ63)),"")</f>
        <v>0</v>
      </c>
      <c r="BA63" s="178">
        <f>IFERROR(INDEX(TableSetRepSchemes,MATCH('1'!$C63,ListSetRepSchemes,0),COLUMNS($R63:BA63)),"")</f>
        <v>0</v>
      </c>
      <c r="BB63" s="180"/>
      <c r="BC63" s="36"/>
      <c r="BG63" s="181" t="s">
        <v>308</v>
      </c>
      <c r="BH63" s="182">
        <f>IFERROR(SUM(SUBSTITUTE(U63,"/s",""),V63:Z63),0)</f>
        <v>0</v>
      </c>
      <c r="BI63" s="182">
        <f>SUM(SUBSTITUTE(AD63,"/s",""),AE63:AI63)</f>
        <v>24</v>
      </c>
      <c r="BJ63" s="182">
        <f>SUM(AM63:AR63)</f>
        <v>24</v>
      </c>
      <c r="BK63" s="182">
        <f>SUM(AV63:BA63)</f>
        <v>24</v>
      </c>
      <c r="BL63" s="183"/>
      <c r="BM63" s="184"/>
      <c r="BN63" s="182" t="s">
        <v>309</v>
      </c>
      <c r="BO63" s="182">
        <f>IF($B$63="PE",(BL64),0)+IF($B$65="PE",(BL66),0)+IF($B$67="PE",(BL68),0)+IF($B$69="PE",(BL70),0)+IF($B$71="PE",(BL72),0)+IF($B$73="PE",(BL74),0)+IF($B$75="PE",(BL76),0)+IF($B$77="PE",(BL78),0)</f>
        <v>0</v>
      </c>
      <c r="BP63" s="185" t="e">
        <f>(BO63/$BO$67)*100</f>
        <v>#DIV/0!</v>
      </c>
      <c r="BQ63" s="184"/>
      <c r="BS63" s="181" t="s">
        <v>308</v>
      </c>
      <c r="BT63" s="50" t="str">
        <f>IF($B63="PE",BH63,"")</f>
        <v/>
      </c>
      <c r="BU63" s="186" t="str">
        <f>IF($B63="PE",BI63,"")</f>
        <v/>
      </c>
      <c r="BV63" s="186" t="str">
        <f>IF($B63="PE",BJ63,"")</f>
        <v/>
      </c>
      <c r="BW63" s="186" t="str">
        <f>IF($B63="PE",BK63,"")</f>
        <v/>
      </c>
      <c r="BX63" s="187"/>
    </row>
    <row r="64" spans="1:161" s="34" customFormat="1" ht="25" customHeight="1">
      <c r="A64" s="129"/>
      <c r="B64" s="129"/>
      <c r="C64" s="129"/>
      <c r="D64" s="129"/>
      <c r="E64" s="129"/>
      <c r="F64" s="129"/>
      <c r="G64" s="129"/>
      <c r="H64" s="129"/>
      <c r="J64" s="36"/>
      <c r="K64" s="188"/>
      <c r="L64" s="189"/>
      <c r="M64" s="189"/>
      <c r="N64" s="189"/>
      <c r="O64" s="189"/>
      <c r="P64" s="190"/>
      <c r="Q64" s="191"/>
      <c r="R64" s="192"/>
      <c r="S64" s="193"/>
      <c r="T64" s="111"/>
      <c r="U64" s="177"/>
      <c r="V64" s="177"/>
      <c r="W64" s="177"/>
      <c r="X64" s="177"/>
      <c r="Y64" s="177"/>
      <c r="Z64" s="177"/>
      <c r="AA64" s="178"/>
      <c r="AB64" s="194"/>
      <c r="AC64" s="178"/>
      <c r="AD64" s="178"/>
      <c r="AE64" s="178"/>
      <c r="AF64" s="178"/>
      <c r="AG64" s="178"/>
      <c r="AH64" s="178"/>
      <c r="AI64" s="178"/>
      <c r="AJ64" s="178"/>
      <c r="AK64" s="194"/>
      <c r="AL64" s="178"/>
      <c r="AM64" s="178"/>
      <c r="AN64" s="178"/>
      <c r="AO64" s="178"/>
      <c r="AP64" s="178"/>
      <c r="AQ64" s="178"/>
      <c r="AR64" s="178"/>
      <c r="AS64" s="178"/>
      <c r="AT64" s="194"/>
      <c r="AU64" s="178"/>
      <c r="AV64" s="178"/>
      <c r="AW64" s="178"/>
      <c r="AX64" s="178"/>
      <c r="AY64" s="178"/>
      <c r="AZ64" s="178"/>
      <c r="BA64" s="178"/>
      <c r="BB64" s="180"/>
      <c r="BC64" s="36"/>
      <c r="BG64" s="181" t="s">
        <v>310</v>
      </c>
      <c r="BH64" s="182">
        <f>IFERROR((SUBSTITUTE(U63,"/s","")*U64)+(V63*V64)+(W63*W64)+(X63*X64)+(Y63*Y64)+(Z63*Z64),0)</f>
        <v>0</v>
      </c>
      <c r="BI64" s="182">
        <f>IFERROR((SUBSTITUTE(AD63,"/s","")*AD64)+(AE63*AE64)+(AF63*AF64)+(AG63*AG64)+(AH63*AH64)+(AI63*AI64),0)</f>
        <v>0</v>
      </c>
      <c r="BJ64" s="182">
        <f>IFERROR((AM63*AM64)+(AN63*AN64)+(AO63*AO64)+(AP63*AP64)+(AQ63*AQ64)+(AR63*AR64),"")</f>
        <v>0</v>
      </c>
      <c r="BK64" s="182">
        <f>IFERROR((AV63*AV64)+(AW63*AW64)+(AX63*AX64)+(AY63*AY64)+(AZ63*AZ64)+(BA63*BA64),"")</f>
        <v>0</v>
      </c>
      <c r="BL64" s="195">
        <f>IFERROR(BH64+BI64+BJ64+BK64,NA())</f>
        <v>0</v>
      </c>
      <c r="BM64" s="184"/>
      <c r="BN64" s="182" t="s">
        <v>311</v>
      </c>
      <c r="BO64" s="182">
        <f>IF(B63="DE",(BL64),0)+IF(B65="DE",(BL66),0)+IF(B67="DE",(BL68),0)+IF(B69="DE",(BL70),0)+IF(B71="DE",(BL72),0)+IF(B73="DE",(BL74),0)+IF(B75="DE",(BL76),0)+IF(B77="DE",(BL78),0)</f>
        <v>0</v>
      </c>
      <c r="BP64" s="185" t="e">
        <f>(BO64/$BO$67)*100</f>
        <v>#DIV/0!</v>
      </c>
      <c r="BQ64" s="184"/>
      <c r="BS64" s="181" t="s">
        <v>310</v>
      </c>
      <c r="BT64" s="50">
        <f>IF($B63="PE",(BH64*$E63*$F63),0)</f>
        <v>0</v>
      </c>
      <c r="BU64" s="186">
        <f>IF($B63="PE",(BI64*$E63*$F63),0)</f>
        <v>0</v>
      </c>
      <c r="BV64" s="186">
        <f>IF($B63="PE",(BJ64*$E63*$F63),0)</f>
        <v>0</v>
      </c>
      <c r="BW64" s="186">
        <f>IF($B63="PE",(BK64*$E63*$F63),0)</f>
        <v>0</v>
      </c>
      <c r="BX64" s="187">
        <f>IFERROR(BT64+BU64+BV64+BW64,NA())</f>
        <v>0</v>
      </c>
    </row>
    <row r="65" spans="1:76" s="34" customFormat="1" ht="25" customHeight="1">
      <c r="A65" s="127" t="s">
        <v>312</v>
      </c>
      <c r="B65" s="127" t="s">
        <v>311</v>
      </c>
      <c r="C65" s="127" t="s">
        <v>313</v>
      </c>
      <c r="D65" s="128" t="str">
        <f>IFERROR(INDEX([2]!Table1RM[#Data],MATCH($M$56,[2]!Table1RM[Athlete],0),MATCH($L65,[2]!Table1RM[#Headers],0)),"")</f>
        <v/>
      </c>
      <c r="E65" s="127" t="str">
        <f>IF($B65="PE",INDEX([2]ExerciseInventory!$J$2:$L$276,MATCH($L65,[2]ExerciseInventory!$J$2:$J$287,0),2),"")</f>
        <v/>
      </c>
      <c r="F65" s="128" t="str">
        <f>IF($B65="PE",INDEX([2]ExerciseInventory!$J$2:$L$276,MATCH($L65,[2]ExerciseInventory!$J$2:$J$287,0),3),"")</f>
        <v/>
      </c>
      <c r="G65" s="128"/>
      <c r="H65" s="127" t="s">
        <v>314</v>
      </c>
      <c r="J65" s="36"/>
      <c r="K65" s="170" t="s">
        <v>108</v>
      </c>
      <c r="L65" s="171" t="s">
        <v>315</v>
      </c>
      <c r="M65" s="171"/>
      <c r="N65" s="171"/>
      <c r="O65" s="171"/>
      <c r="P65" s="172"/>
      <c r="Q65" s="173"/>
      <c r="R65" s="174"/>
      <c r="S65" s="175" t="str">
        <f>CLEAN(IFERROR(INDEX(TableSetRepSchemes,MATCH(#REF!,ListSetRepSchemes,0),COLUMNS($R65:S65)),""))</f>
        <v/>
      </c>
      <c r="T65" s="111"/>
      <c r="U65" s="176" t="s">
        <v>316</v>
      </c>
      <c r="V65" s="177"/>
      <c r="W65" s="177"/>
      <c r="X65" s="177"/>
      <c r="Y65" s="177"/>
      <c r="Z65" s="177"/>
      <c r="AA65" s="178"/>
      <c r="AB65" s="179" t="str">
        <f>CLEAN(IFERROR(INDEX(TableSetRepSchemes,MATCH('1'!$C65,ListSetRepSchemes,0),COLUMNS($R65:AB65)),""))</f>
        <v/>
      </c>
      <c r="AC65" s="178"/>
      <c r="AD65" s="178">
        <f>IFERROR(INDEX(TableSetRepSchemes,MATCH('1'!$C65,ListSetRepSchemes,0),COLUMNS($R65:AD65)),"")</f>
        <v>6</v>
      </c>
      <c r="AE65" s="178">
        <f>IFERROR(INDEX(TableSetRepSchemes,MATCH('1'!$C65,ListSetRepSchemes,0),COLUMNS($R65:AE65)),"")</f>
        <v>6</v>
      </c>
      <c r="AF65" s="178">
        <f>IFERROR(INDEX(TableSetRepSchemes,MATCH('1'!$C65,ListSetRepSchemes,0),COLUMNS($R65:AF65)),"")</f>
        <v>6</v>
      </c>
      <c r="AG65" s="178">
        <f>IFERROR(INDEX(TableSetRepSchemes,MATCH('1'!$C65,ListSetRepSchemes,0),COLUMNS($R65:AG65)),"")</f>
        <v>0</v>
      </c>
      <c r="AH65" s="178">
        <f>IFERROR(INDEX(TableSetRepSchemes,MATCH('1'!$C65,ListSetRepSchemes,0),COLUMNS($R65:AH65)),"")</f>
        <v>0</v>
      </c>
      <c r="AI65" s="178">
        <f>IFERROR(INDEX(TableSetRepSchemes,MATCH('1'!$C65,ListSetRepSchemes,0),COLUMNS($R65:AI65)),"")</f>
        <v>0</v>
      </c>
      <c r="AJ65" s="178"/>
      <c r="AK65" s="179" t="str">
        <f>CLEAN(IFERROR(INDEX(TableSetRepSchemes,MATCH('1'!$C65,ListSetRepSchemes,0),COLUMNS($R65:AK65)),""))</f>
        <v/>
      </c>
      <c r="AL65" s="178"/>
      <c r="AM65" s="178">
        <f>IFERROR(INDEX(TableSetRepSchemes,MATCH('1'!$C65,ListSetRepSchemes,0),COLUMNS($R65:AM65)),"")</f>
        <v>7</v>
      </c>
      <c r="AN65" s="178">
        <f>IFERROR(INDEX(TableSetRepSchemes,MATCH('1'!$C65,ListSetRepSchemes,0),COLUMNS($R65:AN65)),"")</f>
        <v>7</v>
      </c>
      <c r="AO65" s="178">
        <f>IFERROR(INDEX(TableSetRepSchemes,MATCH('1'!$C65,ListSetRepSchemes,0),COLUMNS($R65:AO65)),"")</f>
        <v>7</v>
      </c>
      <c r="AP65" s="178">
        <f>IFERROR(INDEX(TableSetRepSchemes,MATCH('1'!$C65,ListSetRepSchemes,0),COLUMNS($R65:AP65)),"")</f>
        <v>0</v>
      </c>
      <c r="AQ65" s="178">
        <f>IFERROR(INDEX(TableSetRepSchemes,MATCH('1'!$C65,ListSetRepSchemes,0),COLUMNS($R65:AQ65)),"")</f>
        <v>0</v>
      </c>
      <c r="AR65" s="178">
        <f>IFERROR(INDEX(TableSetRepSchemes,MATCH('1'!$C65,ListSetRepSchemes,0),COLUMNS($R65:AR65)),"")</f>
        <v>0</v>
      </c>
      <c r="AS65" s="178"/>
      <c r="AT65" s="179" t="str">
        <f>CLEAN(IFERROR(INDEX(TableSetRepSchemes,MATCH('1'!$C65,ListSetRepSchemes,0),COLUMNS($R65:AT65)),""))</f>
        <v/>
      </c>
      <c r="AU65" s="178"/>
      <c r="AV65" s="178">
        <f>IFERROR(INDEX(TableSetRepSchemes,MATCH('1'!$C65,ListSetRepSchemes,0),COLUMNS($R65:AV65)),"")</f>
        <v>8</v>
      </c>
      <c r="AW65" s="178">
        <f>IFERROR(INDEX(TableSetRepSchemes,MATCH('1'!$C65,ListSetRepSchemes,0),COLUMNS($R65:AW65)),"")</f>
        <v>8</v>
      </c>
      <c r="AX65" s="178">
        <f>IFERROR(INDEX(TableSetRepSchemes,MATCH('1'!$C65,ListSetRepSchemes,0),COLUMNS($R65:AX65)),"")</f>
        <v>8</v>
      </c>
      <c r="AY65" s="178">
        <f>IFERROR(INDEX(TableSetRepSchemes,MATCH('1'!$C65,ListSetRepSchemes,0),COLUMNS($R65:AY65)),"")</f>
        <v>0</v>
      </c>
      <c r="AZ65" s="178">
        <f>IFERROR(INDEX(TableSetRepSchemes,MATCH('1'!$C65,ListSetRepSchemes,0),COLUMNS($R65:AZ65)),"")</f>
        <v>0</v>
      </c>
      <c r="BA65" s="178">
        <f>IFERROR(INDEX(TableSetRepSchemes,MATCH('1'!$C65,ListSetRepSchemes,0),COLUMNS($R65:BA65)),"")</f>
        <v>0</v>
      </c>
      <c r="BB65" s="180"/>
      <c r="BC65" s="36"/>
      <c r="BG65" s="181" t="s">
        <v>308</v>
      </c>
      <c r="BH65" s="182">
        <f>IFERROR(SUM(SUBSTITUTE(U65,"/s",""),V65:Z65),0)</f>
        <v>0</v>
      </c>
      <c r="BI65" s="182">
        <f>SUM(SUBSTITUTE(AD65,"/s",""),AE65:AI65)</f>
        <v>18</v>
      </c>
      <c r="BJ65" s="182">
        <f>SUM(AM65:AR65)</f>
        <v>21</v>
      </c>
      <c r="BK65" s="182">
        <f>SUM(AV65:BA65)</f>
        <v>24</v>
      </c>
      <c r="BL65" s="195"/>
      <c r="BM65" s="184"/>
      <c r="BN65" s="182" t="s">
        <v>317</v>
      </c>
      <c r="BO65" s="182">
        <f>IF(B63="ME",(BL64),0)+IF(B65="ME",(BL66),0)+IF(B67="ME",(BL68),0)+IF(B69="ME",(BL70),0)+IF(B71="ME",(BL72),0)+IF(B73="ME",(BL74),0)+IF(B75="ME",(BL76),0)+IF(B77="ME",(BL78),0)</f>
        <v>0</v>
      </c>
      <c r="BP65" s="185" t="e">
        <f>(BO65/$BO$67)*100</f>
        <v>#DIV/0!</v>
      </c>
      <c r="BQ65" s="184"/>
      <c r="BS65" s="181" t="s">
        <v>308</v>
      </c>
      <c r="BT65" s="50" t="str">
        <f>IF($B65="PE",BH65,"")</f>
        <v/>
      </c>
      <c r="BU65" s="186" t="str">
        <f>IF($B65="PE",BI65,"")</f>
        <v/>
      </c>
      <c r="BV65" s="186" t="str">
        <f>IF($B65="PE",BJ65,"")</f>
        <v/>
      </c>
      <c r="BW65" s="186" t="str">
        <f>IF($B65="PE",BK65,"")</f>
        <v/>
      </c>
      <c r="BX65" s="187" t="e">
        <f t="shared" ref="BX65:BX78" si="2">IFERROR(BT65+BU65+BV65+BW65,NA())</f>
        <v>#N/A</v>
      </c>
    </row>
    <row r="66" spans="1:76" s="34" customFormat="1" ht="25" customHeight="1">
      <c r="A66" s="129"/>
      <c r="B66" s="129"/>
      <c r="C66" s="129"/>
      <c r="D66" s="128"/>
      <c r="E66" s="129"/>
      <c r="F66" s="128"/>
      <c r="G66" s="128"/>
      <c r="H66" s="129"/>
      <c r="J66" s="36"/>
      <c r="K66" s="188"/>
      <c r="L66" s="189"/>
      <c r="M66" s="189"/>
      <c r="N66" s="189"/>
      <c r="O66" s="189"/>
      <c r="P66" s="190"/>
      <c r="Q66" s="191" t="s">
        <v>318</v>
      </c>
      <c r="R66" s="192"/>
      <c r="S66" s="193"/>
      <c r="T66" s="111"/>
      <c r="U66" s="177"/>
      <c r="V66" s="177"/>
      <c r="W66" s="177"/>
      <c r="X66" s="177"/>
      <c r="Y66" s="177"/>
      <c r="Z66" s="177"/>
      <c r="AA66" s="178"/>
      <c r="AB66" s="194"/>
      <c r="AC66" s="178"/>
      <c r="AD66" s="178"/>
      <c r="AE66" s="178"/>
      <c r="AF66" s="178"/>
      <c r="AG66" s="178"/>
      <c r="AH66" s="178"/>
      <c r="AI66" s="178"/>
      <c r="AJ66" s="178"/>
      <c r="AK66" s="194"/>
      <c r="AL66" s="178"/>
      <c r="AM66" s="178"/>
      <c r="AN66" s="178"/>
      <c r="AO66" s="178"/>
      <c r="AP66" s="178"/>
      <c r="AQ66" s="178"/>
      <c r="AR66" s="178"/>
      <c r="AS66" s="178"/>
      <c r="AT66" s="194"/>
      <c r="AU66" s="178"/>
      <c r="AV66" s="178"/>
      <c r="AW66" s="178"/>
      <c r="AX66" s="178"/>
      <c r="AY66" s="178"/>
      <c r="AZ66" s="178"/>
      <c r="BA66" s="178"/>
      <c r="BB66" s="180"/>
      <c r="BC66" s="36"/>
      <c r="BG66" s="181" t="s">
        <v>310</v>
      </c>
      <c r="BH66" s="182">
        <f>IFERROR((SUBSTITUTE(U65,"/s","")*U66)+(V65*V66)+(W65*W66)+(X65*X66)+(Y65*Y66)+(Z65*Z66),0)</f>
        <v>0</v>
      </c>
      <c r="BI66" s="182">
        <f>IFERROR((SUBSTITUTE(AD65,"/s","")*AD66)+(AE65*AE66)+(AF65*AF66)+(AG65*AG66)+(AH65*AH66)+(AI65*AI66),0)</f>
        <v>0</v>
      </c>
      <c r="BJ66" s="182">
        <f>IFERROR((AM65*AM66)+(AN65*AN66)+(AO65*AO66)+(AP65*AP66)+(AQ65*AQ66)+(AR65*AR66),"")</f>
        <v>0</v>
      </c>
      <c r="BK66" s="182">
        <f>IFERROR((AV65*AV66)+(AW65*AW66)+(AX65*AX66)+(AY65*AY66)+(AZ65*AZ66)+(BA65*BA66),"")</f>
        <v>0</v>
      </c>
      <c r="BL66" s="195">
        <f>IFERROR(BH66+BI66+BJ66+BK66,NA())</f>
        <v>0</v>
      </c>
      <c r="BM66" s="184"/>
      <c r="BN66" s="182" t="s">
        <v>244</v>
      </c>
      <c r="BO66" s="182">
        <f>IF(B63="RE",(BL64),0)+IF(B65="RE",(BL66),0)+IF(B67="RE",(BL68),0)+IF(B69="RE",(BL70),0)+IF(B71="RE",(BL72),0)+IF(B73="RE",(BL74),0)+IF(B75="RE",(BL76),0)+IF(B77="RE",(BL78),0)</f>
        <v>0</v>
      </c>
      <c r="BP66" s="185" t="e">
        <f>(BO66/$BO$67)*100</f>
        <v>#DIV/0!</v>
      </c>
      <c r="BQ66" s="184"/>
      <c r="BS66" s="181" t="s">
        <v>310</v>
      </c>
      <c r="BT66" s="50">
        <f>IF($B65="PE",(BH66*$E65*$F65),0)</f>
        <v>0</v>
      </c>
      <c r="BU66" s="186">
        <f>IF($B65="PE",(BI66*$E65*$F65),0)</f>
        <v>0</v>
      </c>
      <c r="BV66" s="186">
        <f>IF($B65="PE",(BJ66*$E65*$F65),0)</f>
        <v>0</v>
      </c>
      <c r="BW66" s="186">
        <f>IF($B65="PE",(BK66*$E65*$F65),0)</f>
        <v>0</v>
      </c>
      <c r="BX66" s="187">
        <f t="shared" si="2"/>
        <v>0</v>
      </c>
    </row>
    <row r="67" spans="1:76" s="34" customFormat="1" ht="25" customHeight="1">
      <c r="A67" s="127" t="s">
        <v>319</v>
      </c>
      <c r="B67" s="127" t="s">
        <v>317</v>
      </c>
      <c r="C67" s="127" t="s">
        <v>306</v>
      </c>
      <c r="D67" s="128" t="str">
        <f>IFERROR(INDEX([2]!Table1RM[#Data],MATCH($M$56,[2]!Table1RM[Athlete],0),MATCH($L67,[2]!Table1RM[#Headers],0)),"")</f>
        <v/>
      </c>
      <c r="E67" s="127" t="str">
        <f>IF($B67="PE",INDEX([2]ExerciseInventory!$J$2:$L$276,MATCH($L67,[2]ExerciseInventory!$J$2:$J$287,0),2),"")</f>
        <v/>
      </c>
      <c r="F67" s="128" t="str">
        <f>IF($B67="PE",INDEX([2]ExerciseInventory!$J$2:$L$276,MATCH($L67,[2]ExerciseInventory!$J$2:$J$287,0),3),"")</f>
        <v/>
      </c>
      <c r="G67" s="128"/>
      <c r="H67" s="127"/>
      <c r="J67" s="36"/>
      <c r="K67" s="196" t="s">
        <v>110</v>
      </c>
      <c r="L67" s="197" t="s">
        <v>176</v>
      </c>
      <c r="M67" s="197"/>
      <c r="N67" s="197"/>
      <c r="O67" s="197"/>
      <c r="P67" s="198"/>
      <c r="Q67" s="199"/>
      <c r="R67" s="200"/>
      <c r="S67" s="175" t="str">
        <f>CLEAN(IFERROR(INDEX(TableSetRepSchemes,MATCH(#REF!,ListSetRepSchemes,0),COLUMNS($R67:S67)),""))</f>
        <v/>
      </c>
      <c r="T67" s="111"/>
      <c r="U67" s="176" t="s">
        <v>320</v>
      </c>
      <c r="V67" s="177"/>
      <c r="W67" s="177"/>
      <c r="X67" s="177"/>
      <c r="Y67" s="177"/>
      <c r="Z67" s="177"/>
      <c r="AA67" s="178"/>
      <c r="AB67" s="179" t="str">
        <f>CLEAN(IFERROR(INDEX(TableSetRepSchemes,MATCH('1'!$C67,ListSetRepSchemes,0),COLUMNS($R67:AB67)),""))</f>
        <v/>
      </c>
      <c r="AC67" s="178"/>
      <c r="AD67" s="178">
        <f>IFERROR(INDEX(TableSetRepSchemes,MATCH('1'!$C67,ListSetRepSchemes,0),COLUMNS($R67:AD67)),"")</f>
        <v>8</v>
      </c>
      <c r="AE67" s="178">
        <f>IFERROR(INDEX(TableSetRepSchemes,MATCH('1'!$C67,ListSetRepSchemes,0),COLUMNS($R67:AE67)),"")</f>
        <v>8</v>
      </c>
      <c r="AF67" s="178">
        <f>IFERROR(INDEX(TableSetRepSchemes,MATCH('1'!$C67,ListSetRepSchemes,0),COLUMNS($R67:AF67)),"")</f>
        <v>8</v>
      </c>
      <c r="AG67" s="178">
        <f>IFERROR(INDEX(TableSetRepSchemes,MATCH('1'!$C67,ListSetRepSchemes,0),COLUMNS($R67:AG67)),"")</f>
        <v>0</v>
      </c>
      <c r="AH67" s="178">
        <f>IFERROR(INDEX(TableSetRepSchemes,MATCH('1'!$C67,ListSetRepSchemes,0),COLUMNS($R67:AH67)),"")</f>
        <v>0</v>
      </c>
      <c r="AI67" s="178">
        <f>IFERROR(INDEX(TableSetRepSchemes,MATCH('1'!$C67,ListSetRepSchemes,0),COLUMNS($R67:AI67)),"")</f>
        <v>0</v>
      </c>
      <c r="AJ67" s="178"/>
      <c r="AK67" s="179" t="str">
        <f>CLEAN(IFERROR(INDEX(TableSetRepSchemes,MATCH('1'!$C67,ListSetRepSchemes,0),COLUMNS($R67:AK67)),""))</f>
        <v/>
      </c>
      <c r="AL67" s="178"/>
      <c r="AM67" s="178">
        <f>IFERROR(INDEX(TableSetRepSchemes,MATCH('1'!$C67,ListSetRepSchemes,0),COLUMNS($R67:AM67)),"")</f>
        <v>8</v>
      </c>
      <c r="AN67" s="178">
        <f>IFERROR(INDEX(TableSetRepSchemes,MATCH('1'!$C67,ListSetRepSchemes,0),COLUMNS($R67:AN67)),"")</f>
        <v>8</v>
      </c>
      <c r="AO67" s="178">
        <f>IFERROR(INDEX(TableSetRepSchemes,MATCH('1'!$C67,ListSetRepSchemes,0),COLUMNS($R67:AO67)),"")</f>
        <v>8</v>
      </c>
      <c r="AP67" s="178">
        <f>IFERROR(INDEX(TableSetRepSchemes,MATCH('1'!$C67,ListSetRepSchemes,0),COLUMNS($R67:AP67)),"")</f>
        <v>0</v>
      </c>
      <c r="AQ67" s="178">
        <f>IFERROR(INDEX(TableSetRepSchemes,MATCH('1'!$C67,ListSetRepSchemes,0),COLUMNS($R67:AQ67)),"")</f>
        <v>0</v>
      </c>
      <c r="AR67" s="178">
        <f>IFERROR(INDEX(TableSetRepSchemes,MATCH('1'!$C67,ListSetRepSchemes,0),COLUMNS($R67:AR67)),"")</f>
        <v>0</v>
      </c>
      <c r="AS67" s="178"/>
      <c r="AT67" s="179" t="str">
        <f>CLEAN(IFERROR(INDEX(TableSetRepSchemes,MATCH('1'!$C67,ListSetRepSchemes,0),COLUMNS($R67:AT67)),""))</f>
        <v/>
      </c>
      <c r="AU67" s="178"/>
      <c r="AV67" s="178">
        <f>IFERROR(INDEX(TableSetRepSchemes,MATCH('1'!$C67,ListSetRepSchemes,0),COLUMNS($R67:AV67)),"")</f>
        <v>8</v>
      </c>
      <c r="AW67" s="178">
        <f>IFERROR(INDEX(TableSetRepSchemes,MATCH('1'!$C67,ListSetRepSchemes,0),COLUMNS($R67:AW67)),"")</f>
        <v>8</v>
      </c>
      <c r="AX67" s="178">
        <f>IFERROR(INDEX(TableSetRepSchemes,MATCH('1'!$C67,ListSetRepSchemes,0),COLUMNS($R67:AX67)),"")</f>
        <v>8</v>
      </c>
      <c r="AY67" s="178">
        <f>IFERROR(INDEX(TableSetRepSchemes,MATCH('1'!$C67,ListSetRepSchemes,0),COLUMNS($R67:AY67)),"")</f>
        <v>0</v>
      </c>
      <c r="AZ67" s="178">
        <f>IFERROR(INDEX(TableSetRepSchemes,MATCH('1'!$C67,ListSetRepSchemes,0),COLUMNS($R67:AZ67)),"")</f>
        <v>0</v>
      </c>
      <c r="BA67" s="178">
        <f>IFERROR(INDEX(TableSetRepSchemes,MATCH('1'!$C67,ListSetRepSchemes,0),COLUMNS($R67:BA67)),"")</f>
        <v>0</v>
      </c>
      <c r="BB67" s="180"/>
      <c r="BC67" s="36"/>
      <c r="BG67" s="181" t="s">
        <v>308</v>
      </c>
      <c r="BH67" s="182">
        <f>IFERROR(SUM(SUBSTITUTE(U67,"/s",""),V67:Z67),0)</f>
        <v>0</v>
      </c>
      <c r="BI67" s="182">
        <f>SUM(SUBSTITUTE(AD67,"/s",""),AE67:AI67)</f>
        <v>24</v>
      </c>
      <c r="BJ67" s="182">
        <f>SUM(AM67:AR67)</f>
        <v>24</v>
      </c>
      <c r="BK67" s="182">
        <f>SUM(AV67:BA67)</f>
        <v>24</v>
      </c>
      <c r="BL67" s="195"/>
      <c r="BM67" s="184"/>
      <c r="BN67" s="182" t="s">
        <v>321</v>
      </c>
      <c r="BO67" s="182">
        <f>SUM(BO63:BO66)</f>
        <v>0</v>
      </c>
      <c r="BP67" s="182"/>
      <c r="BQ67" s="184"/>
      <c r="BS67" s="181" t="s">
        <v>308</v>
      </c>
      <c r="BT67" s="50" t="str">
        <f>IF($B67="PE",BH67,"")</f>
        <v/>
      </c>
      <c r="BU67" s="186" t="str">
        <f>IF($B67="PE",BI67,"")</f>
        <v/>
      </c>
      <c r="BV67" s="186" t="str">
        <f>IF($B67="PE",BJ67,"")</f>
        <v/>
      </c>
      <c r="BW67" s="186" t="str">
        <f>IF($B67="PE",BK67,"")</f>
        <v/>
      </c>
      <c r="BX67" s="187" t="e">
        <f t="shared" si="2"/>
        <v>#N/A</v>
      </c>
    </row>
    <row r="68" spans="1:76" s="34" customFormat="1" ht="25" customHeight="1">
      <c r="A68" s="129"/>
      <c r="B68" s="129"/>
      <c r="C68" s="129"/>
      <c r="D68" s="128"/>
      <c r="E68" s="129"/>
      <c r="F68" s="128"/>
      <c r="G68" s="128"/>
      <c r="H68" s="129"/>
      <c r="J68" s="36"/>
      <c r="K68" s="201"/>
      <c r="L68" s="202"/>
      <c r="M68" s="202"/>
      <c r="N68" s="202"/>
      <c r="O68" s="202"/>
      <c r="P68" s="203"/>
      <c r="Q68" s="204"/>
      <c r="R68" s="205"/>
      <c r="S68" s="193"/>
      <c r="T68" s="111"/>
      <c r="U68" s="177"/>
      <c r="V68" s="177"/>
      <c r="W68" s="177"/>
      <c r="X68" s="177"/>
      <c r="Y68" s="177"/>
      <c r="Z68" s="177"/>
      <c r="AA68" s="178"/>
      <c r="AB68" s="194"/>
      <c r="AC68" s="178"/>
      <c r="AD68" s="178"/>
      <c r="AE68" s="178"/>
      <c r="AF68" s="178"/>
      <c r="AG68" s="178"/>
      <c r="AH68" s="178"/>
      <c r="AI68" s="178"/>
      <c r="AJ68" s="178"/>
      <c r="AK68" s="194"/>
      <c r="AL68" s="178"/>
      <c r="AM68" s="178"/>
      <c r="AN68" s="178"/>
      <c r="AO68" s="178"/>
      <c r="AP68" s="178"/>
      <c r="AQ68" s="178"/>
      <c r="AR68" s="178"/>
      <c r="AS68" s="178"/>
      <c r="AT68" s="194"/>
      <c r="AU68" s="178"/>
      <c r="AV68" s="178"/>
      <c r="AW68" s="178"/>
      <c r="AX68" s="178"/>
      <c r="AY68" s="178"/>
      <c r="AZ68" s="178"/>
      <c r="BA68" s="178"/>
      <c r="BB68" s="180"/>
      <c r="BC68" s="36"/>
      <c r="BG68" s="181" t="s">
        <v>310</v>
      </c>
      <c r="BH68" s="182">
        <f>IFERROR((SUBSTITUTE(U67,"/s","")*U68)+(V67*V68)+(W67*W68)+(X67*X68)+(Y67*Y68)+(Z67*Z68),0)</f>
        <v>0</v>
      </c>
      <c r="BI68" s="182">
        <f>IFERROR((SUBSTITUTE(AD67,"/s","")*AD68)+(AE67*AE68)+(AF67*AF68)+(AG67*AG68)+(AH67*AH68)+(AI67*AI68),0)</f>
        <v>0</v>
      </c>
      <c r="BJ68" s="182">
        <f>IFERROR((AM67*AM68)+(AN67*AN68)+(AO67*AO68)+(AP67*AP68)+(AQ67*AQ68)+(AR67*AR68),"")</f>
        <v>0</v>
      </c>
      <c r="BK68" s="182">
        <f>IFERROR((AV67*AV68)+(AW67*AW68)+(AX67*AX68)+(AY67*AY68)+(AZ67*AZ68)+(BA67*BA68),"")</f>
        <v>0</v>
      </c>
      <c r="BL68" s="195">
        <f>IFERROR(BH68+BI68+BJ68+BK68,NA())</f>
        <v>0</v>
      </c>
      <c r="BM68" s="184"/>
      <c r="BN68" s="184"/>
      <c r="BO68" s="184"/>
      <c r="BP68" s="184"/>
      <c r="BQ68" s="184"/>
      <c r="BS68" s="181" t="s">
        <v>310</v>
      </c>
      <c r="BT68" s="50">
        <f>IF($B67="PE",(BH68*$E67*$F67),0)</f>
        <v>0</v>
      </c>
      <c r="BU68" s="186">
        <f>IF($B67="PE",(BI68*$E67*$F67),0)</f>
        <v>0</v>
      </c>
      <c r="BV68" s="186">
        <f>IF($B67="PE",(BJ68*$E67*$F67),0)</f>
        <v>0</v>
      </c>
      <c r="BW68" s="186">
        <f>IF($B67="PE",(BK68*$E67*$F67),0)</f>
        <v>0</v>
      </c>
      <c r="BX68" s="187">
        <f t="shared" si="2"/>
        <v>0</v>
      </c>
    </row>
    <row r="69" spans="1:76" s="34" customFormat="1" ht="25" customHeight="1">
      <c r="A69" s="127"/>
      <c r="B69" s="127"/>
      <c r="C69" s="127" t="s">
        <v>313</v>
      </c>
      <c r="D69" s="128" t="str">
        <f>IFERROR(INDEX([2]!Table1RM[#Data],MATCH($M$56,[2]!Table1RM[Athlete],0),MATCH($L69,[2]!Table1RM[#Headers],0)),"")</f>
        <v/>
      </c>
      <c r="E69" s="127" t="str">
        <f>IF($B69="PE",INDEX([2]ExerciseInventory!$J$2:$L$276,MATCH($L69,[2]ExerciseInventory!$J$2:$J$287,0),2),"")</f>
        <v/>
      </c>
      <c r="F69" s="128" t="str">
        <f>IF($B69="PE",INDEX([2]ExerciseInventory!$J$2:$L$276,MATCH($L69,[2]ExerciseInventory!$J$2:$J$287,0),3),"")</f>
        <v/>
      </c>
      <c r="G69" s="128"/>
      <c r="H69" s="127" t="s">
        <v>314</v>
      </c>
      <c r="J69" s="36"/>
      <c r="K69" s="196" t="s">
        <v>111</v>
      </c>
      <c r="L69" s="197" t="s">
        <v>177</v>
      </c>
      <c r="M69" s="197"/>
      <c r="N69" s="197"/>
      <c r="O69" s="197"/>
      <c r="P69" s="198"/>
      <c r="Q69" s="199"/>
      <c r="R69" s="200"/>
      <c r="S69" s="175" t="str">
        <f>CLEAN(IFERROR(INDEX(TableSetRepSchemes,MATCH(#REF!,ListSetRepSchemes,0),COLUMNS($R69:S69)),""))</f>
        <v/>
      </c>
      <c r="T69" s="111"/>
      <c r="U69" s="176" t="s">
        <v>322</v>
      </c>
      <c r="V69" s="177"/>
      <c r="W69" s="177"/>
      <c r="X69" s="177"/>
      <c r="Y69" s="177"/>
      <c r="Z69" s="177"/>
      <c r="AA69" s="178"/>
      <c r="AB69" s="179" t="str">
        <f>CLEAN(IFERROR(INDEX(TableSetRepSchemes,MATCH('1'!$C69,ListSetRepSchemes,0),COLUMNS($R69:AB69)),""))</f>
        <v/>
      </c>
      <c r="AC69" s="178"/>
      <c r="AD69" s="178">
        <f>IFERROR(INDEX(TableSetRepSchemes,MATCH('1'!$C69,ListSetRepSchemes,0),COLUMNS($R69:AD69)),"")</f>
        <v>6</v>
      </c>
      <c r="AE69" s="178">
        <f>IFERROR(INDEX(TableSetRepSchemes,MATCH('1'!$C69,ListSetRepSchemes,0),COLUMNS($R69:AE69)),"")</f>
        <v>6</v>
      </c>
      <c r="AF69" s="178">
        <f>IFERROR(INDEX(TableSetRepSchemes,MATCH('1'!$C69,ListSetRepSchemes,0),COLUMNS($R69:AF69)),"")</f>
        <v>6</v>
      </c>
      <c r="AG69" s="178">
        <f>IFERROR(INDEX(TableSetRepSchemes,MATCH('1'!$C69,ListSetRepSchemes,0),COLUMNS($R69:AG69)),"")</f>
        <v>0</v>
      </c>
      <c r="AH69" s="178">
        <f>IFERROR(INDEX(TableSetRepSchemes,MATCH('1'!$C69,ListSetRepSchemes,0),COLUMNS($R69:AH69)),"")</f>
        <v>0</v>
      </c>
      <c r="AI69" s="178">
        <f>IFERROR(INDEX(TableSetRepSchemes,MATCH('1'!$C69,ListSetRepSchemes,0),COLUMNS($R69:AI69)),"")</f>
        <v>0</v>
      </c>
      <c r="AJ69" s="178"/>
      <c r="AK69" s="179" t="str">
        <f>CLEAN(IFERROR(INDEX(TableSetRepSchemes,MATCH('1'!$C69,ListSetRepSchemes,0),COLUMNS($R69:AK69)),""))</f>
        <v/>
      </c>
      <c r="AL69" s="178"/>
      <c r="AM69" s="178">
        <f>IFERROR(INDEX(TableSetRepSchemes,MATCH('1'!$C69,ListSetRepSchemes,0),COLUMNS($R69:AM69)),"")</f>
        <v>7</v>
      </c>
      <c r="AN69" s="178">
        <f>IFERROR(INDEX(TableSetRepSchemes,MATCH('1'!$C69,ListSetRepSchemes,0),COLUMNS($R69:AN69)),"")</f>
        <v>7</v>
      </c>
      <c r="AO69" s="178">
        <f>IFERROR(INDEX(TableSetRepSchemes,MATCH('1'!$C69,ListSetRepSchemes,0),COLUMNS($R69:AO69)),"")</f>
        <v>7</v>
      </c>
      <c r="AP69" s="178">
        <f>IFERROR(INDEX(TableSetRepSchemes,MATCH('1'!$C69,ListSetRepSchemes,0),COLUMNS($R69:AP69)),"")</f>
        <v>0</v>
      </c>
      <c r="AQ69" s="178">
        <f>IFERROR(INDEX(TableSetRepSchemes,MATCH('1'!$C69,ListSetRepSchemes,0),COLUMNS($R69:AQ69)),"")</f>
        <v>0</v>
      </c>
      <c r="AR69" s="178">
        <f>IFERROR(INDEX(TableSetRepSchemes,MATCH('1'!$C69,ListSetRepSchemes,0),COLUMNS($R69:AR69)),"")</f>
        <v>0</v>
      </c>
      <c r="AS69" s="178"/>
      <c r="AT69" s="179" t="str">
        <f>CLEAN(IFERROR(INDEX(TableSetRepSchemes,MATCH('1'!$C69,ListSetRepSchemes,0),COLUMNS($R69:AT69)),""))</f>
        <v/>
      </c>
      <c r="AU69" s="178"/>
      <c r="AV69" s="178">
        <f>IFERROR(INDEX(TableSetRepSchemes,MATCH('1'!$C69,ListSetRepSchemes,0),COLUMNS($R69:AV69)),"")</f>
        <v>8</v>
      </c>
      <c r="AW69" s="178">
        <f>IFERROR(INDEX(TableSetRepSchemes,MATCH('1'!$C69,ListSetRepSchemes,0),COLUMNS($R69:AW69)),"")</f>
        <v>8</v>
      </c>
      <c r="AX69" s="178">
        <f>IFERROR(INDEX(TableSetRepSchemes,MATCH('1'!$C69,ListSetRepSchemes,0),COLUMNS($R69:AX69)),"")</f>
        <v>8</v>
      </c>
      <c r="AY69" s="178">
        <f>IFERROR(INDEX(TableSetRepSchemes,MATCH('1'!$C69,ListSetRepSchemes,0),COLUMNS($R69:AY69)),"")</f>
        <v>0</v>
      </c>
      <c r="AZ69" s="178">
        <f>IFERROR(INDEX(TableSetRepSchemes,MATCH('1'!$C69,ListSetRepSchemes,0),COLUMNS($R69:AZ69)),"")</f>
        <v>0</v>
      </c>
      <c r="BA69" s="178">
        <f>IFERROR(INDEX(TableSetRepSchemes,MATCH('1'!$C69,ListSetRepSchemes,0),COLUMNS($R69:BA69)),"")</f>
        <v>0</v>
      </c>
      <c r="BB69" s="180"/>
      <c r="BC69" s="36"/>
      <c r="BG69" s="181" t="s">
        <v>308</v>
      </c>
      <c r="BH69" s="182">
        <f>IFERROR(SUM(SUBSTITUTE(U69,"/s",""),V69:Z69),0)</f>
        <v>0</v>
      </c>
      <c r="BI69" s="182">
        <f>SUM(SUBSTITUTE(AD69,"/s",""),AE69:AI69)</f>
        <v>18</v>
      </c>
      <c r="BJ69" s="182">
        <f>SUM(AM69:AR69)</f>
        <v>21</v>
      </c>
      <c r="BK69" s="182">
        <f>SUM(AV69:BA69)</f>
        <v>24</v>
      </c>
      <c r="BL69" s="195"/>
      <c r="BM69" s="184"/>
      <c r="BN69" s="184"/>
      <c r="BO69" s="184"/>
      <c r="BP69" s="184"/>
      <c r="BQ69" s="184"/>
      <c r="BS69" s="181" t="s">
        <v>308</v>
      </c>
      <c r="BT69" s="50" t="str">
        <f>IF($B69="PE",BH69,"")</f>
        <v/>
      </c>
      <c r="BU69" s="186" t="str">
        <f>IF($B69="PE",BI69,"")</f>
        <v/>
      </c>
      <c r="BV69" s="186" t="str">
        <f>IF($B69="PE",BJ69,"")</f>
        <v/>
      </c>
      <c r="BW69" s="186" t="str">
        <f>IF($B69="PE",BK69,"")</f>
        <v/>
      </c>
      <c r="BX69" s="187" t="e">
        <f t="shared" si="2"/>
        <v>#N/A</v>
      </c>
    </row>
    <row r="70" spans="1:76" s="34" customFormat="1" ht="25" customHeight="1">
      <c r="A70" s="129"/>
      <c r="B70" s="129"/>
      <c r="C70" s="129"/>
      <c r="D70" s="128"/>
      <c r="E70" s="129"/>
      <c r="F70" s="128"/>
      <c r="G70" s="128"/>
      <c r="H70" s="129"/>
      <c r="J70" s="36"/>
      <c r="K70" s="201"/>
      <c r="L70" s="202"/>
      <c r="M70" s="202"/>
      <c r="N70" s="202"/>
      <c r="O70" s="202"/>
      <c r="P70" s="203"/>
      <c r="Q70" s="204"/>
      <c r="R70" s="205"/>
      <c r="S70" s="193"/>
      <c r="T70" s="111"/>
      <c r="U70" s="177"/>
      <c r="V70" s="177"/>
      <c r="W70" s="177"/>
      <c r="X70" s="177"/>
      <c r="Y70" s="177"/>
      <c r="Z70" s="177"/>
      <c r="AA70" s="178"/>
      <c r="AB70" s="194"/>
      <c r="AC70" s="178"/>
      <c r="AD70" s="178"/>
      <c r="AE70" s="178"/>
      <c r="AF70" s="178"/>
      <c r="AG70" s="178"/>
      <c r="AH70" s="178"/>
      <c r="AI70" s="178"/>
      <c r="AJ70" s="178"/>
      <c r="AK70" s="194"/>
      <c r="AL70" s="178"/>
      <c r="AM70" s="178"/>
      <c r="AN70" s="178"/>
      <c r="AO70" s="178"/>
      <c r="AP70" s="178"/>
      <c r="AQ70" s="178"/>
      <c r="AR70" s="178"/>
      <c r="AS70" s="178"/>
      <c r="AT70" s="194"/>
      <c r="AU70" s="178"/>
      <c r="AV70" s="178"/>
      <c r="AW70" s="178"/>
      <c r="AX70" s="178"/>
      <c r="AY70" s="178"/>
      <c r="AZ70" s="178"/>
      <c r="BA70" s="178"/>
      <c r="BB70" s="180"/>
      <c r="BC70" s="36"/>
      <c r="BG70" s="181" t="s">
        <v>310</v>
      </c>
      <c r="BH70" s="182">
        <f>IFERROR((SUBSTITUTE(U69,"/s","")*U70)+(V69*V70)+(W69*W70)+(X69*X70)+(Y69*Y70)+(Z69*Z70),0)</f>
        <v>0</v>
      </c>
      <c r="BI70" s="182">
        <f>IFERROR((SUBSTITUTE(AD69,"/s","")*AD70)+(AE69*AE70)+(AF69*AF70)+(AG69*AG70)+(AH69*AH70)+(AI69*AI70),0)</f>
        <v>0</v>
      </c>
      <c r="BJ70" s="182">
        <f>IFERROR((AM69*AM70)+(AN69*AN70)+(AO69*AO70)+(AP69*AP70)+(AQ69*AQ70)+(AR69*AR70),"")</f>
        <v>0</v>
      </c>
      <c r="BK70" s="182">
        <f>IFERROR((AV69*AV70)+(AW69*AW70)+(AX69*AX70)+(AY69*AY70)+(AZ69*AZ70)+(BA69*BA70),"")</f>
        <v>0</v>
      </c>
      <c r="BL70" s="195">
        <f>IFERROR(BH70+BI70+BJ70+BK70,NA())</f>
        <v>0</v>
      </c>
      <c r="BM70" s="184"/>
      <c r="BN70" s="184"/>
      <c r="BO70" s="184"/>
      <c r="BP70" s="184"/>
      <c r="BQ70" s="184"/>
      <c r="BS70" s="181" t="s">
        <v>310</v>
      </c>
      <c r="BT70" s="50">
        <f>IF($B69="PE",(BH70*$E69*$F69),0)</f>
        <v>0</v>
      </c>
      <c r="BU70" s="186">
        <f>IF($B69="PE",(BI70*$E69*$F69),0)</f>
        <v>0</v>
      </c>
      <c r="BV70" s="186">
        <f>IF($B69="PE",(BJ70*$E69*$F69),0)</f>
        <v>0</v>
      </c>
      <c r="BW70" s="186">
        <f>IF($B69="PE",(BK70*$E69*$F69),0)</f>
        <v>0</v>
      </c>
      <c r="BX70" s="187">
        <f t="shared" si="2"/>
        <v>0</v>
      </c>
    </row>
    <row r="71" spans="1:76" s="34" customFormat="1" ht="25" customHeight="1">
      <c r="A71" s="127" t="s">
        <v>323</v>
      </c>
      <c r="B71" s="127" t="s">
        <v>244</v>
      </c>
      <c r="C71" s="127" t="s">
        <v>324</v>
      </c>
      <c r="D71" s="128" t="str">
        <f>IFERROR(INDEX([2]!Table1RM[#Data],MATCH($M$56,[2]!Table1RM[Athlete],0),MATCH($L71,[2]!Table1RM[#Headers],0)),"")</f>
        <v/>
      </c>
      <c r="E71" s="127" t="str">
        <f>IF($B71="PE",INDEX([2]ExerciseInventory!$J$2:$L$276,MATCH($L71,[2]ExerciseInventory!$J$2:$J$287,0),2),"")</f>
        <v/>
      </c>
      <c r="F71" s="128" t="str">
        <f>IF($B71="PE",INDEX([2]ExerciseInventory!$J$2:$L$276,MATCH($L71,[2]ExerciseInventory!$J$2:$J$287,0),3),"")</f>
        <v/>
      </c>
      <c r="G71" s="128"/>
      <c r="H71" s="127"/>
      <c r="J71" s="36"/>
      <c r="K71" s="170" t="s">
        <v>113</v>
      </c>
      <c r="L71" s="171" t="s">
        <v>325</v>
      </c>
      <c r="M71" s="171"/>
      <c r="N71" s="171"/>
      <c r="O71" s="171"/>
      <c r="P71" s="172"/>
      <c r="Q71" s="173"/>
      <c r="R71" s="174"/>
      <c r="S71" s="175" t="str">
        <f>CLEAN(IFERROR(INDEX(TableSetRepSchemes,MATCH(#REF!,ListSetRepSchemes,0),COLUMNS($R71:S71)),""))</f>
        <v/>
      </c>
      <c r="T71" s="111"/>
      <c r="U71" s="176" t="s">
        <v>326</v>
      </c>
      <c r="V71" s="177"/>
      <c r="W71" s="177"/>
      <c r="X71" s="177"/>
      <c r="Y71" s="177"/>
      <c r="Z71" s="177"/>
      <c r="AA71" s="178"/>
      <c r="AB71" s="179" t="str">
        <f>CLEAN(IFERROR(INDEX(TableSetRepSchemes,MATCH('1'!$C71,ListSetRepSchemes,0),COLUMNS($R71:AB71)),""))</f>
        <v/>
      </c>
      <c r="AC71" s="178"/>
      <c r="AD71" s="178">
        <f>IFERROR(INDEX(TableSetRepSchemes,MATCH('1'!$C71,ListSetRepSchemes,0),COLUMNS($R71:AD71)),"")</f>
        <v>8</v>
      </c>
      <c r="AE71" s="178">
        <f>IFERROR(INDEX(TableSetRepSchemes,MATCH('1'!$C71,ListSetRepSchemes,0),COLUMNS($R71:AE71)),"")</f>
        <v>8</v>
      </c>
      <c r="AF71" s="178">
        <f>IFERROR(INDEX(TableSetRepSchemes,MATCH('1'!$C71,ListSetRepSchemes,0),COLUMNS($R71:AF71)),"")</f>
        <v>8</v>
      </c>
      <c r="AG71" s="178">
        <f>IFERROR(INDEX(TableSetRepSchemes,MATCH('1'!$C71,ListSetRepSchemes,0),COLUMNS($R71:AG71)),"")</f>
        <v>0</v>
      </c>
      <c r="AH71" s="178">
        <f>IFERROR(INDEX(TableSetRepSchemes,MATCH('1'!$C71,ListSetRepSchemes,0),COLUMNS($R71:AH71)),"")</f>
        <v>0</v>
      </c>
      <c r="AI71" s="178">
        <f>IFERROR(INDEX(TableSetRepSchemes,MATCH('1'!$C71,ListSetRepSchemes,0),COLUMNS($R71:AI71)),"")</f>
        <v>0</v>
      </c>
      <c r="AJ71" s="178"/>
      <c r="AK71" s="179" t="str">
        <f>CLEAN(IFERROR(INDEX(TableSetRepSchemes,MATCH('1'!$C71,ListSetRepSchemes,0),COLUMNS($R71:AK71)),""))</f>
        <v/>
      </c>
      <c r="AL71" s="178"/>
      <c r="AM71" s="178">
        <f>IFERROR(INDEX(TableSetRepSchemes,MATCH('1'!$C71,ListSetRepSchemes,0),COLUMNS($R71:AM71)),"")</f>
        <v>9</v>
      </c>
      <c r="AN71" s="178">
        <f>IFERROR(INDEX(TableSetRepSchemes,MATCH('1'!$C71,ListSetRepSchemes,0),COLUMNS($R71:AN71)),"")</f>
        <v>9</v>
      </c>
      <c r="AO71" s="178">
        <f>IFERROR(INDEX(TableSetRepSchemes,MATCH('1'!$C71,ListSetRepSchemes,0),COLUMNS($R71:AO71)),"")</f>
        <v>9</v>
      </c>
      <c r="AP71" s="178">
        <f>IFERROR(INDEX(TableSetRepSchemes,MATCH('1'!$C71,ListSetRepSchemes,0),COLUMNS($R71:AP71)),"")</f>
        <v>0</v>
      </c>
      <c r="AQ71" s="178">
        <f>IFERROR(INDEX(TableSetRepSchemes,MATCH('1'!$C71,ListSetRepSchemes,0),COLUMNS($R71:AQ71)),"")</f>
        <v>0</v>
      </c>
      <c r="AR71" s="178">
        <f>IFERROR(INDEX(TableSetRepSchemes,MATCH('1'!$C71,ListSetRepSchemes,0),COLUMNS($R71:AR71)),"")</f>
        <v>0</v>
      </c>
      <c r="AS71" s="178"/>
      <c r="AT71" s="179" t="str">
        <f>CLEAN(IFERROR(INDEX(TableSetRepSchemes,MATCH('1'!$C71,ListSetRepSchemes,0),COLUMNS($R71:AT71)),""))</f>
        <v/>
      </c>
      <c r="AU71" s="178"/>
      <c r="AV71" s="178">
        <f>IFERROR(INDEX(TableSetRepSchemes,MATCH('1'!$C71,ListSetRepSchemes,0),COLUMNS($R71:AV71)),"")</f>
        <v>10</v>
      </c>
      <c r="AW71" s="178">
        <f>IFERROR(INDEX(TableSetRepSchemes,MATCH('1'!$C71,ListSetRepSchemes,0),COLUMNS($R71:AW71)),"")</f>
        <v>10</v>
      </c>
      <c r="AX71" s="178">
        <f>IFERROR(INDEX(TableSetRepSchemes,MATCH('1'!$C71,ListSetRepSchemes,0),COLUMNS($R71:AX71)),"")</f>
        <v>10</v>
      </c>
      <c r="AY71" s="178">
        <f>IFERROR(INDEX(TableSetRepSchemes,MATCH('1'!$C71,ListSetRepSchemes,0),COLUMNS($R71:AY71)),"")</f>
        <v>0</v>
      </c>
      <c r="AZ71" s="178">
        <f>IFERROR(INDEX(TableSetRepSchemes,MATCH('1'!$C71,ListSetRepSchemes,0),COLUMNS($R71:AZ71)),"")</f>
        <v>0</v>
      </c>
      <c r="BA71" s="178">
        <f>IFERROR(INDEX(TableSetRepSchemes,MATCH('1'!$C71,ListSetRepSchemes,0),COLUMNS($R71:BA71)),"")</f>
        <v>0</v>
      </c>
      <c r="BB71" s="180"/>
      <c r="BC71" s="36"/>
      <c r="BG71" s="181" t="s">
        <v>308</v>
      </c>
      <c r="BH71" s="182">
        <f>IFERROR(SUM(SUBSTITUTE(U71,"/s",""),V71:Z71),0)</f>
        <v>0</v>
      </c>
      <c r="BI71" s="182">
        <f>SUM(SUBSTITUTE(AD71,"/s",""),AE71:AI71)</f>
        <v>24</v>
      </c>
      <c r="BJ71" s="182">
        <f>SUM(AM71:AR71)</f>
        <v>27</v>
      </c>
      <c r="BK71" s="182">
        <f>SUM(AV71:BA71)</f>
        <v>30</v>
      </c>
      <c r="BL71" s="195"/>
      <c r="BM71" s="184"/>
      <c r="BN71" s="184"/>
      <c r="BO71" s="184"/>
      <c r="BP71" s="184"/>
      <c r="BQ71" s="184"/>
      <c r="BS71" s="181" t="s">
        <v>308</v>
      </c>
      <c r="BT71" s="50" t="str">
        <f>IF($B71="PE",BH71,"")</f>
        <v/>
      </c>
      <c r="BU71" s="186" t="str">
        <f>IF($B71="PE",BI71,"")</f>
        <v/>
      </c>
      <c r="BV71" s="186" t="str">
        <f>IF($B71="PE",BJ71,"")</f>
        <v/>
      </c>
      <c r="BW71" s="186" t="str">
        <f>IF($B71="PE",BK71,"")</f>
        <v/>
      </c>
      <c r="BX71" s="187" t="e">
        <f t="shared" si="2"/>
        <v>#N/A</v>
      </c>
    </row>
    <row r="72" spans="1:76" s="34" customFormat="1" ht="25" customHeight="1">
      <c r="A72" s="129"/>
      <c r="B72" s="129"/>
      <c r="C72" s="129"/>
      <c r="D72" s="128"/>
      <c r="E72" s="129"/>
      <c r="F72" s="128"/>
      <c r="G72" s="128"/>
      <c r="H72" s="129"/>
      <c r="J72" s="36"/>
      <c r="K72" s="188"/>
      <c r="L72" s="189"/>
      <c r="M72" s="189"/>
      <c r="N72" s="189"/>
      <c r="O72" s="189"/>
      <c r="P72" s="190"/>
      <c r="Q72" s="191"/>
      <c r="R72" s="192"/>
      <c r="S72" s="193"/>
      <c r="T72" s="111"/>
      <c r="U72" s="177"/>
      <c r="V72" s="177"/>
      <c r="W72" s="177"/>
      <c r="X72" s="177"/>
      <c r="Y72" s="177"/>
      <c r="Z72" s="177"/>
      <c r="AA72" s="178"/>
      <c r="AB72" s="194"/>
      <c r="AC72" s="178"/>
      <c r="AD72" s="178"/>
      <c r="AE72" s="178"/>
      <c r="AF72" s="178"/>
      <c r="AG72" s="178"/>
      <c r="AH72" s="178"/>
      <c r="AI72" s="178"/>
      <c r="AJ72" s="178"/>
      <c r="AK72" s="194"/>
      <c r="AL72" s="178"/>
      <c r="AM72" s="178"/>
      <c r="AN72" s="178"/>
      <c r="AO72" s="178"/>
      <c r="AP72" s="178"/>
      <c r="AQ72" s="178"/>
      <c r="AR72" s="178"/>
      <c r="AS72" s="178"/>
      <c r="AT72" s="194"/>
      <c r="AU72" s="178"/>
      <c r="AV72" s="178"/>
      <c r="AW72" s="178"/>
      <c r="AX72" s="178"/>
      <c r="AY72" s="178"/>
      <c r="AZ72" s="178"/>
      <c r="BA72" s="178"/>
      <c r="BB72" s="180"/>
      <c r="BC72" s="36"/>
      <c r="BG72" s="181" t="s">
        <v>310</v>
      </c>
      <c r="BH72" s="182">
        <f>IFERROR((SUBSTITUTE(U71,"/s","")*U72)+(V71*V72)+(W71*W72)+(X71*X72)+(Y71*Y72)+(Z71*Z72),0)</f>
        <v>0</v>
      </c>
      <c r="BI72" s="182">
        <f>IFERROR((SUBSTITUTE(AD71,"/s","")*AD72)+(AE71*AE72)+(AF71*AF72)+(AG71*AG72)+(AH71*AH72)+(AI71*AI72),0)</f>
        <v>0</v>
      </c>
      <c r="BJ72" s="182">
        <f>IFERROR((AM71*AM72)+(AN71*AN72)+(AO71*AO72)+(AP71*AP72)+(AQ71*AQ72)+(AR71*AR72),"")</f>
        <v>0</v>
      </c>
      <c r="BK72" s="182">
        <f>IFERROR((AV71*AV72)+(AW71*AW72)+(AX71*AX72)+(AY71*AY72)+(AZ71*AZ72)+(BA71*BA72),"")</f>
        <v>0</v>
      </c>
      <c r="BL72" s="195">
        <f>IFERROR(BH72+BI72+BJ72+BK72,NA())</f>
        <v>0</v>
      </c>
      <c r="BM72" s="184"/>
      <c r="BN72" s="184"/>
      <c r="BO72" s="184"/>
      <c r="BP72" s="184"/>
      <c r="BQ72" s="184"/>
      <c r="BS72" s="181" t="s">
        <v>310</v>
      </c>
      <c r="BT72" s="50">
        <f>IF($B71="PE",(BH72*$E71*$F71),0)</f>
        <v>0</v>
      </c>
      <c r="BU72" s="186">
        <f>IF($B71="PE",(BI72*$E71*$F71),0)</f>
        <v>0</v>
      </c>
      <c r="BV72" s="186">
        <f>IF($B71="PE",(BJ72*$E71*$F71),0)</f>
        <v>0</v>
      </c>
      <c r="BW72" s="186">
        <f>IF($B71="PE",(BK72*$E71*$F71),0)</f>
        <v>0</v>
      </c>
      <c r="BX72" s="187">
        <f t="shared" si="2"/>
        <v>0</v>
      </c>
    </row>
    <row r="73" spans="1:76" s="34" customFormat="1" ht="25" customHeight="1">
      <c r="A73" s="127" t="s">
        <v>323</v>
      </c>
      <c r="B73" s="127" t="s">
        <v>244</v>
      </c>
      <c r="C73" s="127" t="s">
        <v>306</v>
      </c>
      <c r="D73" s="128" t="str">
        <f>IFERROR(INDEX([2]!Table1RM[#Data],MATCH($M$56,[2]!Table1RM[Athlete],0),MATCH($L73,[2]!Table1RM[#Headers],0)),"")</f>
        <v/>
      </c>
      <c r="E73" s="127" t="str">
        <f>IF($B73="PE",INDEX([2]ExerciseInventory!$J$2:$L$276,MATCH($L73,[2]ExerciseInventory!$J$2:$J$287,0),2),"")</f>
        <v/>
      </c>
      <c r="F73" s="128" t="str">
        <f>IF($B73="PE",INDEX([2]ExerciseInventory!$J$2:$L$276,MATCH($L73,[2]ExerciseInventory!$J$2:$J$287,0),3),"")</f>
        <v/>
      </c>
      <c r="G73" s="128"/>
      <c r="H73" s="127" t="s">
        <v>314</v>
      </c>
      <c r="J73" s="36"/>
      <c r="K73" s="170" t="s">
        <v>114</v>
      </c>
      <c r="L73" s="171" t="s">
        <v>327</v>
      </c>
      <c r="M73" s="171"/>
      <c r="N73" s="171"/>
      <c r="O73" s="171"/>
      <c r="P73" s="172"/>
      <c r="Q73" s="173"/>
      <c r="R73" s="174"/>
      <c r="S73" s="175" t="str">
        <f>CLEAN(IFERROR(INDEX(TableSetRepSchemes,MATCH(#REF!,ListSetRepSchemes,0),COLUMNS($R73:S73)),""))</f>
        <v/>
      </c>
      <c r="T73" s="111"/>
      <c r="U73" s="176" t="s">
        <v>328</v>
      </c>
      <c r="V73" s="177"/>
      <c r="W73" s="177"/>
      <c r="X73" s="177"/>
      <c r="Y73" s="177"/>
      <c r="Z73" s="177"/>
      <c r="AA73" s="178"/>
      <c r="AB73" s="179" t="str">
        <f>CLEAN(IFERROR(INDEX(TableSetRepSchemes,MATCH('1'!$C73,ListSetRepSchemes,0),COLUMNS($R73:AB73)),""))</f>
        <v/>
      </c>
      <c r="AC73" s="178"/>
      <c r="AD73" s="178">
        <f>IFERROR(INDEX(TableSetRepSchemes,MATCH('1'!$C73,ListSetRepSchemes,0),COLUMNS($R73:AD73)),"")</f>
        <v>8</v>
      </c>
      <c r="AE73" s="178">
        <f>IFERROR(INDEX(TableSetRepSchemes,MATCH('1'!$C73,ListSetRepSchemes,0),COLUMNS($R73:AE73)),"")</f>
        <v>8</v>
      </c>
      <c r="AF73" s="178">
        <f>IFERROR(INDEX(TableSetRepSchemes,MATCH('1'!$C73,ListSetRepSchemes,0),COLUMNS($R73:AF73)),"")</f>
        <v>8</v>
      </c>
      <c r="AG73" s="178">
        <f>IFERROR(INDEX(TableSetRepSchemes,MATCH('1'!$C73,ListSetRepSchemes,0),COLUMNS($R73:AG73)),"")</f>
        <v>0</v>
      </c>
      <c r="AH73" s="178">
        <f>IFERROR(INDEX(TableSetRepSchemes,MATCH('1'!$C73,ListSetRepSchemes,0),COLUMNS($R73:AH73)),"")</f>
        <v>0</v>
      </c>
      <c r="AI73" s="178">
        <f>IFERROR(INDEX(TableSetRepSchemes,MATCH('1'!$C73,ListSetRepSchemes,0),COLUMNS($R73:AI73)),"")</f>
        <v>0</v>
      </c>
      <c r="AJ73" s="178"/>
      <c r="AK73" s="179" t="str">
        <f>CLEAN(IFERROR(INDEX(TableSetRepSchemes,MATCH('1'!$C73,ListSetRepSchemes,0),COLUMNS($R73:AK73)),""))</f>
        <v/>
      </c>
      <c r="AL73" s="178"/>
      <c r="AM73" s="178">
        <f>IFERROR(INDEX(TableSetRepSchemes,MATCH('1'!$C73,ListSetRepSchemes,0),COLUMNS($R73:AM73)),"")</f>
        <v>8</v>
      </c>
      <c r="AN73" s="178">
        <f>IFERROR(INDEX(TableSetRepSchemes,MATCH('1'!$C73,ListSetRepSchemes,0),COLUMNS($R73:AN73)),"")</f>
        <v>8</v>
      </c>
      <c r="AO73" s="178">
        <f>IFERROR(INDEX(TableSetRepSchemes,MATCH('1'!$C73,ListSetRepSchemes,0),COLUMNS($R73:AO73)),"")</f>
        <v>8</v>
      </c>
      <c r="AP73" s="178">
        <f>IFERROR(INDEX(TableSetRepSchemes,MATCH('1'!$C73,ListSetRepSchemes,0),COLUMNS($R73:AP73)),"")</f>
        <v>0</v>
      </c>
      <c r="AQ73" s="178">
        <f>IFERROR(INDEX(TableSetRepSchemes,MATCH('1'!$C73,ListSetRepSchemes,0),COLUMNS($R73:AQ73)),"")</f>
        <v>0</v>
      </c>
      <c r="AR73" s="178">
        <f>IFERROR(INDEX(TableSetRepSchemes,MATCH('1'!$C73,ListSetRepSchemes,0),COLUMNS($R73:AR73)),"")</f>
        <v>0</v>
      </c>
      <c r="AS73" s="178"/>
      <c r="AT73" s="179" t="str">
        <f>CLEAN(IFERROR(INDEX(TableSetRepSchemes,MATCH('1'!$C73,ListSetRepSchemes,0),COLUMNS($R73:AT73)),""))</f>
        <v/>
      </c>
      <c r="AU73" s="178"/>
      <c r="AV73" s="178">
        <f>IFERROR(INDEX(TableSetRepSchemes,MATCH('1'!$C73,ListSetRepSchemes,0),COLUMNS($R73:AV73)),"")</f>
        <v>8</v>
      </c>
      <c r="AW73" s="178">
        <f>IFERROR(INDEX(TableSetRepSchemes,MATCH('1'!$C73,ListSetRepSchemes,0),COLUMNS($R73:AW73)),"")</f>
        <v>8</v>
      </c>
      <c r="AX73" s="178">
        <f>IFERROR(INDEX(TableSetRepSchemes,MATCH('1'!$C73,ListSetRepSchemes,0),COLUMNS($R73:AX73)),"")</f>
        <v>8</v>
      </c>
      <c r="AY73" s="178">
        <f>IFERROR(INDEX(TableSetRepSchemes,MATCH('1'!$C73,ListSetRepSchemes,0),COLUMNS($R73:AY73)),"")</f>
        <v>0</v>
      </c>
      <c r="AZ73" s="178">
        <f>IFERROR(INDEX(TableSetRepSchemes,MATCH('1'!$C73,ListSetRepSchemes,0),COLUMNS($R73:AZ73)),"")</f>
        <v>0</v>
      </c>
      <c r="BA73" s="178">
        <f>IFERROR(INDEX(TableSetRepSchemes,MATCH('1'!$C73,ListSetRepSchemes,0),COLUMNS($R73:BA73)),"")</f>
        <v>0</v>
      </c>
      <c r="BB73" s="180"/>
      <c r="BC73" s="36"/>
      <c r="BG73" s="181" t="s">
        <v>308</v>
      </c>
      <c r="BH73" s="182">
        <f>IFERROR(SUM(SUBSTITUTE(U73,"/s",""),V73:Z73),0)</f>
        <v>0</v>
      </c>
      <c r="BI73" s="182">
        <f>SUM(SUBSTITUTE(AD73,"/s",""),AE73:AI73)</f>
        <v>24</v>
      </c>
      <c r="BJ73" s="182">
        <f>SUM(AM73:AR73)</f>
        <v>24</v>
      </c>
      <c r="BK73" s="182">
        <f>SUM(AV73:BA73)</f>
        <v>24</v>
      </c>
      <c r="BL73" s="195"/>
      <c r="BM73" s="184"/>
      <c r="BN73" s="184"/>
      <c r="BO73" s="184"/>
      <c r="BP73" s="184"/>
      <c r="BQ73" s="184"/>
      <c r="BS73" s="181" t="s">
        <v>308</v>
      </c>
      <c r="BT73" s="50" t="str">
        <f>IF($B73="PE",BH73,"")</f>
        <v/>
      </c>
      <c r="BU73" s="186" t="str">
        <f>IF($B73="PE",BI73,"")</f>
        <v/>
      </c>
      <c r="BV73" s="186" t="str">
        <f>IF($B73="PE",BJ73,"")</f>
        <v/>
      </c>
      <c r="BW73" s="186" t="str">
        <f>IF($B73="PE",BK73,"")</f>
        <v/>
      </c>
      <c r="BX73" s="187" t="e">
        <f t="shared" si="2"/>
        <v>#N/A</v>
      </c>
    </row>
    <row r="74" spans="1:76" s="34" customFormat="1" ht="25" customHeight="1">
      <c r="A74" s="129"/>
      <c r="B74" s="129"/>
      <c r="C74" s="129"/>
      <c r="D74" s="128"/>
      <c r="E74" s="129"/>
      <c r="F74" s="128"/>
      <c r="G74" s="128"/>
      <c r="H74" s="129"/>
      <c r="J74" s="36"/>
      <c r="K74" s="188"/>
      <c r="L74" s="189"/>
      <c r="M74" s="189"/>
      <c r="N74" s="189"/>
      <c r="O74" s="189"/>
      <c r="P74" s="190"/>
      <c r="Q74" s="191"/>
      <c r="R74" s="192"/>
      <c r="S74" s="193"/>
      <c r="T74" s="111"/>
      <c r="U74" s="177"/>
      <c r="V74" s="177"/>
      <c r="W74" s="177"/>
      <c r="X74" s="177"/>
      <c r="Y74" s="177"/>
      <c r="Z74" s="177"/>
      <c r="AA74" s="178"/>
      <c r="AB74" s="194"/>
      <c r="AC74" s="178"/>
      <c r="AD74" s="178"/>
      <c r="AE74" s="178"/>
      <c r="AF74" s="178"/>
      <c r="AG74" s="178"/>
      <c r="AH74" s="178"/>
      <c r="AI74" s="178"/>
      <c r="AJ74" s="178"/>
      <c r="AK74" s="194"/>
      <c r="AL74" s="178"/>
      <c r="AM74" s="178"/>
      <c r="AN74" s="178"/>
      <c r="AO74" s="178"/>
      <c r="AP74" s="178"/>
      <c r="AQ74" s="178"/>
      <c r="AR74" s="178"/>
      <c r="AS74" s="178"/>
      <c r="AT74" s="194"/>
      <c r="AU74" s="178"/>
      <c r="AV74" s="178"/>
      <c r="AW74" s="178"/>
      <c r="AX74" s="178"/>
      <c r="AY74" s="178"/>
      <c r="AZ74" s="178"/>
      <c r="BA74" s="178"/>
      <c r="BB74" s="180"/>
      <c r="BC74" s="36"/>
      <c r="BG74" s="181" t="s">
        <v>310</v>
      </c>
      <c r="BH74" s="182">
        <f>IFERROR((SUBSTITUTE(U73,"/s","")*U74)+(V73*V74)+(W73*W74)+(X73*X74)+(Y73*Y74)+(Z73*Z74),0)</f>
        <v>0</v>
      </c>
      <c r="BI74" s="182">
        <f>IFERROR((SUBSTITUTE(AD73,"/s","")*AD74)+(AE73*AE74)+(AF73*AF74)+(AG73*AG74)+(AH73*AH74)+(AI73*AI74),0)</f>
        <v>0</v>
      </c>
      <c r="BJ74" s="182">
        <f>IFERROR((AM73*AM74)+(AN73*AN74)+(AO73*AO74)+(AP73*AP74)+(AQ73*AQ74)+(AR73*AR74),"")</f>
        <v>0</v>
      </c>
      <c r="BK74" s="182">
        <f>IFERROR((AV73*AV74)+(AW73*AW74)+(AX73*AX74)+(AY73*AY74)+(AZ73*AZ74)+(BA73*BA74),"")</f>
        <v>0</v>
      </c>
      <c r="BL74" s="195">
        <f>IFERROR(BH74+BI74+BJ74+BK74,NA())</f>
        <v>0</v>
      </c>
      <c r="BM74" s="184"/>
      <c r="BN74" s="184"/>
      <c r="BO74" s="184"/>
      <c r="BP74" s="184"/>
      <c r="BQ74" s="184"/>
      <c r="BS74" s="181" t="s">
        <v>310</v>
      </c>
      <c r="BT74" s="50">
        <f>IF($B73="PE",(BH74*$E73*$F73),0)</f>
        <v>0</v>
      </c>
      <c r="BU74" s="186">
        <f>IF($B73="PE",(BI74*$E73*$F73),0)</f>
        <v>0</v>
      </c>
      <c r="BV74" s="186">
        <f>IF($B73="PE",(BJ74*$E73*$F73),0)</f>
        <v>0</v>
      </c>
      <c r="BW74" s="186">
        <f>IF($B73="PE",(BK74*$E73*$F73),0)</f>
        <v>0</v>
      </c>
      <c r="BX74" s="187">
        <f t="shared" si="2"/>
        <v>0</v>
      </c>
    </row>
    <row r="75" spans="1:76" s="34" customFormat="1" ht="25" customHeight="1">
      <c r="A75" s="127" t="s">
        <v>305</v>
      </c>
      <c r="B75" s="127" t="s">
        <v>317</v>
      </c>
      <c r="C75" s="127" t="s">
        <v>329</v>
      </c>
      <c r="D75" s="128" t="str">
        <f>IFERROR(INDEX([2]!Table1RM[#Data],MATCH($M$56,[2]!Table1RM[Athlete],0),MATCH($L75,[2]!Table1RM[#Headers],0)),"")</f>
        <v/>
      </c>
      <c r="E75" s="127" t="str">
        <f>IF($B75="PE",INDEX([2]ExerciseInventory!$J$2:$L$276,MATCH($L75,[2]ExerciseInventory!$J$2:$J$287,0),2),"")</f>
        <v/>
      </c>
      <c r="F75" s="128" t="str">
        <f>IF($B75="PE",INDEX([2]ExerciseInventory!$J$2:$L$276,MATCH($L75,[2]ExerciseInventory!$J$2:$J$287,0),3),"")</f>
        <v/>
      </c>
      <c r="G75" s="128"/>
      <c r="H75" s="127"/>
      <c r="J75" s="36"/>
      <c r="K75" s="170" t="s">
        <v>115</v>
      </c>
      <c r="L75" s="171" t="s">
        <v>179</v>
      </c>
      <c r="M75" s="171"/>
      <c r="N75" s="171"/>
      <c r="O75" s="171"/>
      <c r="P75" s="172"/>
      <c r="Q75" s="173"/>
      <c r="R75" s="174"/>
      <c r="S75" s="175" t="str">
        <f>CLEAN(IFERROR(INDEX(TableSetRepSchemes,MATCH(#REF!,ListSetRepSchemes,0),COLUMNS($R75:S75)),""))</f>
        <v/>
      </c>
      <c r="T75" s="111"/>
      <c r="U75" s="176" t="s">
        <v>330</v>
      </c>
      <c r="V75" s="177"/>
      <c r="W75" s="177"/>
      <c r="X75" s="177"/>
      <c r="Y75" s="177"/>
      <c r="Z75" s="177"/>
      <c r="AA75" s="178"/>
      <c r="AB75" s="179" t="str">
        <f>CLEAN(IFERROR(INDEX(TableSetRepSchemes,MATCH('1'!$C75,ListSetRepSchemes,0),COLUMNS($R75:AB75)),""))</f>
        <v/>
      </c>
      <c r="AC75" s="178"/>
      <c r="AD75" s="178">
        <f>IFERROR(INDEX(TableSetRepSchemes,MATCH('1'!$C75,ListSetRepSchemes,0),COLUMNS($R75:AD75)),"")</f>
        <v>12</v>
      </c>
      <c r="AE75" s="178">
        <f>IFERROR(INDEX(TableSetRepSchemes,MATCH('1'!$C75,ListSetRepSchemes,0),COLUMNS($R75:AE75)),"")</f>
        <v>12</v>
      </c>
      <c r="AF75" s="178">
        <f>IFERROR(INDEX(TableSetRepSchemes,MATCH('1'!$C75,ListSetRepSchemes,0),COLUMNS($R75:AF75)),"")</f>
        <v>12</v>
      </c>
      <c r="AG75" s="178">
        <f>IFERROR(INDEX(TableSetRepSchemes,MATCH('1'!$C75,ListSetRepSchemes,0),COLUMNS($R75:AG75)),"")</f>
        <v>0</v>
      </c>
      <c r="AH75" s="178">
        <f>IFERROR(INDEX(TableSetRepSchemes,MATCH('1'!$C75,ListSetRepSchemes,0),COLUMNS($R75:AH75)),"")</f>
        <v>0</v>
      </c>
      <c r="AI75" s="178">
        <f>IFERROR(INDEX(TableSetRepSchemes,MATCH('1'!$C75,ListSetRepSchemes,0),COLUMNS($R75:AI75)),"")</f>
        <v>0</v>
      </c>
      <c r="AJ75" s="178"/>
      <c r="AK75" s="179" t="str">
        <f>CLEAN(IFERROR(INDEX(TableSetRepSchemes,MATCH('1'!$C75,ListSetRepSchemes,0),COLUMNS($R75:AK75)),""))</f>
        <v/>
      </c>
      <c r="AL75" s="178"/>
      <c r="AM75" s="178">
        <f>IFERROR(INDEX(TableSetRepSchemes,MATCH('1'!$C75,ListSetRepSchemes,0),COLUMNS($R75:AM75)),"")</f>
        <v>12</v>
      </c>
      <c r="AN75" s="178">
        <f>IFERROR(INDEX(TableSetRepSchemes,MATCH('1'!$C75,ListSetRepSchemes,0),COLUMNS($R75:AN75)),"")</f>
        <v>12</v>
      </c>
      <c r="AO75" s="178">
        <f>IFERROR(INDEX(TableSetRepSchemes,MATCH('1'!$C75,ListSetRepSchemes,0),COLUMNS($R75:AO75)),"")</f>
        <v>12</v>
      </c>
      <c r="AP75" s="178">
        <f>IFERROR(INDEX(TableSetRepSchemes,MATCH('1'!$C75,ListSetRepSchemes,0),COLUMNS($R75:AP75)),"")</f>
        <v>0</v>
      </c>
      <c r="AQ75" s="178">
        <f>IFERROR(INDEX(TableSetRepSchemes,MATCH('1'!$C75,ListSetRepSchemes,0),COLUMNS($R75:AQ75)),"")</f>
        <v>0</v>
      </c>
      <c r="AR75" s="178">
        <f>IFERROR(INDEX(TableSetRepSchemes,MATCH('1'!$C75,ListSetRepSchemes,0),COLUMNS($R75:AR75)),"")</f>
        <v>0</v>
      </c>
      <c r="AS75" s="178"/>
      <c r="AT75" s="179" t="str">
        <f>CLEAN(IFERROR(INDEX(TableSetRepSchemes,MATCH('1'!$C75,ListSetRepSchemes,0),COLUMNS($R75:AT75)),""))</f>
        <v/>
      </c>
      <c r="AU75" s="178"/>
      <c r="AV75" s="178">
        <f>IFERROR(INDEX(TableSetRepSchemes,MATCH('1'!$C75,ListSetRepSchemes,0),COLUMNS($R75:AV75)),"")</f>
        <v>12</v>
      </c>
      <c r="AW75" s="178">
        <f>IFERROR(INDEX(TableSetRepSchemes,MATCH('1'!$C75,ListSetRepSchemes,0),COLUMNS($R75:AW75)),"")</f>
        <v>12</v>
      </c>
      <c r="AX75" s="178">
        <f>IFERROR(INDEX(TableSetRepSchemes,MATCH('1'!$C75,ListSetRepSchemes,0),COLUMNS($R75:AX75)),"")</f>
        <v>12</v>
      </c>
      <c r="AY75" s="178">
        <f>IFERROR(INDEX(TableSetRepSchemes,MATCH('1'!$C75,ListSetRepSchemes,0),COLUMNS($R75:AY75)),"")</f>
        <v>0</v>
      </c>
      <c r="AZ75" s="178">
        <f>IFERROR(INDEX(TableSetRepSchemes,MATCH('1'!$C75,ListSetRepSchemes,0),COLUMNS($R75:AZ75)),"")</f>
        <v>0</v>
      </c>
      <c r="BA75" s="178">
        <f>IFERROR(INDEX(TableSetRepSchemes,MATCH('1'!$C75,ListSetRepSchemes,0),COLUMNS($R75:BA75)),"")</f>
        <v>0</v>
      </c>
      <c r="BB75" s="180"/>
      <c r="BC75" s="36"/>
      <c r="BG75" s="181" t="s">
        <v>308</v>
      </c>
      <c r="BH75" s="182">
        <f>IFERROR(SUM(SUBSTITUTE(U75,"/s",""),V75:Z75),0)</f>
        <v>0</v>
      </c>
      <c r="BI75" s="182">
        <f>SUM(SUBSTITUTE(AD75,"/s",""),AE75:AI75)</f>
        <v>36</v>
      </c>
      <c r="BJ75" s="182">
        <f>SUM(AM75:AR75)</f>
        <v>36</v>
      </c>
      <c r="BK75" s="182">
        <f>SUM(AV75:BA75)</f>
        <v>36</v>
      </c>
      <c r="BL75" s="195"/>
      <c r="BM75" s="184"/>
      <c r="BN75" s="184"/>
      <c r="BO75" s="184"/>
      <c r="BP75" s="184"/>
      <c r="BQ75" s="184"/>
      <c r="BS75" s="181" t="s">
        <v>308</v>
      </c>
      <c r="BT75" s="50" t="str">
        <f>IF($B75="PE",BH75,"")</f>
        <v/>
      </c>
      <c r="BU75" s="186" t="str">
        <f>IF($B75="PE",BI75,"")</f>
        <v/>
      </c>
      <c r="BV75" s="186" t="str">
        <f>IF($B75="PE",BJ75,"")</f>
        <v/>
      </c>
      <c r="BW75" s="186" t="str">
        <f>IF($B75="PE",BK75,"")</f>
        <v/>
      </c>
      <c r="BX75" s="187" t="e">
        <f t="shared" si="2"/>
        <v>#N/A</v>
      </c>
    </row>
    <row r="76" spans="1:76" s="34" customFormat="1" ht="25" customHeight="1">
      <c r="A76" s="129"/>
      <c r="B76" s="129"/>
      <c r="C76" s="129"/>
      <c r="D76" s="128"/>
      <c r="E76" s="129"/>
      <c r="F76" s="128"/>
      <c r="G76" s="128"/>
      <c r="H76" s="129"/>
      <c r="J76" s="36"/>
      <c r="K76" s="188"/>
      <c r="L76" s="189"/>
      <c r="M76" s="189"/>
      <c r="N76" s="189"/>
      <c r="O76" s="189"/>
      <c r="P76" s="190"/>
      <c r="Q76" s="191" t="s">
        <v>331</v>
      </c>
      <c r="R76" s="192"/>
      <c r="S76" s="193"/>
      <c r="T76" s="111"/>
      <c r="U76" s="177"/>
      <c r="V76" s="177"/>
      <c r="W76" s="177"/>
      <c r="X76" s="177"/>
      <c r="Y76" s="177"/>
      <c r="Z76" s="177"/>
      <c r="AA76" s="178"/>
      <c r="AB76" s="194"/>
      <c r="AC76" s="178"/>
      <c r="AD76" s="178"/>
      <c r="AE76" s="178"/>
      <c r="AF76" s="178"/>
      <c r="AG76" s="178"/>
      <c r="AH76" s="178"/>
      <c r="AI76" s="178"/>
      <c r="AJ76" s="178"/>
      <c r="AK76" s="194"/>
      <c r="AL76" s="178"/>
      <c r="AM76" s="178"/>
      <c r="AN76" s="178"/>
      <c r="AO76" s="178"/>
      <c r="AP76" s="178"/>
      <c r="AQ76" s="178"/>
      <c r="AR76" s="178"/>
      <c r="AS76" s="178"/>
      <c r="AT76" s="194"/>
      <c r="AU76" s="178"/>
      <c r="AV76" s="178"/>
      <c r="AW76" s="178"/>
      <c r="AX76" s="178"/>
      <c r="AY76" s="178"/>
      <c r="AZ76" s="178"/>
      <c r="BA76" s="178"/>
      <c r="BB76" s="180"/>
      <c r="BC76" s="36"/>
      <c r="BG76" s="181" t="s">
        <v>310</v>
      </c>
      <c r="BH76" s="182">
        <f>IFERROR((SUBSTITUTE(U75,"/s","")*U76)+(V75*V76)+(W75*W76)+(X75*X76)+(Y75*Y76)+(Z75*Z76),0)</f>
        <v>0</v>
      </c>
      <c r="BI76" s="182">
        <f>IFERROR((SUBSTITUTE(AD75,"/s","")*AD76)+(AE75*AE76)+(AF75*AF76)+(AG75*AG76)+(AH75*AH76)+(AI75*AI76),0)</f>
        <v>0</v>
      </c>
      <c r="BJ76" s="182">
        <f>IFERROR((AM75*AM76)+(AN75*AN76)+(AO75*AO76)+(AP75*AP76)+(AQ75*AQ76)+(AR75*AR76),"")</f>
        <v>0</v>
      </c>
      <c r="BK76" s="182">
        <f>IFERROR((AV75*AV76)+(AW75*AW76)+(AX75*AX76)+(AY75*AY76)+(AZ75*AZ76)+(BA75*BA76),"")</f>
        <v>0</v>
      </c>
      <c r="BL76" s="195">
        <f>IFERROR(BH76+BI76+BJ76+BK76,NA())</f>
        <v>0</v>
      </c>
      <c r="BM76" s="184"/>
      <c r="BN76" s="184"/>
      <c r="BO76" s="184"/>
      <c r="BP76" s="184"/>
      <c r="BQ76" s="184"/>
      <c r="BS76" s="181" t="s">
        <v>310</v>
      </c>
      <c r="BT76" s="50">
        <f>IF($B75="PE",(BH76*$E75*$F75),0)</f>
        <v>0</v>
      </c>
      <c r="BU76" s="186">
        <f>IF($B75="PE",(BI76*$E75*$F75),0)</f>
        <v>0</v>
      </c>
      <c r="BV76" s="186">
        <f>IF($B75="PE",(BJ76*$E75*$F75),0)</f>
        <v>0</v>
      </c>
      <c r="BW76" s="186">
        <f>IF($B75="PE",(BK76*$E75*$F75),0)</f>
        <v>0</v>
      </c>
      <c r="BX76" s="187">
        <f t="shared" si="2"/>
        <v>0</v>
      </c>
    </row>
    <row r="77" spans="1:76" s="34" customFormat="1" ht="25" customHeight="1">
      <c r="A77" s="127"/>
      <c r="B77" s="127"/>
      <c r="C77" s="127" t="s">
        <v>245</v>
      </c>
      <c r="D77" s="128" t="str">
        <f>IFERROR(INDEX([2]!Table1RM[#Data],MATCH($M$56,[2]!Table1RM[Athlete],0),MATCH($L77,[2]!Table1RM[#Headers],0)),"")</f>
        <v/>
      </c>
      <c r="E77" s="127" t="str">
        <f>IF($B77="PE",INDEX([2]ExerciseInventory!$J$2:$L$276,MATCH($L77,[2]ExerciseInventory!$J$2:$J$287,0),2),"")</f>
        <v/>
      </c>
      <c r="F77" s="128" t="str">
        <f>IF($B77="PE",INDEX([2]ExerciseInventory!$J$2:$L$276,MATCH($L77,[2]ExerciseInventory!$J$2:$J$287,0),3),"")</f>
        <v/>
      </c>
      <c r="G77" s="128"/>
      <c r="H77" s="127"/>
      <c r="J77" s="36"/>
      <c r="K77" s="170"/>
      <c r="L77" s="171"/>
      <c r="M77" s="171"/>
      <c r="N77" s="171"/>
      <c r="O77" s="171"/>
      <c r="P77" s="172"/>
      <c r="Q77" s="173"/>
      <c r="R77" s="174"/>
      <c r="S77" s="175" t="str">
        <f>CLEAN(IFERROR(INDEX(TableSetRepSchemes,MATCH(#REF!,ListSetRepSchemes,0),COLUMNS($R77:S77)),""))</f>
        <v/>
      </c>
      <c r="T77" s="111"/>
      <c r="U77" s="176"/>
      <c r="V77" s="177"/>
      <c r="W77" s="177"/>
      <c r="X77" s="177"/>
      <c r="Y77" s="177"/>
      <c r="Z77" s="177"/>
      <c r="AA77" s="178"/>
      <c r="AB77" s="179" t="str">
        <f>CLEAN(IFERROR(INDEX(TableSetRepSchemes,MATCH('1'!$C77,ListSetRepSchemes,0),COLUMNS($R77:AB77)),""))</f>
        <v/>
      </c>
      <c r="AC77" s="178"/>
      <c r="AD77" s="178">
        <f>IFERROR(INDEX(TableSetRepSchemes,MATCH('1'!$C77,ListSetRepSchemes,0),COLUMNS($R77:AD77)),"")</f>
        <v>0</v>
      </c>
      <c r="AE77" s="178">
        <f>IFERROR(INDEX(TableSetRepSchemes,MATCH('1'!$C77,ListSetRepSchemes,0),COLUMNS($R77:AE77)),"")</f>
        <v>0</v>
      </c>
      <c r="AF77" s="178">
        <f>IFERROR(INDEX(TableSetRepSchemes,MATCH('1'!$C77,ListSetRepSchemes,0),COLUMNS($R77:AF77)),"")</f>
        <v>0</v>
      </c>
      <c r="AG77" s="178">
        <f>IFERROR(INDEX(TableSetRepSchemes,MATCH('1'!$C77,ListSetRepSchemes,0),COLUMNS($R77:AG77)),"")</f>
        <v>0</v>
      </c>
      <c r="AH77" s="178">
        <f>IFERROR(INDEX(TableSetRepSchemes,MATCH('1'!$C77,ListSetRepSchemes,0),COLUMNS($R77:AH77)),"")</f>
        <v>0</v>
      </c>
      <c r="AI77" s="178">
        <f>IFERROR(INDEX(TableSetRepSchemes,MATCH('1'!$C77,ListSetRepSchemes,0),COLUMNS($R77:AI77)),"")</f>
        <v>0</v>
      </c>
      <c r="AJ77" s="178"/>
      <c r="AK77" s="179" t="str">
        <f>CLEAN(IFERROR(INDEX(TableSetRepSchemes,MATCH('1'!$C77,ListSetRepSchemes,0),COLUMNS($R77:AK77)),""))</f>
        <v/>
      </c>
      <c r="AL77" s="178"/>
      <c r="AM77" s="178">
        <f>IFERROR(INDEX(TableSetRepSchemes,MATCH('1'!$C77,ListSetRepSchemes,0),COLUMNS($R77:AM77)),"")</f>
        <v>0</v>
      </c>
      <c r="AN77" s="178">
        <f>IFERROR(INDEX(TableSetRepSchemes,MATCH('1'!$C77,ListSetRepSchemes,0),COLUMNS($R77:AN77)),"")</f>
        <v>0</v>
      </c>
      <c r="AO77" s="178">
        <f>IFERROR(INDEX(TableSetRepSchemes,MATCH('1'!$C77,ListSetRepSchemes,0),COLUMNS($R77:AO77)),"")</f>
        <v>0</v>
      </c>
      <c r="AP77" s="178">
        <f>IFERROR(INDEX(TableSetRepSchemes,MATCH('1'!$C77,ListSetRepSchemes,0),COLUMNS($R77:AP77)),"")</f>
        <v>0</v>
      </c>
      <c r="AQ77" s="178">
        <f>IFERROR(INDEX(TableSetRepSchemes,MATCH('1'!$C77,ListSetRepSchemes,0),COLUMNS($R77:AQ77)),"")</f>
        <v>0</v>
      </c>
      <c r="AR77" s="178">
        <f>IFERROR(INDEX(TableSetRepSchemes,MATCH('1'!$C77,ListSetRepSchemes,0),COLUMNS($R77:AR77)),"")</f>
        <v>0</v>
      </c>
      <c r="AS77" s="178"/>
      <c r="AT77" s="179" t="str">
        <f>CLEAN(IFERROR(INDEX(TableSetRepSchemes,MATCH('1'!$C77,ListSetRepSchemes,0),COLUMNS($R77:AT77)),""))</f>
        <v/>
      </c>
      <c r="AU77" s="178"/>
      <c r="AV77" s="178">
        <f>IFERROR(INDEX(TableSetRepSchemes,MATCH('1'!$C77,ListSetRepSchemes,0),COLUMNS($R77:AV77)),"")</f>
        <v>0</v>
      </c>
      <c r="AW77" s="178">
        <f>IFERROR(INDEX(TableSetRepSchemes,MATCH('1'!$C77,ListSetRepSchemes,0),COLUMNS($R77:AW77)),"")</f>
        <v>0</v>
      </c>
      <c r="AX77" s="178">
        <f>IFERROR(INDEX(TableSetRepSchemes,MATCH('1'!$C77,ListSetRepSchemes,0),COLUMNS($R77:AX77)),"")</f>
        <v>0</v>
      </c>
      <c r="AY77" s="178">
        <f>IFERROR(INDEX(TableSetRepSchemes,MATCH('1'!$C77,ListSetRepSchemes,0),COLUMNS($R77:AY77)),"")</f>
        <v>0</v>
      </c>
      <c r="AZ77" s="178">
        <f>IFERROR(INDEX(TableSetRepSchemes,MATCH('1'!$C77,ListSetRepSchemes,0),COLUMNS($R77:AZ77)),"")</f>
        <v>0</v>
      </c>
      <c r="BA77" s="178">
        <f>IFERROR(INDEX(TableSetRepSchemes,MATCH('1'!$C77,ListSetRepSchemes,0),COLUMNS($R77:BA77)),"")</f>
        <v>0</v>
      </c>
      <c r="BB77" s="180"/>
      <c r="BC77" s="36"/>
      <c r="BG77" s="181" t="s">
        <v>308</v>
      </c>
      <c r="BH77" s="182">
        <f>IFERROR(SUM(SUBSTITUTE(U77,"/s",""),V77:Z77),0)</f>
        <v>0</v>
      </c>
      <c r="BI77" s="182">
        <f>SUM(SUBSTITUTE(AD77,"/s",""),AE77:AI77)</f>
        <v>0</v>
      </c>
      <c r="BJ77" s="182">
        <f>SUM(AM77:AR77)</f>
        <v>0</v>
      </c>
      <c r="BK77" s="182">
        <f>SUM(AV77:BA77)</f>
        <v>0</v>
      </c>
      <c r="BL77" s="195"/>
      <c r="BM77" s="184"/>
      <c r="BN77" s="184"/>
      <c r="BO77" s="184"/>
      <c r="BP77" s="184"/>
      <c r="BQ77" s="184"/>
      <c r="BS77" s="181" t="s">
        <v>308</v>
      </c>
      <c r="BT77" s="50" t="str">
        <f>IF($B77="PE",BH77,"")</f>
        <v/>
      </c>
      <c r="BU77" s="186" t="str">
        <f>IF($B77="PE",BI77,"")</f>
        <v/>
      </c>
      <c r="BV77" s="186" t="str">
        <f>IF($B77="PE",BJ77,"")</f>
        <v/>
      </c>
      <c r="BW77" s="186" t="str">
        <f>IF($B77="PE",BK77,"")</f>
        <v/>
      </c>
      <c r="BX77" s="187" t="e">
        <f t="shared" si="2"/>
        <v>#N/A</v>
      </c>
    </row>
    <row r="78" spans="1:76" s="34" customFormat="1" ht="25" customHeight="1">
      <c r="A78" s="129"/>
      <c r="B78" s="129"/>
      <c r="C78" s="129"/>
      <c r="D78" s="128"/>
      <c r="E78" s="129"/>
      <c r="F78" s="128"/>
      <c r="G78" s="128"/>
      <c r="H78" s="129"/>
      <c r="J78" s="36"/>
      <c r="K78" s="188"/>
      <c r="L78" s="189"/>
      <c r="M78" s="189"/>
      <c r="N78" s="189"/>
      <c r="O78" s="189"/>
      <c r="P78" s="190"/>
      <c r="Q78" s="191"/>
      <c r="R78" s="192"/>
      <c r="S78" s="193"/>
      <c r="T78" s="111"/>
      <c r="U78" s="177"/>
      <c r="V78" s="177"/>
      <c r="W78" s="177"/>
      <c r="X78" s="177"/>
      <c r="Y78" s="177"/>
      <c r="Z78" s="177"/>
      <c r="AA78" s="178"/>
      <c r="AB78" s="194"/>
      <c r="AC78" s="178"/>
      <c r="AD78" s="178"/>
      <c r="AE78" s="178"/>
      <c r="AF78" s="178"/>
      <c r="AG78" s="178"/>
      <c r="AH78" s="178"/>
      <c r="AI78" s="178"/>
      <c r="AJ78" s="178"/>
      <c r="AK78" s="194"/>
      <c r="AL78" s="178"/>
      <c r="AM78" s="178"/>
      <c r="AN78" s="178"/>
      <c r="AO78" s="178"/>
      <c r="AP78" s="178"/>
      <c r="AQ78" s="178"/>
      <c r="AR78" s="178"/>
      <c r="AS78" s="178"/>
      <c r="AT78" s="194"/>
      <c r="AU78" s="178"/>
      <c r="AV78" s="178"/>
      <c r="AW78" s="178"/>
      <c r="AX78" s="178"/>
      <c r="AY78" s="178"/>
      <c r="AZ78" s="178"/>
      <c r="BA78" s="178"/>
      <c r="BB78" s="180"/>
      <c r="BC78" s="36"/>
      <c r="BG78" s="181" t="s">
        <v>310</v>
      </c>
      <c r="BH78" s="182">
        <f>IFERROR((SUBSTITUTE(U77,"/s","")*U78)+(V77*V78)+(W77*W78)+(X77*X78)+(Y77*Y78)+(Z77*Z78),0)</f>
        <v>0</v>
      </c>
      <c r="BI78" s="182">
        <f>IFERROR((SUBSTITUTE(AD77,"/s","")*AD78)+(AE77*AE78)+(AF77*AF78)+(AG77*AG78)+(AH77*AH78)+(AI77*AI78),0)</f>
        <v>0</v>
      </c>
      <c r="BJ78" s="182">
        <f>IFERROR((AM77*AM78)+(AN77*AN78)+(AO77*AO78)+(AP77*AP78)+(AQ77*AQ78)+(AR77*AR78),"")</f>
        <v>0</v>
      </c>
      <c r="BK78" s="182">
        <f>IFERROR((AV77*AV78)+(AW77*AW78)+(AX77*AX78)+(AY77*AY78)+(AZ77*AZ78)+(BA77*BA78),"")</f>
        <v>0</v>
      </c>
      <c r="BL78" s="195">
        <f>IFERROR(BH78+BI78+BJ78+BK78,NA())</f>
        <v>0</v>
      </c>
      <c r="BM78" s="184"/>
      <c r="BN78" s="184"/>
      <c r="BO78" s="184"/>
      <c r="BP78" s="184"/>
      <c r="BQ78" s="184"/>
      <c r="BS78" s="181" t="s">
        <v>310</v>
      </c>
      <c r="BT78" s="50">
        <f>IF($B77="PE",(BH78*$E77*$F77),0)</f>
        <v>0</v>
      </c>
      <c r="BU78" s="186">
        <f>IF($B77="PE",(BI78*$E77*$F77),0)</f>
        <v>0</v>
      </c>
      <c r="BV78" s="186">
        <f>IF($B77="PE",(BJ78*$E77*$F77),0)</f>
        <v>0</v>
      </c>
      <c r="BW78" s="186">
        <f>IF($B77="PE",(BK78*$E77*$F77),0)</f>
        <v>0</v>
      </c>
      <c r="BX78" s="187">
        <f t="shared" si="2"/>
        <v>0</v>
      </c>
    </row>
    <row r="79" spans="1:76" s="34" customFormat="1" ht="4" customHeight="1" thickBot="1">
      <c r="A79" s="35"/>
      <c r="B79" s="35"/>
      <c r="C79" s="35"/>
      <c r="J79" s="36"/>
      <c r="K79" s="206"/>
      <c r="L79" s="207"/>
      <c r="M79" s="207"/>
      <c r="N79" s="207"/>
      <c r="O79" s="207"/>
      <c r="P79" s="207"/>
      <c r="Q79" s="207"/>
      <c r="R79" s="207"/>
      <c r="S79" s="208"/>
      <c r="T79" s="209"/>
      <c r="U79" s="209"/>
      <c r="V79" s="209"/>
      <c r="W79" s="209"/>
      <c r="X79" s="209"/>
      <c r="Y79" s="209"/>
      <c r="Z79" s="209"/>
      <c r="AA79" s="209"/>
      <c r="AB79" s="208"/>
      <c r="AC79" s="209"/>
      <c r="AD79" s="209"/>
      <c r="AE79" s="209"/>
      <c r="AF79" s="209"/>
      <c r="AG79" s="209"/>
      <c r="AH79" s="209"/>
      <c r="AI79" s="209"/>
      <c r="AJ79" s="209"/>
      <c r="AK79" s="208"/>
      <c r="AL79" s="209"/>
      <c r="AM79" s="209"/>
      <c r="AN79" s="209"/>
      <c r="AO79" s="209"/>
      <c r="AP79" s="209"/>
      <c r="AQ79" s="209"/>
      <c r="AR79" s="209"/>
      <c r="AS79" s="209"/>
      <c r="AT79" s="208"/>
      <c r="AU79" s="209"/>
      <c r="AV79" s="209"/>
      <c r="AW79" s="209"/>
      <c r="AX79" s="209"/>
      <c r="AY79" s="209"/>
      <c r="AZ79" s="209"/>
      <c r="BA79" s="209"/>
      <c r="BB79" s="210"/>
      <c r="BC79" s="36"/>
      <c r="BH79" s="211">
        <f>BH64+BH66+BH68+BH70+BH72+BH74+BH76+BH78</f>
        <v>0</v>
      </c>
      <c r="BI79" s="211">
        <f>BI64+BI66+BI68+BI70+BI72+BI74+BI76+BI78</f>
        <v>0</v>
      </c>
      <c r="BJ79" s="211">
        <f>BJ64+BJ66+BJ68+BJ70+BJ72+BJ74+BJ76+BJ78</f>
        <v>0</v>
      </c>
      <c r="BK79" s="211">
        <f>BK64+BK66+BK68+BK70+BK72+BK74+BK76+BK78</f>
        <v>0</v>
      </c>
      <c r="BL79" s="183"/>
      <c r="BM79" s="184"/>
      <c r="BN79" s="184"/>
      <c r="BO79" s="184"/>
      <c r="BP79" s="184"/>
      <c r="BQ79" s="184"/>
      <c r="BT79" s="212">
        <f>BT64+BT66+BT68+BT70+BT72+BT74+BT76+BT78</f>
        <v>0</v>
      </c>
      <c r="BU79" s="212">
        <f>BU64+BU66+BU68+BU70+BU72+BU74+BU76+BU78</f>
        <v>0</v>
      </c>
      <c r="BV79" s="212">
        <f>BV64+BV66+BV68+BV70+BV72+BV74+BV76+BV78</f>
        <v>0</v>
      </c>
      <c r="BW79" s="212">
        <f>BW64+BW66+BW68+BW70+BW72+BW74+BW76+BW78</f>
        <v>0</v>
      </c>
      <c r="BX79" s="212">
        <f>BX64+BX66+BX68+BX70+BX72+BX74+BX76+BX78</f>
        <v>0</v>
      </c>
    </row>
    <row r="80" spans="1:76" s="34" customFormat="1" ht="9" customHeight="1" thickBot="1">
      <c r="A80" s="35"/>
      <c r="B80" s="35"/>
      <c r="C80" s="35"/>
      <c r="J80" s="36"/>
      <c r="K80" s="111"/>
      <c r="L80" s="111"/>
      <c r="M80" s="111"/>
      <c r="N80" s="111"/>
      <c r="O80" s="111"/>
      <c r="P80" s="111"/>
      <c r="Q80" s="111"/>
      <c r="R80" s="111"/>
      <c r="S80" s="36"/>
      <c r="T80" s="213"/>
      <c r="U80" s="36"/>
      <c r="V80" s="36"/>
      <c r="W80" s="36"/>
      <c r="X80" s="36"/>
      <c r="Y80" s="36"/>
      <c r="Z80" s="36"/>
      <c r="AA80" s="213"/>
      <c r="AB80" s="36"/>
      <c r="AC80" s="213"/>
      <c r="AD80" s="36"/>
      <c r="AE80" s="36"/>
      <c r="AF80" s="36"/>
      <c r="AG80" s="36"/>
      <c r="AH80" s="36"/>
      <c r="AI80" s="36"/>
      <c r="AJ80" s="213"/>
      <c r="AK80" s="36"/>
      <c r="AL80" s="213"/>
      <c r="AM80" s="36"/>
      <c r="AN80" s="36"/>
      <c r="AO80" s="36"/>
      <c r="AP80" s="36"/>
      <c r="AQ80" s="36"/>
      <c r="AR80" s="36"/>
      <c r="AS80" s="36"/>
      <c r="AT80" s="36"/>
      <c r="AU80" s="213"/>
      <c r="AV80" s="36"/>
      <c r="AW80" s="36"/>
      <c r="AX80" s="36"/>
      <c r="AY80" s="36"/>
      <c r="AZ80" s="36"/>
      <c r="BA80" s="36"/>
      <c r="BB80" s="213"/>
      <c r="BC80" s="36"/>
      <c r="BH80" s="214"/>
      <c r="BI80" s="214"/>
      <c r="BJ80" s="214"/>
      <c r="BK80" s="214"/>
      <c r="BL80" s="183"/>
      <c r="BM80" s="184"/>
      <c r="BN80" s="184"/>
      <c r="BO80" s="184"/>
      <c r="BP80" s="184"/>
      <c r="BQ80" s="184"/>
      <c r="BT80" s="215"/>
      <c r="BU80" s="215"/>
      <c r="BV80" s="215"/>
      <c r="BW80" s="215"/>
      <c r="BX80" s="215"/>
    </row>
    <row r="81" spans="1:161" s="86" customFormat="1" ht="25" customHeight="1">
      <c r="A81" s="114"/>
      <c r="B81" s="114"/>
      <c r="C81" s="216"/>
      <c r="E81" s="87" t="s">
        <v>234</v>
      </c>
      <c r="F81" s="87" t="s">
        <v>235</v>
      </c>
      <c r="J81" s="118"/>
      <c r="K81" s="153" t="s">
        <v>332</v>
      </c>
      <c r="L81" s="154"/>
      <c r="M81" s="154"/>
      <c r="N81" s="154"/>
      <c r="O81" s="154"/>
      <c r="P81" s="154"/>
      <c r="Q81" s="154"/>
      <c r="R81" s="154"/>
      <c r="S81" s="155"/>
      <c r="T81" s="156"/>
      <c r="U81" s="157" t="s">
        <v>221</v>
      </c>
      <c r="V81" s="158"/>
      <c r="W81" s="158"/>
      <c r="X81" s="156"/>
      <c r="Y81" s="159"/>
      <c r="Z81" s="160"/>
      <c r="AA81" s="156"/>
      <c r="AB81" s="155"/>
      <c r="AC81" s="156"/>
      <c r="AD81" s="157" t="s">
        <v>221</v>
      </c>
      <c r="AE81" s="158"/>
      <c r="AF81" s="158"/>
      <c r="AG81" s="156"/>
      <c r="AH81" s="159"/>
      <c r="AI81" s="160"/>
      <c r="AJ81" s="156"/>
      <c r="AK81" s="155"/>
      <c r="AL81" s="156"/>
      <c r="AM81" s="157" t="s">
        <v>221</v>
      </c>
      <c r="AN81" s="158"/>
      <c r="AO81" s="158"/>
      <c r="AP81" s="156"/>
      <c r="AQ81" s="159"/>
      <c r="AR81" s="160"/>
      <c r="AS81" s="160"/>
      <c r="AT81" s="155"/>
      <c r="AU81" s="156"/>
      <c r="AV81" s="157" t="s">
        <v>221</v>
      </c>
      <c r="AW81" s="158"/>
      <c r="AX81" s="158"/>
      <c r="AY81" s="217"/>
      <c r="AZ81" s="218"/>
      <c r="BA81" s="218"/>
      <c r="BB81" s="161"/>
      <c r="BC81" s="118"/>
      <c r="BD81" s="34"/>
      <c r="BE81" s="34"/>
      <c r="BF81" s="34"/>
      <c r="BL81" s="114"/>
      <c r="BT81" s="219">
        <f>SUM(BT63,BT65,BT67,BT69,BT71,BT73,BT75,BT77)</f>
        <v>0</v>
      </c>
      <c r="BU81" s="219">
        <f>SUM(BU63,BU65,BU67,BU69,BU71,BU73,BU75,BU77)</f>
        <v>0</v>
      </c>
      <c r="BV81" s="219">
        <f>SUM(BV63,BV65,BV67,BV69,BV71,BV73,BV75,BV77)</f>
        <v>0</v>
      </c>
      <c r="BW81" s="219">
        <f>SUM(BW63,BW65,BW67,BW69,BW71,BW73,BW75,BW77)</f>
        <v>0</v>
      </c>
      <c r="BX81" s="219"/>
      <c r="BY81" s="34"/>
      <c r="BZ81" s="34"/>
      <c r="CA81" s="34"/>
      <c r="CB81" s="34"/>
      <c r="CC81" s="34"/>
      <c r="CD81" s="34"/>
      <c r="CE81" s="34"/>
      <c r="CF81" s="34"/>
      <c r="CG81" s="34"/>
      <c r="CH81" s="34"/>
      <c r="CI81" s="34"/>
      <c r="CJ81" s="34"/>
      <c r="CK81" s="34"/>
      <c r="CL81" s="34"/>
      <c r="CM81" s="34"/>
      <c r="CN81" s="34"/>
      <c r="CO81" s="34"/>
      <c r="CP81" s="34"/>
      <c r="CQ81" s="34"/>
      <c r="CR81" s="34"/>
      <c r="CS81" s="34"/>
      <c r="CT81" s="34"/>
      <c r="CU81" s="34"/>
      <c r="CV81" s="34"/>
      <c r="CW81" s="34"/>
      <c r="CX81" s="34"/>
      <c r="CY81" s="34"/>
      <c r="CZ81" s="34"/>
      <c r="DA81" s="34"/>
      <c r="DB81" s="34"/>
      <c r="DC81" s="34"/>
      <c r="DD81" s="34"/>
      <c r="DE81" s="34"/>
      <c r="DF81" s="34"/>
      <c r="DG81" s="34"/>
      <c r="DH81" s="34"/>
      <c r="DI81" s="34"/>
      <c r="DJ81" s="34"/>
      <c r="DK81" s="34"/>
      <c r="DL81" s="34"/>
      <c r="DM81" s="34"/>
      <c r="DN81" s="34"/>
      <c r="DO81" s="34"/>
      <c r="DP81" s="34"/>
      <c r="DQ81" s="34"/>
      <c r="DR81" s="34"/>
      <c r="DS81" s="34"/>
      <c r="DT81" s="34"/>
      <c r="DU81" s="34"/>
      <c r="DV81" s="34"/>
      <c r="DW81" s="34"/>
      <c r="DX81" s="34"/>
      <c r="DY81" s="34"/>
      <c r="DZ81" s="34"/>
      <c r="EA81" s="34"/>
      <c r="EB81" s="34"/>
      <c r="EC81" s="34"/>
      <c r="ED81" s="34"/>
      <c r="EE81" s="34"/>
      <c r="EF81" s="34"/>
      <c r="EG81" s="34"/>
      <c r="EH81" s="34"/>
      <c r="EI81" s="34"/>
      <c r="EJ81" s="34"/>
      <c r="EK81" s="34"/>
      <c r="EL81" s="34"/>
      <c r="FE81" s="34"/>
    </row>
    <row r="82" spans="1:161" s="114" customFormat="1" ht="25" customHeight="1">
      <c r="A82" s="101" t="s">
        <v>237</v>
      </c>
      <c r="B82" s="102"/>
      <c r="C82" s="103" t="s">
        <v>238</v>
      </c>
      <c r="D82" s="103" t="s">
        <v>239</v>
      </c>
      <c r="E82" s="104"/>
      <c r="F82" s="104"/>
      <c r="G82" s="103" t="s">
        <v>240</v>
      </c>
      <c r="H82" s="103" t="s">
        <v>241</v>
      </c>
      <c r="J82" s="220"/>
      <c r="K82" s="162"/>
      <c r="L82" s="163"/>
      <c r="M82" s="163"/>
      <c r="N82" s="163"/>
      <c r="O82" s="163"/>
      <c r="P82" s="163"/>
      <c r="Q82" s="163"/>
      <c r="R82" s="163"/>
      <c r="S82" s="165"/>
      <c r="T82" s="165"/>
      <c r="U82" s="221" t="s">
        <v>297</v>
      </c>
      <c r="V82" s="221"/>
      <c r="W82" s="221"/>
      <c r="X82" s="221"/>
      <c r="Y82" s="221"/>
      <c r="Z82" s="221"/>
      <c r="AA82" s="222"/>
      <c r="AB82" s="222"/>
      <c r="AC82" s="222"/>
      <c r="AD82" s="221" t="s">
        <v>297</v>
      </c>
      <c r="AE82" s="221"/>
      <c r="AF82" s="221"/>
      <c r="AG82" s="221"/>
      <c r="AH82" s="221"/>
      <c r="AI82" s="221"/>
      <c r="AJ82" s="222"/>
      <c r="AK82" s="222"/>
      <c r="AL82" s="222"/>
      <c r="AM82" s="221" t="s">
        <v>297</v>
      </c>
      <c r="AN82" s="221"/>
      <c r="AO82" s="221"/>
      <c r="AP82" s="221"/>
      <c r="AQ82" s="221"/>
      <c r="AR82" s="221"/>
      <c r="AS82" s="223"/>
      <c r="AT82" s="222"/>
      <c r="AU82" s="222"/>
      <c r="AV82" s="221" t="s">
        <v>297</v>
      </c>
      <c r="AW82" s="221"/>
      <c r="AX82" s="221"/>
      <c r="AY82" s="221"/>
      <c r="AZ82" s="221"/>
      <c r="BA82" s="221"/>
      <c r="BB82" s="168"/>
      <c r="BC82" s="220"/>
      <c r="BD82" s="34"/>
      <c r="BE82" s="34"/>
      <c r="BF82" s="34"/>
      <c r="BH82" s="103" t="s">
        <v>298</v>
      </c>
      <c r="BI82" s="103" t="s">
        <v>299</v>
      </c>
      <c r="BJ82" s="103" t="s">
        <v>300</v>
      </c>
      <c r="BK82" s="103" t="s">
        <v>301</v>
      </c>
      <c r="BN82" s="103" t="s">
        <v>302</v>
      </c>
      <c r="BO82" s="103" t="s">
        <v>303</v>
      </c>
      <c r="BP82" s="103" t="s">
        <v>304</v>
      </c>
      <c r="BT82" s="103" t="s">
        <v>298</v>
      </c>
      <c r="BU82" s="103" t="s">
        <v>299</v>
      </c>
      <c r="BV82" s="103" t="s">
        <v>300</v>
      </c>
      <c r="BW82" s="103" t="s">
        <v>301</v>
      </c>
      <c r="BX82" s="169"/>
      <c r="BY82" s="34"/>
      <c r="BZ82" s="34"/>
      <c r="CA82" s="34"/>
      <c r="CB82" s="34"/>
      <c r="CC82" s="34"/>
      <c r="CD82" s="34"/>
      <c r="CE82" s="34"/>
      <c r="CF82" s="34"/>
      <c r="CG82" s="34"/>
      <c r="CH82" s="34"/>
      <c r="CI82" s="34"/>
      <c r="CJ82" s="34"/>
      <c r="CK82" s="34"/>
      <c r="CL82" s="34"/>
      <c r="CM82" s="34"/>
      <c r="CN82" s="34"/>
      <c r="CO82" s="34"/>
      <c r="CP82" s="34"/>
      <c r="CQ82" s="34"/>
      <c r="CR82" s="34"/>
      <c r="CS82" s="34"/>
      <c r="CT82" s="34"/>
      <c r="CU82" s="34"/>
      <c r="CV82" s="34"/>
      <c r="CW82" s="34"/>
      <c r="CX82" s="34"/>
      <c r="CY82" s="34"/>
      <c r="CZ82" s="34"/>
      <c r="DA82" s="34"/>
      <c r="DB82" s="34"/>
      <c r="DC82" s="34"/>
      <c r="DD82" s="34"/>
      <c r="DE82" s="34"/>
      <c r="DF82" s="34"/>
      <c r="DG82" s="34"/>
      <c r="DH82" s="34"/>
      <c r="DI82" s="34"/>
      <c r="DJ82" s="34"/>
      <c r="DK82" s="34"/>
      <c r="DL82" s="34"/>
      <c r="DM82" s="34"/>
      <c r="DN82" s="34"/>
      <c r="DO82" s="34"/>
      <c r="DP82" s="34"/>
      <c r="DQ82" s="34"/>
      <c r="DR82" s="34"/>
      <c r="DS82" s="34"/>
      <c r="DT82" s="34"/>
      <c r="DU82" s="34"/>
      <c r="DV82" s="34"/>
      <c r="DW82" s="34"/>
      <c r="DX82" s="34"/>
      <c r="DY82" s="34"/>
      <c r="DZ82" s="34"/>
      <c r="EA82" s="34"/>
      <c r="EB82" s="34"/>
      <c r="EC82" s="34"/>
      <c r="ED82" s="34"/>
      <c r="EE82" s="34"/>
      <c r="EF82" s="34"/>
      <c r="EG82" s="34"/>
      <c r="EH82" s="34"/>
      <c r="EI82" s="34"/>
      <c r="EJ82" s="34"/>
      <c r="EK82" s="34"/>
      <c r="EL82" s="34"/>
      <c r="FE82" s="34"/>
    </row>
    <row r="83" spans="1:161" s="34" customFormat="1" ht="25" customHeight="1">
      <c r="A83" s="127" t="s">
        <v>305</v>
      </c>
      <c r="B83" s="127" t="s">
        <v>244</v>
      </c>
      <c r="C83" s="127" t="s">
        <v>306</v>
      </c>
      <c r="D83" s="127" t="str">
        <f>IFERROR(INDEX([2]!Table1RM[#Data],MATCH($M$56,[2]!Table1RM[Athlete],0),MATCH($L83,[2]!Table1RM[#Headers],0)),"")</f>
        <v/>
      </c>
      <c r="E83" s="127" t="str">
        <f>IF($B83="PE",INDEX([2]ExerciseInventory!$J$2:$L$276,MATCH($L83,[2]ExerciseInventory!$J$2:$J$287,0),2),"")</f>
        <v/>
      </c>
      <c r="F83" s="127" t="str">
        <f>IF($B83="PE",INDEX([2]ExerciseInventory!$J$2:$L$276,MATCH($L83,[2]ExerciseInventory!$J$2:$J$287,0),3),"")</f>
        <v/>
      </c>
      <c r="G83" s="127"/>
      <c r="H83" s="127"/>
      <c r="J83" s="36"/>
      <c r="K83" s="170" t="s">
        <v>107</v>
      </c>
      <c r="L83" s="171" t="s">
        <v>182</v>
      </c>
      <c r="M83" s="171"/>
      <c r="N83" s="171"/>
      <c r="O83" s="171"/>
      <c r="P83" s="172"/>
      <c r="Q83" s="173"/>
      <c r="R83" s="174"/>
      <c r="S83" s="175" t="str">
        <f>CLEAN(IFERROR(INDEX(TableSetRepSchemes,MATCH(#REF!,ListSetRepSchemes,0),COLUMNS($R83:S83)),""))</f>
        <v/>
      </c>
      <c r="T83" s="111"/>
      <c r="U83" s="176" t="s">
        <v>333</v>
      </c>
      <c r="V83" s="177"/>
      <c r="W83" s="177"/>
      <c r="X83" s="177"/>
      <c r="Y83" s="177"/>
      <c r="Z83" s="177"/>
      <c r="AA83" s="178"/>
      <c r="AB83" s="179" t="str">
        <f>CLEAN(IFERROR(INDEX(TableSetRepSchemes,MATCH('1'!$C83,ListSetRepSchemes,0),COLUMNS($R83:AB83)),""))</f>
        <v/>
      </c>
      <c r="AC83" s="178"/>
      <c r="AD83" s="178">
        <f>IFERROR(INDEX(TableSetRepSchemes,MATCH('1'!$C83,ListSetRepSchemes,0),COLUMNS($R83:AD83)),"")</f>
        <v>8</v>
      </c>
      <c r="AE83" s="178">
        <f>IFERROR(INDEX(TableSetRepSchemes,MATCH('1'!$C83,ListSetRepSchemes,0),COLUMNS($R83:AE83)),"")</f>
        <v>8</v>
      </c>
      <c r="AF83" s="178">
        <f>IFERROR(INDEX(TableSetRepSchemes,MATCH('1'!$C83,ListSetRepSchemes,0),COLUMNS($R83:AF83)),"")</f>
        <v>8</v>
      </c>
      <c r="AG83" s="178">
        <f>IFERROR(INDEX(TableSetRepSchemes,MATCH('1'!$C83,ListSetRepSchemes,0),COLUMNS($R83:AG83)),"")</f>
        <v>0</v>
      </c>
      <c r="AH83" s="178">
        <f>IFERROR(INDEX(TableSetRepSchemes,MATCH('1'!$C83,ListSetRepSchemes,0),COLUMNS($R83:AH83)),"")</f>
        <v>0</v>
      </c>
      <c r="AI83" s="178">
        <f>IFERROR(INDEX(TableSetRepSchemes,MATCH('1'!$C83,ListSetRepSchemes,0),COLUMNS($R83:AI83)),"")</f>
        <v>0</v>
      </c>
      <c r="AJ83" s="178"/>
      <c r="AK83" s="179" t="str">
        <f>CLEAN(IFERROR(INDEX(TableSetRepSchemes,MATCH('1'!$C83,ListSetRepSchemes,0),COLUMNS($R83:AK83)),""))</f>
        <v/>
      </c>
      <c r="AL83" s="178"/>
      <c r="AM83" s="178">
        <f>IFERROR(INDEX(TableSetRepSchemes,MATCH('1'!$C83,ListSetRepSchemes,0),COLUMNS($R83:AM83)),"")</f>
        <v>8</v>
      </c>
      <c r="AN83" s="178">
        <f>IFERROR(INDEX(TableSetRepSchemes,MATCH('1'!$C83,ListSetRepSchemes,0),COLUMNS($R83:AN83)),"")</f>
        <v>8</v>
      </c>
      <c r="AO83" s="178">
        <f>IFERROR(INDEX(TableSetRepSchemes,MATCH('1'!$C83,ListSetRepSchemes,0),COLUMNS($R83:AO83)),"")</f>
        <v>8</v>
      </c>
      <c r="AP83" s="178">
        <f>IFERROR(INDEX(TableSetRepSchemes,MATCH('1'!$C83,ListSetRepSchemes,0),COLUMNS($R83:AP83)),"")</f>
        <v>0</v>
      </c>
      <c r="AQ83" s="178">
        <f>IFERROR(INDEX(TableSetRepSchemes,MATCH('1'!$C83,ListSetRepSchemes,0),COLUMNS($R83:AQ83)),"")</f>
        <v>0</v>
      </c>
      <c r="AR83" s="178">
        <f>IFERROR(INDEX(TableSetRepSchemes,MATCH('1'!$C83,ListSetRepSchemes,0),COLUMNS($R83:AR83)),"")</f>
        <v>0</v>
      </c>
      <c r="AS83" s="178"/>
      <c r="AT83" s="179" t="str">
        <f>CLEAN(IFERROR(INDEX(TableSetRepSchemes,MATCH('1'!$C83,ListSetRepSchemes,0),COLUMNS($R83:AT83)),""))</f>
        <v/>
      </c>
      <c r="AU83" s="178"/>
      <c r="AV83" s="178">
        <f>IFERROR(INDEX(TableSetRepSchemes,MATCH('1'!$C83,ListSetRepSchemes,0),COLUMNS($R83:AV83)),"")</f>
        <v>8</v>
      </c>
      <c r="AW83" s="178">
        <f>IFERROR(INDEX(TableSetRepSchemes,MATCH('1'!$C83,ListSetRepSchemes,0),COLUMNS($R83:AW83)),"")</f>
        <v>8</v>
      </c>
      <c r="AX83" s="178">
        <f>IFERROR(INDEX(TableSetRepSchemes,MATCH('1'!$C83,ListSetRepSchemes,0),COLUMNS($R83:AX83)),"")</f>
        <v>8</v>
      </c>
      <c r="AY83" s="178">
        <f>IFERROR(INDEX(TableSetRepSchemes,MATCH('1'!$C83,ListSetRepSchemes,0),COLUMNS($R83:AY83)),"")</f>
        <v>0</v>
      </c>
      <c r="AZ83" s="178">
        <f>IFERROR(INDEX(TableSetRepSchemes,MATCH('1'!$C83,ListSetRepSchemes,0),COLUMNS($R83:AZ83)),"")</f>
        <v>0</v>
      </c>
      <c r="BA83" s="178">
        <f>IFERROR(INDEX(TableSetRepSchemes,MATCH('1'!$C83,ListSetRepSchemes,0),COLUMNS($R83:BA83)),"")</f>
        <v>0</v>
      </c>
      <c r="BB83" s="180"/>
      <c r="BC83" s="36"/>
      <c r="BG83" s="181" t="s">
        <v>308</v>
      </c>
      <c r="BH83" s="182">
        <f>IFERROR(SUM(SUBSTITUTE(U83,"/s",""),V83:Z83),0)</f>
        <v>0</v>
      </c>
      <c r="BI83" s="182">
        <f>SUM(SUBSTITUTE(AD83,"/s",""),AE83:AI83)</f>
        <v>24</v>
      </c>
      <c r="BJ83" s="182">
        <f>SUM(AM83:AR83)</f>
        <v>24</v>
      </c>
      <c r="BK83" s="182">
        <f>SUM(AV83:BA83)</f>
        <v>24</v>
      </c>
      <c r="BL83" s="183"/>
      <c r="BM83" s="184"/>
      <c r="BN83" s="182" t="s">
        <v>309</v>
      </c>
      <c r="BO83" s="182" t="e">
        <f>IF(B83="PE",(BL84),0)+IF(B85="PE",(BL86),0)+IF(B87="PE",(BL88),0)+IF(B89="PE",(BL90),0)+IF(B91="PE",(BL92),0)+IF(B93="PE",(BL94),0)+IF(B95="PE",(BL96),0)+IF(B97="PE",(BL98),0)</f>
        <v>#N/A</v>
      </c>
      <c r="BP83" s="185" t="e">
        <f>(BO83/$BO$87)*100</f>
        <v>#N/A</v>
      </c>
      <c r="BS83" s="181" t="s">
        <v>308</v>
      </c>
      <c r="BT83" s="50" t="str">
        <f>IF($B83="PE",BH83,"")</f>
        <v/>
      </c>
      <c r="BU83" s="186" t="str">
        <f>IF($B83="PE",BI83,"")</f>
        <v/>
      </c>
      <c r="BV83" s="186" t="str">
        <f>IF($B83="PE",BJ83,"")</f>
        <v/>
      </c>
      <c r="BW83" s="186" t="str">
        <f>IF($B83="PE",BK83,"")</f>
        <v/>
      </c>
      <c r="BX83" s="187"/>
    </row>
    <row r="84" spans="1:161" s="34" customFormat="1" ht="25" customHeight="1">
      <c r="A84" s="129"/>
      <c r="B84" s="129"/>
      <c r="C84" s="129"/>
      <c r="D84" s="129"/>
      <c r="E84" s="129"/>
      <c r="F84" s="129"/>
      <c r="G84" s="129"/>
      <c r="H84" s="129"/>
      <c r="J84" s="36"/>
      <c r="K84" s="188"/>
      <c r="L84" s="189"/>
      <c r="M84" s="189"/>
      <c r="N84" s="189"/>
      <c r="O84" s="189"/>
      <c r="P84" s="190"/>
      <c r="Q84" s="191"/>
      <c r="R84" s="192"/>
      <c r="S84" s="193"/>
      <c r="T84" s="111"/>
      <c r="U84" s="177"/>
      <c r="V84" s="177"/>
      <c r="W84" s="177"/>
      <c r="X84" s="177"/>
      <c r="Y84" s="177"/>
      <c r="Z84" s="177"/>
      <c r="AA84" s="178"/>
      <c r="AB84" s="194"/>
      <c r="AC84" s="178"/>
      <c r="AD84" s="178"/>
      <c r="AE84" s="178"/>
      <c r="AF84" s="178"/>
      <c r="AG84" s="178"/>
      <c r="AH84" s="178"/>
      <c r="AI84" s="178"/>
      <c r="AJ84" s="178"/>
      <c r="AK84" s="194"/>
      <c r="AL84" s="178"/>
      <c r="AM84" s="178"/>
      <c r="AN84" s="178"/>
      <c r="AO84" s="178"/>
      <c r="AP84" s="178"/>
      <c r="AQ84" s="178"/>
      <c r="AR84" s="178"/>
      <c r="AS84" s="178"/>
      <c r="AT84" s="194"/>
      <c r="AU84" s="178"/>
      <c r="AV84" s="178"/>
      <c r="AW84" s="178"/>
      <c r="AX84" s="178"/>
      <c r="AY84" s="178"/>
      <c r="AZ84" s="178"/>
      <c r="BA84" s="178"/>
      <c r="BB84" s="180"/>
      <c r="BC84" s="36"/>
      <c r="BG84" s="181" t="s">
        <v>310</v>
      </c>
      <c r="BH84" s="182">
        <f>IFERROR((SUBSTITUTE(U83,"/s","")*U84)+(V83*V84)+(W83*W84)+(X83*X84)+(Y83*Y84)+(Z83*Z84),0)</f>
        <v>0</v>
      </c>
      <c r="BI84" s="182">
        <f>IFERROR((SUBSTITUTE(AD83,"/s","")*AD84)+(AE83*AE84)+(AF83*AF84)+(AG83*AG84)+(AH83*AH84)+(AI83*AI84),0)</f>
        <v>0</v>
      </c>
      <c r="BJ84" s="182">
        <f>IFERROR((AM83*AM84)+(AN83*AN84)+(AO83*AO84)+(AP83*AP84)+(AQ83*AQ84)+(AR83*AR84),"")</f>
        <v>0</v>
      </c>
      <c r="BK84" s="182">
        <f>IFERROR((AV83*AV84)+(AW83*AW84)+(AX83*AX84)+(AY83*AY84)+(AZ83*AZ84)+(BA83*BA84),"")</f>
        <v>0</v>
      </c>
      <c r="BL84" s="195">
        <f>IFERROR(BH84+BI84+BJ84+BK84,NA())</f>
        <v>0</v>
      </c>
      <c r="BM84" s="184"/>
      <c r="BN84" s="182" t="s">
        <v>311</v>
      </c>
      <c r="BO84" s="182">
        <f>IF(B83="DE",(BL84),0)+IF(B85="DE",(BL86),0)+IF(B87="DE",(BL88),0)+IF(B89="DE",(BL90),0)+IF(B91="DE",(BL92),0)+IF(B93="DE",(BL94),0)+IF(B95="DE",(BL96),0)+IF(B97="DE",(BL98),0)</f>
        <v>0</v>
      </c>
      <c r="BP84" s="185" t="e">
        <f>(BO84/$BO$87)*100</f>
        <v>#N/A</v>
      </c>
      <c r="BS84" s="181" t="s">
        <v>310</v>
      </c>
      <c r="BT84" s="50">
        <f>IF($B83="PE",(BH84*$E83*$F83),0)</f>
        <v>0</v>
      </c>
      <c r="BU84" s="186">
        <f>IF($B83="PE",(BI84*$E83*$F83),0)</f>
        <v>0</v>
      </c>
      <c r="BV84" s="186">
        <f>IF($B83="PE",(BJ84*$E83*$F83),0)</f>
        <v>0</v>
      </c>
      <c r="BW84" s="186">
        <f>IF($B83="PE",(BK84*$E83*$F83),0)</f>
        <v>0</v>
      </c>
      <c r="BX84" s="187">
        <f>IFERROR(BT84+BU84+BV84+BW84,NA())</f>
        <v>0</v>
      </c>
    </row>
    <row r="85" spans="1:161" s="34" customFormat="1" ht="25" customHeight="1">
      <c r="A85" s="127" t="s">
        <v>334</v>
      </c>
      <c r="B85" s="127" t="s">
        <v>309</v>
      </c>
      <c r="C85" s="127" t="s">
        <v>335</v>
      </c>
      <c r="D85" s="128" t="str">
        <f>IFERROR(INDEX([2]!Table1RM[#Data],MATCH($M$56,[2]!Table1RM[Athlete],0),MATCH($L85,[2]!Table1RM[#Headers],0)),"")</f>
        <v/>
      </c>
      <c r="E85" s="127" t="e">
        <f>IF($B85="PE",INDEX([2]ExerciseInventory!$J$2:$L$276,MATCH($L85,[2]ExerciseInventory!$J$2:$J$287,0),2),"")</f>
        <v>#N/A</v>
      </c>
      <c r="F85" s="128" t="e">
        <f>IF($B85="PE",INDEX([2]ExerciseInventory!$J$2:$L$276,MATCH($L85,[2]ExerciseInventory!$J$2:$J$287,0),3),"")</f>
        <v>#N/A</v>
      </c>
      <c r="G85" s="128"/>
      <c r="H85" s="127"/>
      <c r="J85" s="36"/>
      <c r="K85" s="170" t="s">
        <v>108</v>
      </c>
      <c r="L85" s="171" t="s">
        <v>336</v>
      </c>
      <c r="M85" s="171"/>
      <c r="N85" s="171"/>
      <c r="O85" s="171"/>
      <c r="P85" s="172"/>
      <c r="Q85" s="173"/>
      <c r="R85" s="174"/>
      <c r="S85" s="175" t="str">
        <f>CLEAN(IFERROR(INDEX(TableSetRepSchemes,MATCH(#REF!,ListSetRepSchemes,0),COLUMNS($R85:S85)),""))</f>
        <v/>
      </c>
      <c r="T85" s="111"/>
      <c r="U85" s="176"/>
      <c r="V85" s="177"/>
      <c r="W85" s="177"/>
      <c r="X85" s="177"/>
      <c r="Y85" s="177"/>
      <c r="Z85" s="177"/>
      <c r="AA85" s="178"/>
      <c r="AB85" s="179" t="str">
        <f>CLEAN(IFERROR(INDEX(TableSetRepSchemes,MATCH('1'!$C85,ListSetRepSchemes,0),COLUMNS($R85:AB85)),""))</f>
        <v/>
      </c>
      <c r="AC85" s="178"/>
      <c r="AD85" s="178" t="str">
        <f>IFERROR(INDEX(TableSetRepSchemes,MATCH('1'!$C85,ListSetRepSchemes,0),COLUMNS($R85:AD85)),"")</f>
        <v>:20</v>
      </c>
      <c r="AE85" s="178" t="str">
        <f>IFERROR(INDEX(TableSetRepSchemes,MATCH('1'!$C85,ListSetRepSchemes,0),COLUMNS($R85:AE85)),"")</f>
        <v>:20</v>
      </c>
      <c r="AF85" s="178" t="str">
        <f>IFERROR(INDEX(TableSetRepSchemes,MATCH('1'!$C85,ListSetRepSchemes,0),COLUMNS($R85:AF85)),"")</f>
        <v>:20</v>
      </c>
      <c r="AG85" s="178">
        <f>IFERROR(INDEX(TableSetRepSchemes,MATCH('1'!$C85,ListSetRepSchemes,0),COLUMNS($R85:AG85)),"")</f>
        <v>0</v>
      </c>
      <c r="AH85" s="178">
        <f>IFERROR(INDEX(TableSetRepSchemes,MATCH('1'!$C85,ListSetRepSchemes,0),COLUMNS($R85:AH85)),"")</f>
        <v>0</v>
      </c>
      <c r="AI85" s="178">
        <f>IFERROR(INDEX(TableSetRepSchemes,MATCH('1'!$C85,ListSetRepSchemes,0),COLUMNS($R85:AI85)),"")</f>
        <v>0</v>
      </c>
      <c r="AJ85" s="178"/>
      <c r="AK85" s="179" t="str">
        <f>CLEAN(IFERROR(INDEX(TableSetRepSchemes,MATCH('1'!$C85,ListSetRepSchemes,0),COLUMNS($R85:AK85)),""))</f>
        <v/>
      </c>
      <c r="AL85" s="178"/>
      <c r="AM85" s="178" t="str">
        <f>IFERROR(INDEX(TableSetRepSchemes,MATCH('1'!$C85,ListSetRepSchemes,0),COLUMNS($R85:AM85)),"")</f>
        <v>:25</v>
      </c>
      <c r="AN85" s="178" t="str">
        <f>IFERROR(INDEX(TableSetRepSchemes,MATCH('1'!$C85,ListSetRepSchemes,0),COLUMNS($R85:AN85)),"")</f>
        <v>:25</v>
      </c>
      <c r="AO85" s="178" t="str">
        <f>IFERROR(INDEX(TableSetRepSchemes,MATCH('1'!$C85,ListSetRepSchemes,0),COLUMNS($R85:AO85)),"")</f>
        <v>:25</v>
      </c>
      <c r="AP85" s="178">
        <f>IFERROR(INDEX(TableSetRepSchemes,MATCH('1'!$C85,ListSetRepSchemes,0),COLUMNS($R85:AP85)),"")</f>
        <v>0</v>
      </c>
      <c r="AQ85" s="178">
        <f>IFERROR(INDEX(TableSetRepSchemes,MATCH('1'!$C85,ListSetRepSchemes,0),COLUMNS($R85:AQ85)),"")</f>
        <v>0</v>
      </c>
      <c r="AR85" s="178">
        <f>IFERROR(INDEX(TableSetRepSchemes,MATCH('1'!$C85,ListSetRepSchemes,0),COLUMNS($R85:AR85)),"")</f>
        <v>0</v>
      </c>
      <c r="AS85" s="178"/>
      <c r="AT85" s="179" t="str">
        <f>CLEAN(IFERROR(INDEX(TableSetRepSchemes,MATCH('1'!$C85,ListSetRepSchemes,0),COLUMNS($R85:AT85)),""))</f>
        <v/>
      </c>
      <c r="AU85" s="178"/>
      <c r="AV85" s="178" t="str">
        <f>IFERROR(INDEX(TableSetRepSchemes,MATCH('1'!$C85,ListSetRepSchemes,0),COLUMNS($R85:AV85)),"")</f>
        <v>:30</v>
      </c>
      <c r="AW85" s="178" t="str">
        <f>IFERROR(INDEX(TableSetRepSchemes,MATCH('1'!$C85,ListSetRepSchemes,0),COLUMNS($R85:AW85)),"")</f>
        <v>:30</v>
      </c>
      <c r="AX85" s="178" t="str">
        <f>IFERROR(INDEX(TableSetRepSchemes,MATCH('1'!$C85,ListSetRepSchemes,0),COLUMNS($R85:AX85)),"")</f>
        <v>:30</v>
      </c>
      <c r="AY85" s="178">
        <f>IFERROR(INDEX(TableSetRepSchemes,MATCH('1'!$C85,ListSetRepSchemes,0),COLUMNS($R85:AY85)),"")</f>
        <v>0</v>
      </c>
      <c r="AZ85" s="178">
        <f>IFERROR(INDEX(TableSetRepSchemes,MATCH('1'!$C85,ListSetRepSchemes,0),COLUMNS($R85:AZ85)),"")</f>
        <v>0</v>
      </c>
      <c r="BA85" s="178">
        <f>IFERROR(INDEX(TableSetRepSchemes,MATCH('1'!$C85,ListSetRepSchemes,0),COLUMNS($R85:BA85)),"")</f>
        <v>0</v>
      </c>
      <c r="BB85" s="180"/>
      <c r="BC85" s="36"/>
      <c r="BG85" s="181" t="s">
        <v>308</v>
      </c>
      <c r="BH85" s="182">
        <f>IFERROR(SUM(SUBSTITUTE(U85,"/s",""),V85:Z85),0)</f>
        <v>0</v>
      </c>
      <c r="BI85" s="182" t="e">
        <f>SUM(SUBSTITUTE(AD85,"/s",""),AE85:AI85)</f>
        <v>#VALUE!</v>
      </c>
      <c r="BJ85" s="182">
        <f>SUM(AM85:AR85)</f>
        <v>0</v>
      </c>
      <c r="BK85" s="182">
        <f>SUM(AV85:BA85)</f>
        <v>0</v>
      </c>
      <c r="BL85" s="195"/>
      <c r="BM85" s="184"/>
      <c r="BN85" s="182" t="s">
        <v>317</v>
      </c>
      <c r="BO85" s="182">
        <f>IF(B83="ME",(BL84),0)+IF(B85="ME",(BL86),0)+IF(B87="ME",(BL88),0)+IF(B89="ME",(BL90),0)+IF(B91="ME",(BL92),0)+IF(B93="ME",(BL94),0)+IF(B95="ME",(BL96),0)+IF(B97="ME",(BL98),0)</f>
        <v>0</v>
      </c>
      <c r="BP85" s="185" t="e">
        <f>(BO85/$BO$87)*100</f>
        <v>#N/A</v>
      </c>
      <c r="BS85" s="181" t="s">
        <v>308</v>
      </c>
      <c r="BT85" s="50">
        <f>IF($B85="PE",BH85,"")</f>
        <v>0</v>
      </c>
      <c r="BU85" s="186" t="e">
        <f>IF($B85="PE",BI85,"")</f>
        <v>#VALUE!</v>
      </c>
      <c r="BV85" s="186">
        <f>IF($B85="PE",BJ85,"")</f>
        <v>0</v>
      </c>
      <c r="BW85" s="186">
        <f>IF($B85="PE",BK85,"")</f>
        <v>0</v>
      </c>
      <c r="BX85" s="187" t="e">
        <f t="shared" ref="BX85:BX98" si="3">IFERROR(BT85+BU85+BV85+BW85,NA())</f>
        <v>#N/A</v>
      </c>
    </row>
    <row r="86" spans="1:161" s="34" customFormat="1" ht="25" customHeight="1">
      <c r="A86" s="129"/>
      <c r="B86" s="129"/>
      <c r="C86" s="129"/>
      <c r="D86" s="128"/>
      <c r="E86" s="129"/>
      <c r="F86" s="128"/>
      <c r="G86" s="128"/>
      <c r="H86" s="129"/>
      <c r="J86" s="36"/>
      <c r="K86" s="188"/>
      <c r="L86" s="189"/>
      <c r="M86" s="189"/>
      <c r="N86" s="189"/>
      <c r="O86" s="189"/>
      <c r="P86" s="190"/>
      <c r="Q86" s="191"/>
      <c r="R86" s="192"/>
      <c r="S86" s="193"/>
      <c r="T86" s="111"/>
      <c r="U86" s="177"/>
      <c r="V86" s="177"/>
      <c r="W86" s="177"/>
      <c r="X86" s="177"/>
      <c r="Y86" s="177"/>
      <c r="Z86" s="177"/>
      <c r="AA86" s="178"/>
      <c r="AB86" s="194"/>
      <c r="AC86" s="178"/>
      <c r="AD86" s="178"/>
      <c r="AE86" s="178"/>
      <c r="AF86" s="178"/>
      <c r="AG86" s="178"/>
      <c r="AH86" s="178"/>
      <c r="AI86" s="178"/>
      <c r="AJ86" s="178"/>
      <c r="AK86" s="194"/>
      <c r="AL86" s="178"/>
      <c r="AM86" s="178"/>
      <c r="AN86" s="178"/>
      <c r="AO86" s="178"/>
      <c r="AP86" s="178"/>
      <c r="AQ86" s="178"/>
      <c r="AR86" s="178"/>
      <c r="AS86" s="178"/>
      <c r="AT86" s="194"/>
      <c r="AU86" s="178"/>
      <c r="AV86" s="178"/>
      <c r="AW86" s="178"/>
      <c r="AX86" s="178"/>
      <c r="AY86" s="178"/>
      <c r="AZ86" s="178"/>
      <c r="BA86" s="178"/>
      <c r="BB86" s="180"/>
      <c r="BC86" s="36"/>
      <c r="BG86" s="181" t="s">
        <v>310</v>
      </c>
      <c r="BH86" s="182">
        <f>IFERROR((SUBSTITUTE(U85,"/s","")*U86)+(V85*V86)+(W85*W86)+(X85*X86)+(Y85*Y86)+(Z85*Z86),0)</f>
        <v>0</v>
      </c>
      <c r="BI86" s="182">
        <f>IFERROR((SUBSTITUTE(AD85,"/s","")*AD86)+(AE85*AE86)+(AF85*AF86)+(AG85*AG86)+(AH85*AH86)+(AI85*AI86),0)</f>
        <v>0</v>
      </c>
      <c r="BJ86" s="182" t="str">
        <f>IFERROR((AM85*AM86)+(AN85*AN86)+(AO85*AO86)+(AP85*AP86)+(AQ85*AQ86)+(AR85*AR86),"")</f>
        <v/>
      </c>
      <c r="BK86" s="182" t="str">
        <f>IFERROR((AV85*AV86)+(AW85*AW86)+(AX85*AX86)+(AY85*AY86)+(AZ85*AZ86)+(BA85*BA86),"")</f>
        <v/>
      </c>
      <c r="BL86" s="195" t="e">
        <f>IFERROR(BH86+BI86+BJ86+BK86,NA())</f>
        <v>#N/A</v>
      </c>
      <c r="BM86" s="184"/>
      <c r="BN86" s="182" t="s">
        <v>244</v>
      </c>
      <c r="BO86" s="182">
        <f>IF(B83="RE",(BL84),0)+IF(B85="RE",(BL86),0)+IF(B87="RE",(BL88),0)+IF(B89="RE",(BL90),0)+IF(B91="RE",(BL92),0)+IF(B93="RE",(BL94),0)+IF(B95="RE",(BL96),0)+IF(B97="RE",(BL98),0)</f>
        <v>0</v>
      </c>
      <c r="BP86" s="185" t="e">
        <f>(BO86/$BO$87)*100</f>
        <v>#N/A</v>
      </c>
      <c r="BS86" s="181" t="s">
        <v>310</v>
      </c>
      <c r="BT86" s="50" t="e">
        <f>IF($B85="PE",(BH86*$E85*$F85),0)</f>
        <v>#N/A</v>
      </c>
      <c r="BU86" s="186" t="e">
        <f>IF($B85="PE",(BI86*$E85*$F85),0)</f>
        <v>#N/A</v>
      </c>
      <c r="BV86" s="186" t="e">
        <f>IF($B85="PE",(BJ86*$E85*$F85),0)</f>
        <v>#VALUE!</v>
      </c>
      <c r="BW86" s="186" t="e">
        <f>IF($B85="PE",(BK86*$E85*$F85),0)</f>
        <v>#VALUE!</v>
      </c>
      <c r="BX86" s="187" t="e">
        <f t="shared" si="3"/>
        <v>#N/A</v>
      </c>
    </row>
    <row r="87" spans="1:161" s="34" customFormat="1" ht="25" customHeight="1">
      <c r="A87" s="127" t="s">
        <v>319</v>
      </c>
      <c r="B87" s="127" t="s">
        <v>317</v>
      </c>
      <c r="C87" s="127" t="s">
        <v>337</v>
      </c>
      <c r="D87" s="128" t="str">
        <f>IFERROR(INDEX([2]!Table1RM[#Data],MATCH($M$56,[2]!Table1RM[Athlete],0),MATCH($L87,[2]!Table1RM[#Headers],0)),"")</f>
        <v/>
      </c>
      <c r="E87" s="127" t="str">
        <f>IF($B87="PE",INDEX([2]ExerciseInventory!$J$2:$L$276,MATCH($L87,[2]ExerciseInventory!$J$2:$J$287,0),2),"")</f>
        <v/>
      </c>
      <c r="F87" s="128" t="str">
        <f>IF($B87="PE",INDEX([2]ExerciseInventory!$J$2:$L$276,MATCH($L87,[2]ExerciseInventory!$J$2:$J$287,0),3),"")</f>
        <v/>
      </c>
      <c r="G87" s="128"/>
      <c r="H87" s="127"/>
      <c r="J87" s="36"/>
      <c r="K87" s="196" t="s">
        <v>110</v>
      </c>
      <c r="L87" s="197" t="s">
        <v>184</v>
      </c>
      <c r="M87" s="197"/>
      <c r="N87" s="197"/>
      <c r="O87" s="197"/>
      <c r="P87" s="198"/>
      <c r="Q87" s="199"/>
      <c r="R87" s="200"/>
      <c r="S87" s="175" t="str">
        <f>CLEAN(IFERROR(INDEX(TableSetRepSchemes,MATCH(#REF!,ListSetRepSchemes,0),COLUMNS($R87:S87)),""))</f>
        <v/>
      </c>
      <c r="T87" s="111"/>
      <c r="U87" s="176" t="s">
        <v>338</v>
      </c>
      <c r="V87" s="177"/>
      <c r="W87" s="177"/>
      <c r="X87" s="177"/>
      <c r="Y87" s="177"/>
      <c r="Z87" s="177"/>
      <c r="AA87" s="178"/>
      <c r="AB87" s="179" t="str">
        <f>CLEAN(IFERROR(INDEX(TableSetRepSchemes,MATCH('1'!$C87,ListSetRepSchemes,0),COLUMNS($R87:AB87)),""))</f>
        <v/>
      </c>
      <c r="AC87" s="178"/>
      <c r="AD87" s="178">
        <f>IFERROR(INDEX(TableSetRepSchemes,MATCH('1'!$C87,ListSetRepSchemes,0),COLUMNS($R87:AD87)),"")</f>
        <v>6</v>
      </c>
      <c r="AE87" s="178">
        <f>IFERROR(INDEX(TableSetRepSchemes,MATCH('1'!$C87,ListSetRepSchemes,0),COLUMNS($R87:AE87)),"")</f>
        <v>6</v>
      </c>
      <c r="AF87" s="178">
        <f>IFERROR(INDEX(TableSetRepSchemes,MATCH('1'!$C87,ListSetRepSchemes,0),COLUMNS($R87:AF87)),"")</f>
        <v>6</v>
      </c>
      <c r="AG87" s="178">
        <f>IFERROR(INDEX(TableSetRepSchemes,MATCH('1'!$C87,ListSetRepSchemes,0),COLUMNS($R87:AG87)),"")</f>
        <v>0</v>
      </c>
      <c r="AH87" s="178">
        <f>IFERROR(INDEX(TableSetRepSchemes,MATCH('1'!$C87,ListSetRepSchemes,0),COLUMNS($R87:AH87)),"")</f>
        <v>0</v>
      </c>
      <c r="AI87" s="178">
        <f>IFERROR(INDEX(TableSetRepSchemes,MATCH('1'!$C87,ListSetRepSchemes,0),COLUMNS($R87:AI87)),"")</f>
        <v>0</v>
      </c>
      <c r="AJ87" s="178"/>
      <c r="AK87" s="179" t="str">
        <f>CLEAN(IFERROR(INDEX(TableSetRepSchemes,MATCH('1'!$C87,ListSetRepSchemes,0),COLUMNS($R87:AK87)),""))</f>
        <v/>
      </c>
      <c r="AL87" s="178"/>
      <c r="AM87" s="178">
        <f>IFERROR(INDEX(TableSetRepSchemes,MATCH('1'!$C87,ListSetRepSchemes,0),COLUMNS($R87:AM87)),"")</f>
        <v>6</v>
      </c>
      <c r="AN87" s="178">
        <f>IFERROR(INDEX(TableSetRepSchemes,MATCH('1'!$C87,ListSetRepSchemes,0),COLUMNS($R87:AN87)),"")</f>
        <v>6</v>
      </c>
      <c r="AO87" s="178">
        <f>IFERROR(INDEX(TableSetRepSchemes,MATCH('1'!$C87,ListSetRepSchemes,0),COLUMNS($R87:AO87)),"")</f>
        <v>6</v>
      </c>
      <c r="AP87" s="178">
        <f>IFERROR(INDEX(TableSetRepSchemes,MATCH('1'!$C87,ListSetRepSchemes,0),COLUMNS($R87:AP87)),"")</f>
        <v>0</v>
      </c>
      <c r="AQ87" s="178">
        <f>IFERROR(INDEX(TableSetRepSchemes,MATCH('1'!$C87,ListSetRepSchemes,0),COLUMNS($R87:AQ87)),"")</f>
        <v>0</v>
      </c>
      <c r="AR87" s="178">
        <f>IFERROR(INDEX(TableSetRepSchemes,MATCH('1'!$C87,ListSetRepSchemes,0),COLUMNS($R87:AR87)),"")</f>
        <v>0</v>
      </c>
      <c r="AS87" s="178"/>
      <c r="AT87" s="179" t="str">
        <f>CLEAN(IFERROR(INDEX(TableSetRepSchemes,MATCH('1'!$C87,ListSetRepSchemes,0),COLUMNS($R87:AT87)),""))</f>
        <v/>
      </c>
      <c r="AU87" s="178"/>
      <c r="AV87" s="178">
        <f>IFERROR(INDEX(TableSetRepSchemes,MATCH('1'!$C87,ListSetRepSchemes,0),COLUMNS($R87:AV87)),"")</f>
        <v>6</v>
      </c>
      <c r="AW87" s="178">
        <f>IFERROR(INDEX(TableSetRepSchemes,MATCH('1'!$C87,ListSetRepSchemes,0),COLUMNS($R87:AW87)),"")</f>
        <v>6</v>
      </c>
      <c r="AX87" s="178">
        <f>IFERROR(INDEX(TableSetRepSchemes,MATCH('1'!$C87,ListSetRepSchemes,0),COLUMNS($R87:AX87)),"")</f>
        <v>6</v>
      </c>
      <c r="AY87" s="178">
        <f>IFERROR(INDEX(TableSetRepSchemes,MATCH('1'!$C87,ListSetRepSchemes,0),COLUMNS($R87:AY87)),"")</f>
        <v>0</v>
      </c>
      <c r="AZ87" s="178">
        <f>IFERROR(INDEX(TableSetRepSchemes,MATCH('1'!$C87,ListSetRepSchemes,0),COLUMNS($R87:AZ87)),"")</f>
        <v>0</v>
      </c>
      <c r="BA87" s="178">
        <f>IFERROR(INDEX(TableSetRepSchemes,MATCH('1'!$C87,ListSetRepSchemes,0),COLUMNS($R87:BA87)),"")</f>
        <v>0</v>
      </c>
      <c r="BB87" s="180"/>
      <c r="BC87" s="36"/>
      <c r="BG87" s="181" t="s">
        <v>308</v>
      </c>
      <c r="BH87" s="182">
        <f>IFERROR(SUM(SUBSTITUTE(U87,"/s",""),V87:Z87),0)</f>
        <v>0</v>
      </c>
      <c r="BI87" s="182">
        <f>SUM(SUBSTITUTE(AD87,"/s",""),AE87:AI87)</f>
        <v>18</v>
      </c>
      <c r="BJ87" s="182">
        <f>SUM(AM87:AR87)</f>
        <v>18</v>
      </c>
      <c r="BK87" s="182">
        <f>SUM(AV87:BA87)</f>
        <v>18</v>
      </c>
      <c r="BL87" s="195"/>
      <c r="BM87" s="184"/>
      <c r="BN87" s="182" t="s">
        <v>321</v>
      </c>
      <c r="BO87" s="182" t="e">
        <f>SUM(BO83:BO86)</f>
        <v>#N/A</v>
      </c>
      <c r="BP87" s="182"/>
      <c r="BS87" s="181" t="s">
        <v>308</v>
      </c>
      <c r="BT87" s="50" t="str">
        <f>IF($B87="PE",BH87,"")</f>
        <v/>
      </c>
      <c r="BU87" s="186" t="str">
        <f>IF($B87="PE",BI87,"")</f>
        <v/>
      </c>
      <c r="BV87" s="186" t="str">
        <f>IF($B87="PE",BJ87,"")</f>
        <v/>
      </c>
      <c r="BW87" s="186" t="str">
        <f>IF($B87="PE",BK87,"")</f>
        <v/>
      </c>
      <c r="BX87" s="187" t="e">
        <f t="shared" si="3"/>
        <v>#N/A</v>
      </c>
    </row>
    <row r="88" spans="1:161" s="34" customFormat="1" ht="25" customHeight="1">
      <c r="A88" s="129"/>
      <c r="B88" s="129"/>
      <c r="C88" s="129"/>
      <c r="D88" s="128"/>
      <c r="E88" s="129"/>
      <c r="F88" s="128"/>
      <c r="G88" s="128"/>
      <c r="H88" s="129"/>
      <c r="J88" s="36"/>
      <c r="K88" s="201"/>
      <c r="L88" s="202"/>
      <c r="M88" s="202"/>
      <c r="N88" s="202"/>
      <c r="O88" s="202"/>
      <c r="P88" s="203"/>
      <c r="Q88" s="204"/>
      <c r="R88" s="205"/>
      <c r="S88" s="193"/>
      <c r="T88" s="111"/>
      <c r="U88" s="177"/>
      <c r="V88" s="177"/>
      <c r="W88" s="177"/>
      <c r="X88" s="177"/>
      <c r="Y88" s="177"/>
      <c r="Z88" s="177"/>
      <c r="AA88" s="178"/>
      <c r="AB88" s="194"/>
      <c r="AC88" s="178"/>
      <c r="AD88" s="178"/>
      <c r="AE88" s="178"/>
      <c r="AF88" s="178"/>
      <c r="AG88" s="178"/>
      <c r="AH88" s="178"/>
      <c r="AI88" s="178"/>
      <c r="AJ88" s="178"/>
      <c r="AK88" s="194"/>
      <c r="AL88" s="178"/>
      <c r="AM88" s="178"/>
      <c r="AN88" s="178"/>
      <c r="AO88" s="178"/>
      <c r="AP88" s="178"/>
      <c r="AQ88" s="178"/>
      <c r="AR88" s="178"/>
      <c r="AS88" s="178"/>
      <c r="AT88" s="194"/>
      <c r="AU88" s="178"/>
      <c r="AV88" s="178"/>
      <c r="AW88" s="178"/>
      <c r="AX88" s="178"/>
      <c r="AY88" s="178"/>
      <c r="AZ88" s="178"/>
      <c r="BA88" s="178"/>
      <c r="BB88" s="180"/>
      <c r="BC88" s="36"/>
      <c r="BG88" s="181" t="s">
        <v>310</v>
      </c>
      <c r="BH88" s="182">
        <f>IFERROR((SUBSTITUTE(U87,"/s","")*U88)+(V87*V88)+(W87*W88)+(X87*X88)+(Y87*Y88)+(Z87*Z88),0)</f>
        <v>0</v>
      </c>
      <c r="BI88" s="182">
        <f>IFERROR((SUBSTITUTE(AD87,"/s","")*AD88)+(AE87*AE88)+(AF87*AF88)+(AG87*AG88)+(AH87*AH88)+(AI87*AI88),0)</f>
        <v>0</v>
      </c>
      <c r="BJ88" s="182">
        <f>IFERROR((AM87*AM88)+(AN87*AN88)+(AO87*AO88)+(AP87*AP88)+(AQ87*AQ88)+(AR87*AR88),"")</f>
        <v>0</v>
      </c>
      <c r="BK88" s="182">
        <f>IFERROR((AV87*AV88)+(AW87*AW88)+(AX87*AX88)+(AY87*AY88)+(AZ87*AZ88)+(BA87*BA88),"")</f>
        <v>0</v>
      </c>
      <c r="BL88" s="195">
        <f>IFERROR(BH88+BI88+BJ88+BK88,NA())</f>
        <v>0</v>
      </c>
      <c r="BM88" s="184"/>
      <c r="BN88" s="184"/>
      <c r="BO88" s="184"/>
      <c r="BP88" s="184"/>
      <c r="BS88" s="181" t="s">
        <v>310</v>
      </c>
      <c r="BT88" s="50">
        <f>IF($B87="PE",(BH88*$E87*$F87),0)</f>
        <v>0</v>
      </c>
      <c r="BU88" s="186">
        <f>IF($B87="PE",(BI88*$E87*$F87),0)</f>
        <v>0</v>
      </c>
      <c r="BV88" s="186">
        <f>IF($B87="PE",(BJ88*$E87*$F87),0)</f>
        <v>0</v>
      </c>
      <c r="BW88" s="186">
        <f>IF($B87="PE",(BK88*$E87*$F87),0)</f>
        <v>0</v>
      </c>
      <c r="BX88" s="187">
        <f t="shared" si="3"/>
        <v>0</v>
      </c>
    </row>
    <row r="89" spans="1:161" s="34" customFormat="1" ht="25" customHeight="1">
      <c r="A89" s="127"/>
      <c r="B89" s="127"/>
      <c r="C89" s="127" t="s">
        <v>306</v>
      </c>
      <c r="D89" s="128" t="str">
        <f>IFERROR(INDEX([2]!Table1RM[#Data],MATCH($M$56,[2]!Table1RM[Athlete],0),MATCH($L89,[2]!Table1RM[#Headers],0)),"")</f>
        <v/>
      </c>
      <c r="E89" s="127" t="str">
        <f>IF($B89="PE",INDEX([2]ExerciseInventory!$J$2:$L$276,MATCH($L89,[2]ExerciseInventory!$J$2:$J$287,0),2),"")</f>
        <v/>
      </c>
      <c r="F89" s="128" t="str">
        <f>IF($B89="PE",INDEX([2]ExerciseInventory!$J$2:$L$276,MATCH($L89,[2]ExerciseInventory!$J$2:$J$287,0),3),"")</f>
        <v/>
      </c>
      <c r="G89" s="128"/>
      <c r="H89" s="127"/>
      <c r="J89" s="36"/>
      <c r="K89" s="196" t="s">
        <v>111</v>
      </c>
      <c r="L89" s="197" t="s">
        <v>185</v>
      </c>
      <c r="M89" s="197"/>
      <c r="N89" s="197"/>
      <c r="O89" s="197"/>
      <c r="P89" s="198"/>
      <c r="Q89" s="199"/>
      <c r="R89" s="200"/>
      <c r="S89" s="175" t="str">
        <f>CLEAN(IFERROR(INDEX(TableSetRepSchemes,MATCH(#REF!,ListSetRepSchemes,0),COLUMNS($R89:S89)),""))</f>
        <v/>
      </c>
      <c r="T89" s="111"/>
      <c r="U89" s="176" t="s">
        <v>339</v>
      </c>
      <c r="V89" s="177"/>
      <c r="W89" s="177"/>
      <c r="X89" s="177"/>
      <c r="Y89" s="177"/>
      <c r="Z89" s="177"/>
      <c r="AA89" s="178"/>
      <c r="AB89" s="179" t="str">
        <f>CLEAN(IFERROR(INDEX(TableSetRepSchemes,MATCH('1'!$C89,ListSetRepSchemes,0),COLUMNS($R89:AB89)),""))</f>
        <v/>
      </c>
      <c r="AC89" s="178"/>
      <c r="AD89" s="178">
        <f>IFERROR(INDEX(TableSetRepSchemes,MATCH('1'!$C89,ListSetRepSchemes,0),COLUMNS($R89:AD89)),"")</f>
        <v>8</v>
      </c>
      <c r="AE89" s="178">
        <f>IFERROR(INDEX(TableSetRepSchemes,MATCH('1'!$C89,ListSetRepSchemes,0),COLUMNS($R89:AE89)),"")</f>
        <v>8</v>
      </c>
      <c r="AF89" s="178">
        <f>IFERROR(INDEX(TableSetRepSchemes,MATCH('1'!$C89,ListSetRepSchemes,0),COLUMNS($R89:AF89)),"")</f>
        <v>8</v>
      </c>
      <c r="AG89" s="178">
        <f>IFERROR(INDEX(TableSetRepSchemes,MATCH('1'!$C89,ListSetRepSchemes,0),COLUMNS($R89:AG89)),"")</f>
        <v>0</v>
      </c>
      <c r="AH89" s="178">
        <f>IFERROR(INDEX(TableSetRepSchemes,MATCH('1'!$C89,ListSetRepSchemes,0),COLUMNS($R89:AH89)),"")</f>
        <v>0</v>
      </c>
      <c r="AI89" s="178">
        <f>IFERROR(INDEX(TableSetRepSchemes,MATCH('1'!$C89,ListSetRepSchemes,0),COLUMNS($R89:AI89)),"")</f>
        <v>0</v>
      </c>
      <c r="AJ89" s="178"/>
      <c r="AK89" s="179" t="str">
        <f>CLEAN(IFERROR(INDEX(TableSetRepSchemes,MATCH('1'!$C89,ListSetRepSchemes,0),COLUMNS($R89:AK89)),""))</f>
        <v/>
      </c>
      <c r="AL89" s="178"/>
      <c r="AM89" s="178">
        <f>IFERROR(INDEX(TableSetRepSchemes,MATCH('1'!$C89,ListSetRepSchemes,0),COLUMNS($R89:AM89)),"")</f>
        <v>8</v>
      </c>
      <c r="AN89" s="178">
        <f>IFERROR(INDEX(TableSetRepSchemes,MATCH('1'!$C89,ListSetRepSchemes,0),COLUMNS($R89:AN89)),"")</f>
        <v>8</v>
      </c>
      <c r="AO89" s="178">
        <f>IFERROR(INDEX(TableSetRepSchemes,MATCH('1'!$C89,ListSetRepSchemes,0),COLUMNS($R89:AO89)),"")</f>
        <v>8</v>
      </c>
      <c r="AP89" s="178">
        <f>IFERROR(INDEX(TableSetRepSchemes,MATCH('1'!$C89,ListSetRepSchemes,0),COLUMNS($R89:AP89)),"")</f>
        <v>0</v>
      </c>
      <c r="AQ89" s="178">
        <f>IFERROR(INDEX(TableSetRepSchemes,MATCH('1'!$C89,ListSetRepSchemes,0),COLUMNS($R89:AQ89)),"")</f>
        <v>0</v>
      </c>
      <c r="AR89" s="178">
        <f>IFERROR(INDEX(TableSetRepSchemes,MATCH('1'!$C89,ListSetRepSchemes,0),COLUMNS($R89:AR89)),"")</f>
        <v>0</v>
      </c>
      <c r="AS89" s="178"/>
      <c r="AT89" s="179" t="str">
        <f>CLEAN(IFERROR(INDEX(TableSetRepSchemes,MATCH('1'!$C89,ListSetRepSchemes,0),COLUMNS($R89:AT89)),""))</f>
        <v/>
      </c>
      <c r="AU89" s="178"/>
      <c r="AV89" s="178">
        <f>IFERROR(INDEX(TableSetRepSchemes,MATCH('1'!$C89,ListSetRepSchemes,0),COLUMNS($R89:AV89)),"")</f>
        <v>8</v>
      </c>
      <c r="AW89" s="178">
        <f>IFERROR(INDEX(TableSetRepSchemes,MATCH('1'!$C89,ListSetRepSchemes,0),COLUMNS($R89:AW89)),"")</f>
        <v>8</v>
      </c>
      <c r="AX89" s="178">
        <f>IFERROR(INDEX(TableSetRepSchemes,MATCH('1'!$C89,ListSetRepSchemes,0),COLUMNS($R89:AX89)),"")</f>
        <v>8</v>
      </c>
      <c r="AY89" s="178">
        <f>IFERROR(INDEX(TableSetRepSchemes,MATCH('1'!$C89,ListSetRepSchemes,0),COLUMNS($R89:AY89)),"")</f>
        <v>0</v>
      </c>
      <c r="AZ89" s="178">
        <f>IFERROR(INDEX(TableSetRepSchemes,MATCH('1'!$C89,ListSetRepSchemes,0),COLUMNS($R89:AZ89)),"")</f>
        <v>0</v>
      </c>
      <c r="BA89" s="178">
        <f>IFERROR(INDEX(TableSetRepSchemes,MATCH('1'!$C89,ListSetRepSchemes,0),COLUMNS($R89:BA89)),"")</f>
        <v>0</v>
      </c>
      <c r="BB89" s="180"/>
      <c r="BC89" s="36"/>
      <c r="BG89" s="181" t="s">
        <v>308</v>
      </c>
      <c r="BH89" s="182">
        <f>IFERROR(SUM(SUBSTITUTE(U89,"/s",""),V89:Z89),0)</f>
        <v>0</v>
      </c>
      <c r="BI89" s="182">
        <f>SUM(SUBSTITUTE(AD89,"/s",""),AE89:AI89)</f>
        <v>24</v>
      </c>
      <c r="BJ89" s="182">
        <f>SUM(AM89:AR89)</f>
        <v>24</v>
      </c>
      <c r="BK89" s="182">
        <f>SUM(AV89:BA89)</f>
        <v>24</v>
      </c>
      <c r="BL89" s="195"/>
      <c r="BM89" s="184"/>
      <c r="BN89" s="184"/>
      <c r="BO89" s="184"/>
      <c r="BP89" s="184"/>
      <c r="BS89" s="181" t="s">
        <v>308</v>
      </c>
      <c r="BT89" s="50" t="str">
        <f>IF($B89="PE",BH89,"")</f>
        <v/>
      </c>
      <c r="BU89" s="186" t="str">
        <f>IF($B89="PE",BI89,"")</f>
        <v/>
      </c>
      <c r="BV89" s="186" t="str">
        <f>IF($B89="PE",BJ89,"")</f>
        <v/>
      </c>
      <c r="BW89" s="186" t="str">
        <f>IF($B89="PE",BK89,"")</f>
        <v/>
      </c>
      <c r="BX89" s="187" t="e">
        <f t="shared" si="3"/>
        <v>#N/A</v>
      </c>
    </row>
    <row r="90" spans="1:161" s="34" customFormat="1" ht="25" customHeight="1">
      <c r="A90" s="129"/>
      <c r="B90" s="129"/>
      <c r="C90" s="129"/>
      <c r="D90" s="128"/>
      <c r="E90" s="129"/>
      <c r="F90" s="128"/>
      <c r="G90" s="128"/>
      <c r="H90" s="129"/>
      <c r="J90" s="36"/>
      <c r="K90" s="201"/>
      <c r="L90" s="202"/>
      <c r="M90" s="202"/>
      <c r="N90" s="202"/>
      <c r="O90" s="202"/>
      <c r="P90" s="203"/>
      <c r="Q90" s="204"/>
      <c r="R90" s="205"/>
      <c r="S90" s="193"/>
      <c r="T90" s="111"/>
      <c r="U90" s="177"/>
      <c r="V90" s="177"/>
      <c r="W90" s="177"/>
      <c r="X90" s="177"/>
      <c r="Y90" s="177"/>
      <c r="Z90" s="177"/>
      <c r="AA90" s="178"/>
      <c r="AB90" s="194"/>
      <c r="AC90" s="178"/>
      <c r="AD90" s="178"/>
      <c r="AE90" s="178"/>
      <c r="AF90" s="178"/>
      <c r="AG90" s="178"/>
      <c r="AH90" s="178"/>
      <c r="AI90" s="178"/>
      <c r="AJ90" s="178"/>
      <c r="AK90" s="194"/>
      <c r="AL90" s="178"/>
      <c r="AM90" s="178"/>
      <c r="AN90" s="178"/>
      <c r="AO90" s="178"/>
      <c r="AP90" s="178"/>
      <c r="AQ90" s="178"/>
      <c r="AR90" s="178"/>
      <c r="AS90" s="178"/>
      <c r="AT90" s="194"/>
      <c r="AU90" s="178"/>
      <c r="AV90" s="178"/>
      <c r="AW90" s="178"/>
      <c r="AX90" s="178"/>
      <c r="AY90" s="178"/>
      <c r="AZ90" s="178"/>
      <c r="BA90" s="178"/>
      <c r="BB90" s="180"/>
      <c r="BC90" s="36"/>
      <c r="BG90" s="181" t="s">
        <v>310</v>
      </c>
      <c r="BH90" s="182">
        <f>IFERROR((SUBSTITUTE(U89,"/s","")*U90)+(V89*V90)+(W89*W90)+(X89*X90)+(Y89*Y90)+(Z89*Z90),0)</f>
        <v>0</v>
      </c>
      <c r="BI90" s="182">
        <f>IFERROR((SUBSTITUTE(AD89,"/s","")*AD90)+(AE89*AE90)+(AF89*AF90)+(AG89*AG90)+(AH89*AH90)+(AI89*AI90),0)</f>
        <v>0</v>
      </c>
      <c r="BJ90" s="182">
        <f>IFERROR((AM89*AM90)+(AN89*AN90)+(AO89*AO90)+(AP89*AP90)+(AQ89*AQ90)+(AR89*AR90),"")</f>
        <v>0</v>
      </c>
      <c r="BK90" s="182">
        <f>IFERROR((AV89*AV90)+(AW89*AW90)+(AX89*AX90)+(AY89*AY90)+(AZ89*AZ90)+(BA89*BA90),"")</f>
        <v>0</v>
      </c>
      <c r="BL90" s="195">
        <f>IFERROR(BH90+BI90+BJ90+BK90,NA())</f>
        <v>0</v>
      </c>
      <c r="BM90" s="184"/>
      <c r="BN90" s="184"/>
      <c r="BO90" s="184"/>
      <c r="BP90" s="184"/>
      <c r="BS90" s="181" t="s">
        <v>310</v>
      </c>
      <c r="BT90" s="50">
        <f>IF($B89="PE",(BH90*$E89*$F89),0)</f>
        <v>0</v>
      </c>
      <c r="BU90" s="186">
        <f>IF($B89="PE",(BI90*$E89*$F89),0)</f>
        <v>0</v>
      </c>
      <c r="BV90" s="186">
        <f>IF($B89="PE",(BJ90*$E89*$F89),0)</f>
        <v>0</v>
      </c>
      <c r="BW90" s="186">
        <f>IF($B89="PE",(BK90*$E89*$F89),0)</f>
        <v>0</v>
      </c>
      <c r="BX90" s="187">
        <f t="shared" si="3"/>
        <v>0</v>
      </c>
    </row>
    <row r="91" spans="1:161" s="34" customFormat="1" ht="25" customHeight="1">
      <c r="A91" s="127" t="s">
        <v>323</v>
      </c>
      <c r="B91" s="127" t="s">
        <v>244</v>
      </c>
      <c r="C91" s="127" t="s">
        <v>324</v>
      </c>
      <c r="D91" s="128" t="str">
        <f>IFERROR(INDEX([2]!Table1RM[#Data],MATCH($M$56,[2]!Table1RM[Athlete],0),MATCH($L91,[2]!Table1RM[#Headers],0)),"")</f>
        <v/>
      </c>
      <c r="E91" s="127" t="str">
        <f>IF($B91="PE",INDEX([2]ExerciseInventory!$J$2:$L$276,MATCH($L91,[2]ExerciseInventory!$J$2:$J$287,0),2),"")</f>
        <v/>
      </c>
      <c r="F91" s="128" t="str">
        <f>IF($B91="PE",INDEX([2]ExerciseInventory!$J$2:$L$276,MATCH($L91,[2]ExerciseInventory!$J$2:$J$287,0),3),"")</f>
        <v/>
      </c>
      <c r="G91" s="128"/>
      <c r="H91" s="127"/>
      <c r="J91" s="36"/>
      <c r="K91" s="170" t="s">
        <v>113</v>
      </c>
      <c r="L91" s="171" t="s">
        <v>340</v>
      </c>
      <c r="M91" s="171"/>
      <c r="N91" s="171"/>
      <c r="O91" s="171"/>
      <c r="P91" s="172"/>
      <c r="Q91" s="173"/>
      <c r="R91" s="174"/>
      <c r="S91" s="175" t="str">
        <f>CLEAN(IFERROR(INDEX(TableSetRepSchemes,MATCH(#REF!,ListSetRepSchemes,0),COLUMNS($R91:S91)),""))</f>
        <v/>
      </c>
      <c r="T91" s="111"/>
      <c r="U91" s="176" t="s">
        <v>341</v>
      </c>
      <c r="V91" s="177"/>
      <c r="W91" s="177"/>
      <c r="X91" s="177"/>
      <c r="Y91" s="177"/>
      <c r="Z91" s="177"/>
      <c r="AA91" s="178"/>
      <c r="AB91" s="179" t="str">
        <f>CLEAN(IFERROR(INDEX(TableSetRepSchemes,MATCH('1'!$C91,ListSetRepSchemes,0),COLUMNS($R91:AB91)),""))</f>
        <v/>
      </c>
      <c r="AC91" s="178"/>
      <c r="AD91" s="178">
        <f>IFERROR(INDEX(TableSetRepSchemes,MATCH('1'!$C91,ListSetRepSchemes,0),COLUMNS($R91:AD91)),"")</f>
        <v>8</v>
      </c>
      <c r="AE91" s="178">
        <f>IFERROR(INDEX(TableSetRepSchemes,MATCH('1'!$C91,ListSetRepSchemes,0),COLUMNS($R91:AE91)),"")</f>
        <v>8</v>
      </c>
      <c r="AF91" s="178">
        <f>IFERROR(INDEX(TableSetRepSchemes,MATCH('1'!$C91,ListSetRepSchemes,0),COLUMNS($R91:AF91)),"")</f>
        <v>8</v>
      </c>
      <c r="AG91" s="178">
        <f>IFERROR(INDEX(TableSetRepSchemes,MATCH('1'!$C91,ListSetRepSchemes,0),COLUMNS($R91:AG91)),"")</f>
        <v>0</v>
      </c>
      <c r="AH91" s="178">
        <f>IFERROR(INDEX(TableSetRepSchemes,MATCH('1'!$C91,ListSetRepSchemes,0),COLUMNS($R91:AH91)),"")</f>
        <v>0</v>
      </c>
      <c r="AI91" s="178">
        <f>IFERROR(INDEX(TableSetRepSchemes,MATCH('1'!$C91,ListSetRepSchemes,0),COLUMNS($R91:AI91)),"")</f>
        <v>0</v>
      </c>
      <c r="AJ91" s="178"/>
      <c r="AK91" s="179" t="str">
        <f>CLEAN(IFERROR(INDEX(TableSetRepSchemes,MATCH('1'!$C91,ListSetRepSchemes,0),COLUMNS($R91:AK91)),""))</f>
        <v/>
      </c>
      <c r="AL91" s="178"/>
      <c r="AM91" s="178">
        <f>IFERROR(INDEX(TableSetRepSchemes,MATCH('1'!$C91,ListSetRepSchemes,0),COLUMNS($R91:AM91)),"")</f>
        <v>9</v>
      </c>
      <c r="AN91" s="178">
        <f>IFERROR(INDEX(TableSetRepSchemes,MATCH('1'!$C91,ListSetRepSchemes,0),COLUMNS($R91:AN91)),"")</f>
        <v>9</v>
      </c>
      <c r="AO91" s="178">
        <f>IFERROR(INDEX(TableSetRepSchemes,MATCH('1'!$C91,ListSetRepSchemes,0),COLUMNS($R91:AO91)),"")</f>
        <v>9</v>
      </c>
      <c r="AP91" s="178">
        <f>IFERROR(INDEX(TableSetRepSchemes,MATCH('1'!$C91,ListSetRepSchemes,0),COLUMNS($R91:AP91)),"")</f>
        <v>0</v>
      </c>
      <c r="AQ91" s="178">
        <f>IFERROR(INDEX(TableSetRepSchemes,MATCH('1'!$C91,ListSetRepSchemes,0),COLUMNS($R91:AQ91)),"")</f>
        <v>0</v>
      </c>
      <c r="AR91" s="178">
        <f>IFERROR(INDEX(TableSetRepSchemes,MATCH('1'!$C91,ListSetRepSchemes,0),COLUMNS($R91:AR91)),"")</f>
        <v>0</v>
      </c>
      <c r="AS91" s="178"/>
      <c r="AT91" s="179" t="str">
        <f>CLEAN(IFERROR(INDEX(TableSetRepSchemes,MATCH('1'!$C91,ListSetRepSchemes,0),COLUMNS($R91:AT91)),""))</f>
        <v/>
      </c>
      <c r="AU91" s="178"/>
      <c r="AV91" s="178">
        <f>IFERROR(INDEX(TableSetRepSchemes,MATCH('1'!$C91,ListSetRepSchemes,0),COLUMNS($R91:AV91)),"")</f>
        <v>10</v>
      </c>
      <c r="AW91" s="178">
        <f>IFERROR(INDEX(TableSetRepSchemes,MATCH('1'!$C91,ListSetRepSchemes,0),COLUMNS($R91:AW91)),"")</f>
        <v>10</v>
      </c>
      <c r="AX91" s="178">
        <f>IFERROR(INDEX(TableSetRepSchemes,MATCH('1'!$C91,ListSetRepSchemes,0),COLUMNS($R91:AX91)),"")</f>
        <v>10</v>
      </c>
      <c r="AY91" s="178">
        <f>IFERROR(INDEX(TableSetRepSchemes,MATCH('1'!$C91,ListSetRepSchemes,0),COLUMNS($R91:AY91)),"")</f>
        <v>0</v>
      </c>
      <c r="AZ91" s="178">
        <f>IFERROR(INDEX(TableSetRepSchemes,MATCH('1'!$C91,ListSetRepSchemes,0),COLUMNS($R91:AZ91)),"")</f>
        <v>0</v>
      </c>
      <c r="BA91" s="178">
        <f>IFERROR(INDEX(TableSetRepSchemes,MATCH('1'!$C91,ListSetRepSchemes,0),COLUMNS($R91:BA91)),"")</f>
        <v>0</v>
      </c>
      <c r="BB91" s="180"/>
      <c r="BC91" s="36"/>
      <c r="BG91" s="181" t="s">
        <v>308</v>
      </c>
      <c r="BH91" s="182">
        <f>IFERROR(SUM(SUBSTITUTE(U91,"/s",""),V91:Z91),0)</f>
        <v>0</v>
      </c>
      <c r="BI91" s="182">
        <f>SUM(SUBSTITUTE(AD91,"/s",""),AE91:AI91)</f>
        <v>24</v>
      </c>
      <c r="BJ91" s="182">
        <f>SUM(AM91:AR91)</f>
        <v>27</v>
      </c>
      <c r="BK91" s="182">
        <f>SUM(AV91:BA91)</f>
        <v>30</v>
      </c>
      <c r="BL91" s="195"/>
      <c r="BM91" s="184"/>
      <c r="BN91" s="184"/>
      <c r="BO91" s="184"/>
      <c r="BP91" s="184"/>
      <c r="BS91" s="181" t="s">
        <v>308</v>
      </c>
      <c r="BT91" s="50" t="str">
        <f>IF($B91="PE",BH91,"")</f>
        <v/>
      </c>
      <c r="BU91" s="186" t="str">
        <f>IF($B91="PE",BI91,"")</f>
        <v/>
      </c>
      <c r="BV91" s="186" t="str">
        <f>IF($B91="PE",BJ91,"")</f>
        <v/>
      </c>
      <c r="BW91" s="186" t="str">
        <f>IF($B91="PE",BK91,"")</f>
        <v/>
      </c>
      <c r="BX91" s="187" t="e">
        <f t="shared" si="3"/>
        <v>#N/A</v>
      </c>
    </row>
    <row r="92" spans="1:161" s="34" customFormat="1" ht="25" customHeight="1">
      <c r="A92" s="129"/>
      <c r="B92" s="129"/>
      <c r="C92" s="129"/>
      <c r="D92" s="128"/>
      <c r="E92" s="129"/>
      <c r="F92" s="128"/>
      <c r="G92" s="128"/>
      <c r="H92" s="129"/>
      <c r="J92" s="36"/>
      <c r="K92" s="188"/>
      <c r="L92" s="189"/>
      <c r="M92" s="189"/>
      <c r="N92" s="189"/>
      <c r="O92" s="189"/>
      <c r="P92" s="190"/>
      <c r="Q92" s="191" t="s">
        <v>331</v>
      </c>
      <c r="R92" s="192"/>
      <c r="S92" s="193"/>
      <c r="T92" s="111"/>
      <c r="U92" s="177"/>
      <c r="V92" s="177"/>
      <c r="W92" s="177"/>
      <c r="X92" s="177"/>
      <c r="Y92" s="177"/>
      <c r="Z92" s="177"/>
      <c r="AA92" s="178"/>
      <c r="AB92" s="194"/>
      <c r="AC92" s="178"/>
      <c r="AD92" s="178"/>
      <c r="AE92" s="178"/>
      <c r="AF92" s="178"/>
      <c r="AG92" s="178"/>
      <c r="AH92" s="178"/>
      <c r="AI92" s="178"/>
      <c r="AJ92" s="178"/>
      <c r="AK92" s="194"/>
      <c r="AL92" s="178"/>
      <c r="AM92" s="178"/>
      <c r="AN92" s="178"/>
      <c r="AO92" s="178"/>
      <c r="AP92" s="178"/>
      <c r="AQ92" s="178"/>
      <c r="AR92" s="178"/>
      <c r="AS92" s="178"/>
      <c r="AT92" s="194"/>
      <c r="AU92" s="178"/>
      <c r="AV92" s="178"/>
      <c r="AW92" s="178"/>
      <c r="AX92" s="178"/>
      <c r="AY92" s="178"/>
      <c r="AZ92" s="178"/>
      <c r="BA92" s="178"/>
      <c r="BB92" s="180"/>
      <c r="BC92" s="36"/>
      <c r="BG92" s="181" t="s">
        <v>310</v>
      </c>
      <c r="BH92" s="182">
        <f>IFERROR((SUBSTITUTE(U91,"/s","")*U92)+(V91*V92)+(W91*W92)+(X91*X92)+(Y91*Y92)+(Z91*Z92),0)</f>
        <v>0</v>
      </c>
      <c r="BI92" s="182">
        <f>IFERROR((SUBSTITUTE(AD91,"/s","")*AD92)+(AE91*AE92)+(AF91*AF92)+(AG91*AG92)+(AH91*AH92)+(AI91*AI92),0)</f>
        <v>0</v>
      </c>
      <c r="BJ92" s="182">
        <f>IFERROR((AM91*AM92)+(AN91*AN92)+(AO91*AO92)+(AP91*AP92)+(AQ91*AQ92)+(AR91*AR92),"")</f>
        <v>0</v>
      </c>
      <c r="BK92" s="182">
        <f>IFERROR((AV91*AV92)+(AW91*AW92)+(AX91*AX92)+(AY91*AY92)+(AZ91*AZ92)+(BA91*BA92),"")</f>
        <v>0</v>
      </c>
      <c r="BL92" s="195">
        <f>IFERROR(BH92+BI92+BJ92+BK92,NA())</f>
        <v>0</v>
      </c>
      <c r="BM92" s="184"/>
      <c r="BN92" s="184"/>
      <c r="BO92" s="184"/>
      <c r="BP92" s="184"/>
      <c r="BS92" s="181" t="s">
        <v>310</v>
      </c>
      <c r="BT92" s="50">
        <f>IF($B91="PE",(BH92*$E91*$F91),0)</f>
        <v>0</v>
      </c>
      <c r="BU92" s="186">
        <f>IF($B91="PE",(BI92*$E91*$F91),0)</f>
        <v>0</v>
      </c>
      <c r="BV92" s="186">
        <f>IF($B91="PE",(BJ92*$E91*$F91),0)</f>
        <v>0</v>
      </c>
      <c r="BW92" s="186">
        <f>IF($B91="PE",(BK92*$E91*$F91),0)</f>
        <v>0</v>
      </c>
      <c r="BX92" s="187">
        <f t="shared" si="3"/>
        <v>0</v>
      </c>
    </row>
    <row r="93" spans="1:161" s="34" customFormat="1" ht="25" customHeight="1">
      <c r="A93" s="127" t="s">
        <v>323</v>
      </c>
      <c r="B93" s="127" t="s">
        <v>244</v>
      </c>
      <c r="C93" s="127" t="s">
        <v>324</v>
      </c>
      <c r="D93" s="128" t="str">
        <f>IFERROR(INDEX([2]!Table1RM[#Data],MATCH($M$56,[2]!Table1RM[Athlete],0),MATCH($L93,[2]!Table1RM[#Headers],0)),"")</f>
        <v/>
      </c>
      <c r="E93" s="127" t="str">
        <f>IF($B93="PE",INDEX([2]ExerciseInventory!$J$2:$L$276,MATCH($L93,[2]ExerciseInventory!$J$2:$J$287,0),2),"")</f>
        <v/>
      </c>
      <c r="F93" s="128" t="str">
        <f>IF($B93="PE",INDEX([2]ExerciseInventory!$J$2:$L$276,MATCH($L93,[2]ExerciseInventory!$J$2:$J$287,0),3),"")</f>
        <v/>
      </c>
      <c r="G93" s="128"/>
      <c r="H93" s="127"/>
      <c r="J93" s="36"/>
      <c r="K93" s="170" t="s">
        <v>114</v>
      </c>
      <c r="L93" s="171" t="s">
        <v>342</v>
      </c>
      <c r="M93" s="171"/>
      <c r="N93" s="171"/>
      <c r="O93" s="171"/>
      <c r="P93" s="172"/>
      <c r="Q93" s="173" t="s">
        <v>343</v>
      </c>
      <c r="R93" s="174"/>
      <c r="S93" s="175" t="str">
        <f>CLEAN(IFERROR(INDEX(TableSetRepSchemes,MATCH(#REF!,ListSetRepSchemes,0),COLUMNS($R93:S93)),""))</f>
        <v/>
      </c>
      <c r="T93" s="111"/>
      <c r="U93" s="176" t="s">
        <v>344</v>
      </c>
      <c r="V93" s="177"/>
      <c r="W93" s="177"/>
      <c r="X93" s="177"/>
      <c r="Y93" s="177"/>
      <c r="Z93" s="177"/>
      <c r="AA93" s="178"/>
      <c r="AB93" s="179" t="str">
        <f>CLEAN(IFERROR(INDEX(TableSetRepSchemes,MATCH('1'!$C93,ListSetRepSchemes,0),COLUMNS($R93:AB93)),""))</f>
        <v/>
      </c>
      <c r="AC93" s="178"/>
      <c r="AD93" s="178">
        <f>IFERROR(INDEX(TableSetRepSchemes,MATCH('1'!$C93,ListSetRepSchemes,0),COLUMNS($R93:AD93)),"")</f>
        <v>8</v>
      </c>
      <c r="AE93" s="178">
        <f>IFERROR(INDEX(TableSetRepSchemes,MATCH('1'!$C93,ListSetRepSchemes,0),COLUMNS($R93:AE93)),"")</f>
        <v>8</v>
      </c>
      <c r="AF93" s="178">
        <f>IFERROR(INDEX(TableSetRepSchemes,MATCH('1'!$C93,ListSetRepSchemes,0),COLUMNS($R93:AF93)),"")</f>
        <v>8</v>
      </c>
      <c r="AG93" s="178">
        <f>IFERROR(INDEX(TableSetRepSchemes,MATCH('1'!$C93,ListSetRepSchemes,0),COLUMNS($R93:AG93)),"")</f>
        <v>0</v>
      </c>
      <c r="AH93" s="178">
        <f>IFERROR(INDEX(TableSetRepSchemes,MATCH('1'!$C93,ListSetRepSchemes,0),COLUMNS($R93:AH93)),"")</f>
        <v>0</v>
      </c>
      <c r="AI93" s="178">
        <f>IFERROR(INDEX(TableSetRepSchemes,MATCH('1'!$C93,ListSetRepSchemes,0),COLUMNS($R93:AI93)),"")</f>
        <v>0</v>
      </c>
      <c r="AJ93" s="178"/>
      <c r="AK93" s="179" t="str">
        <f>CLEAN(IFERROR(INDEX(TableSetRepSchemes,MATCH('1'!$C93,ListSetRepSchemes,0),COLUMNS($R93:AK93)),""))</f>
        <v/>
      </c>
      <c r="AL93" s="178"/>
      <c r="AM93" s="178">
        <f>IFERROR(INDEX(TableSetRepSchemes,MATCH('1'!$C93,ListSetRepSchemes,0),COLUMNS($R93:AM93)),"")</f>
        <v>9</v>
      </c>
      <c r="AN93" s="178">
        <f>IFERROR(INDEX(TableSetRepSchemes,MATCH('1'!$C93,ListSetRepSchemes,0),COLUMNS($R93:AN93)),"")</f>
        <v>9</v>
      </c>
      <c r="AO93" s="178">
        <f>IFERROR(INDEX(TableSetRepSchemes,MATCH('1'!$C93,ListSetRepSchemes,0),COLUMNS($R93:AO93)),"")</f>
        <v>9</v>
      </c>
      <c r="AP93" s="178">
        <f>IFERROR(INDEX(TableSetRepSchemes,MATCH('1'!$C93,ListSetRepSchemes,0),COLUMNS($R93:AP93)),"")</f>
        <v>0</v>
      </c>
      <c r="AQ93" s="178">
        <f>IFERROR(INDEX(TableSetRepSchemes,MATCH('1'!$C93,ListSetRepSchemes,0),COLUMNS($R93:AQ93)),"")</f>
        <v>0</v>
      </c>
      <c r="AR93" s="178">
        <f>IFERROR(INDEX(TableSetRepSchemes,MATCH('1'!$C93,ListSetRepSchemes,0),COLUMNS($R93:AR93)),"")</f>
        <v>0</v>
      </c>
      <c r="AS93" s="178"/>
      <c r="AT93" s="179" t="str">
        <f>CLEAN(IFERROR(INDEX(TableSetRepSchemes,MATCH('1'!$C93,ListSetRepSchemes,0),COLUMNS($R93:AT93)),""))</f>
        <v/>
      </c>
      <c r="AU93" s="178"/>
      <c r="AV93" s="178">
        <f>IFERROR(INDEX(TableSetRepSchemes,MATCH('1'!$C93,ListSetRepSchemes,0),COLUMNS($R93:AV93)),"")</f>
        <v>10</v>
      </c>
      <c r="AW93" s="178">
        <f>IFERROR(INDEX(TableSetRepSchemes,MATCH('1'!$C93,ListSetRepSchemes,0),COLUMNS($R93:AW93)),"")</f>
        <v>10</v>
      </c>
      <c r="AX93" s="178">
        <f>IFERROR(INDEX(TableSetRepSchemes,MATCH('1'!$C93,ListSetRepSchemes,0),COLUMNS($R93:AX93)),"")</f>
        <v>10</v>
      </c>
      <c r="AY93" s="178">
        <f>IFERROR(INDEX(TableSetRepSchemes,MATCH('1'!$C93,ListSetRepSchemes,0),COLUMNS($R93:AY93)),"")</f>
        <v>0</v>
      </c>
      <c r="AZ93" s="178">
        <f>IFERROR(INDEX(TableSetRepSchemes,MATCH('1'!$C93,ListSetRepSchemes,0),COLUMNS($R93:AZ93)),"")</f>
        <v>0</v>
      </c>
      <c r="BA93" s="178">
        <f>IFERROR(INDEX(TableSetRepSchemes,MATCH('1'!$C93,ListSetRepSchemes,0),COLUMNS($R93:BA93)),"")</f>
        <v>0</v>
      </c>
      <c r="BB93" s="180"/>
      <c r="BC93" s="36"/>
      <c r="BG93" s="181" t="s">
        <v>308</v>
      </c>
      <c r="BH93" s="182">
        <f>IFERROR(SUM(SUBSTITUTE(U93,"/s",""),V93:Z93),0)</f>
        <v>0</v>
      </c>
      <c r="BI93" s="182">
        <f>SUM(SUBSTITUTE(AD93,"/s",""),AE93:AI93)</f>
        <v>24</v>
      </c>
      <c r="BJ93" s="182">
        <f>SUM(AM93:AR93)</f>
        <v>27</v>
      </c>
      <c r="BK93" s="182">
        <f>SUM(AV93:BA93)</f>
        <v>30</v>
      </c>
      <c r="BL93" s="195"/>
      <c r="BM93" s="184"/>
      <c r="BN93" s="184"/>
      <c r="BO93" s="184"/>
      <c r="BP93" s="184"/>
      <c r="BS93" s="181" t="s">
        <v>308</v>
      </c>
      <c r="BT93" s="50" t="str">
        <f>IF($B93="PE",BH93,"")</f>
        <v/>
      </c>
      <c r="BU93" s="186" t="str">
        <f>IF($B93="PE",BI93,"")</f>
        <v/>
      </c>
      <c r="BV93" s="186" t="str">
        <f>IF($B93="PE",BJ93,"")</f>
        <v/>
      </c>
      <c r="BW93" s="186" t="str">
        <f>IF($B93="PE",BK93,"")</f>
        <v/>
      </c>
      <c r="BX93" s="187" t="e">
        <f t="shared" si="3"/>
        <v>#N/A</v>
      </c>
    </row>
    <row r="94" spans="1:161" s="34" customFormat="1" ht="25" customHeight="1">
      <c r="A94" s="129"/>
      <c r="B94" s="129"/>
      <c r="C94" s="129"/>
      <c r="D94" s="128"/>
      <c r="E94" s="129"/>
      <c r="F94" s="128"/>
      <c r="G94" s="128"/>
      <c r="H94" s="129"/>
      <c r="J94" s="36"/>
      <c r="K94" s="188"/>
      <c r="L94" s="189"/>
      <c r="M94" s="189"/>
      <c r="N94" s="189"/>
      <c r="O94" s="189"/>
      <c r="P94" s="190"/>
      <c r="Q94" s="191"/>
      <c r="R94" s="192"/>
      <c r="S94" s="193"/>
      <c r="T94" s="111"/>
      <c r="U94" s="177"/>
      <c r="V94" s="177"/>
      <c r="W94" s="177"/>
      <c r="X94" s="177"/>
      <c r="Y94" s="177"/>
      <c r="Z94" s="177"/>
      <c r="AA94" s="178"/>
      <c r="AB94" s="194"/>
      <c r="AC94" s="178"/>
      <c r="AD94" s="178"/>
      <c r="AE94" s="178"/>
      <c r="AF94" s="178"/>
      <c r="AG94" s="178"/>
      <c r="AH94" s="178"/>
      <c r="AI94" s="178"/>
      <c r="AJ94" s="178"/>
      <c r="AK94" s="194"/>
      <c r="AL94" s="178"/>
      <c r="AM94" s="178"/>
      <c r="AN94" s="178"/>
      <c r="AO94" s="178"/>
      <c r="AP94" s="178"/>
      <c r="AQ94" s="178"/>
      <c r="AR94" s="178"/>
      <c r="AS94" s="178"/>
      <c r="AT94" s="194"/>
      <c r="AU94" s="178"/>
      <c r="AV94" s="178"/>
      <c r="AW94" s="178"/>
      <c r="AX94" s="178"/>
      <c r="AY94" s="178"/>
      <c r="AZ94" s="178"/>
      <c r="BA94" s="178"/>
      <c r="BB94" s="180"/>
      <c r="BC94" s="36"/>
      <c r="BG94" s="181" t="s">
        <v>310</v>
      </c>
      <c r="BH94" s="182">
        <f>IFERROR((SUBSTITUTE(U93,"/s","")*U94)+(V93*V94)+(W93*W94)+(X93*X94)+(Y93*Y94)+(Z93*Z94),0)</f>
        <v>0</v>
      </c>
      <c r="BI94" s="182">
        <f>IFERROR((SUBSTITUTE(AD93,"/s","")*AD94)+(AE93*AE94)+(AF93*AF94)+(AG93*AG94)+(AH93*AH94)+(AI93*AI94),0)</f>
        <v>0</v>
      </c>
      <c r="BJ94" s="182">
        <f>IFERROR((AM93*AM94)+(AN93*AN94)+(AO93*AO94)+(AP93*AP94)+(AQ93*AQ94)+(AR93*AR94),"")</f>
        <v>0</v>
      </c>
      <c r="BK94" s="182">
        <f>IFERROR((AV93*AV94)+(AW93*AW94)+(AX93*AX94)+(AY93*AY94)+(AZ93*AZ94)+(BA93*BA94),"")</f>
        <v>0</v>
      </c>
      <c r="BL94" s="195">
        <f>IFERROR(BH94+BI94+BJ94+BK94,NA())</f>
        <v>0</v>
      </c>
      <c r="BM94" s="184"/>
      <c r="BN94" s="184"/>
      <c r="BO94" s="184"/>
      <c r="BP94" s="184"/>
      <c r="BS94" s="181" t="s">
        <v>310</v>
      </c>
      <c r="BT94" s="50">
        <f>IF($B93="PE",(BH94*$E93*$F93),0)</f>
        <v>0</v>
      </c>
      <c r="BU94" s="186">
        <f>IF($B93="PE",(BI94*$E93*$F93),0)</f>
        <v>0</v>
      </c>
      <c r="BV94" s="186">
        <f>IF($B93="PE",(BJ94*$E93*$F93),0)</f>
        <v>0</v>
      </c>
      <c r="BW94" s="186">
        <f>IF($B93="PE",(BK94*$E93*$F93),0)</f>
        <v>0</v>
      </c>
      <c r="BX94" s="187">
        <f t="shared" si="3"/>
        <v>0</v>
      </c>
    </row>
    <row r="95" spans="1:161" s="34" customFormat="1" ht="25" customHeight="1">
      <c r="A95" s="127" t="s">
        <v>305</v>
      </c>
      <c r="B95" s="127" t="s">
        <v>317</v>
      </c>
      <c r="C95" s="127" t="s">
        <v>245</v>
      </c>
      <c r="D95" s="128" t="str">
        <f>IFERROR(INDEX([2]!Table1RM[#Data],MATCH($M$56,[2]!Table1RM[Athlete],0),MATCH($L95,[2]!Table1RM[#Headers],0)),"")</f>
        <v/>
      </c>
      <c r="E95" s="127" t="str">
        <f>IF($B95="PE",INDEX([2]ExerciseInventory!$J$2:$L$276,MATCH($L95,[2]ExerciseInventory!$J$2:$J$287,0),2),"")</f>
        <v/>
      </c>
      <c r="F95" s="128" t="str">
        <f>IF($B95="PE",INDEX([2]ExerciseInventory!$J$2:$L$276,MATCH($L95,[2]ExerciseInventory!$J$2:$J$287,0),3),"")</f>
        <v/>
      </c>
      <c r="G95" s="128"/>
      <c r="H95" s="127"/>
      <c r="J95" s="36"/>
      <c r="K95" s="170"/>
      <c r="L95" s="171"/>
      <c r="M95" s="171"/>
      <c r="N95" s="171"/>
      <c r="O95" s="171"/>
      <c r="P95" s="172"/>
      <c r="Q95" s="173"/>
      <c r="R95" s="174"/>
      <c r="S95" s="175" t="str">
        <f>CLEAN(IFERROR(INDEX(TableSetRepSchemes,MATCH(#REF!,ListSetRepSchemes,0),COLUMNS($R95:S95)),""))</f>
        <v/>
      </c>
      <c r="T95" s="111"/>
      <c r="U95" s="176"/>
      <c r="V95" s="177"/>
      <c r="W95" s="177"/>
      <c r="X95" s="177"/>
      <c r="Y95" s="177"/>
      <c r="Z95" s="177"/>
      <c r="AA95" s="178"/>
      <c r="AB95" s="179" t="str">
        <f>CLEAN(IFERROR(INDEX(TableSetRepSchemes,MATCH('1'!$C95,ListSetRepSchemes,0),COLUMNS($R95:AB95)),""))</f>
        <v/>
      </c>
      <c r="AC95" s="178"/>
      <c r="AD95" s="178">
        <f>IFERROR(INDEX(TableSetRepSchemes,MATCH('1'!$C95,ListSetRepSchemes,0),COLUMNS($R95:AD95)),"")</f>
        <v>0</v>
      </c>
      <c r="AE95" s="178">
        <f>IFERROR(INDEX(TableSetRepSchemes,MATCH('1'!$C95,ListSetRepSchemes,0),COLUMNS($R95:AE95)),"")</f>
        <v>0</v>
      </c>
      <c r="AF95" s="178">
        <f>IFERROR(INDEX(TableSetRepSchemes,MATCH('1'!$C95,ListSetRepSchemes,0),COLUMNS($R95:AF95)),"")</f>
        <v>0</v>
      </c>
      <c r="AG95" s="178">
        <f>IFERROR(INDEX(TableSetRepSchemes,MATCH('1'!$C95,ListSetRepSchemes,0),COLUMNS($R95:AG95)),"")</f>
        <v>0</v>
      </c>
      <c r="AH95" s="178">
        <f>IFERROR(INDEX(TableSetRepSchemes,MATCH('1'!$C95,ListSetRepSchemes,0),COLUMNS($R95:AH95)),"")</f>
        <v>0</v>
      </c>
      <c r="AI95" s="178">
        <f>IFERROR(INDEX(TableSetRepSchemes,MATCH('1'!$C95,ListSetRepSchemes,0),COLUMNS($R95:AI95)),"")</f>
        <v>0</v>
      </c>
      <c r="AJ95" s="178"/>
      <c r="AK95" s="179" t="str">
        <f>CLEAN(IFERROR(INDEX(TableSetRepSchemes,MATCH('1'!$C95,ListSetRepSchemes,0),COLUMNS($R95:AK95)),""))</f>
        <v/>
      </c>
      <c r="AL95" s="178"/>
      <c r="AM95" s="178">
        <f>IFERROR(INDEX(TableSetRepSchemes,MATCH('1'!$C95,ListSetRepSchemes,0),COLUMNS($R95:AM95)),"")</f>
        <v>0</v>
      </c>
      <c r="AN95" s="178">
        <f>IFERROR(INDEX(TableSetRepSchemes,MATCH('1'!$C95,ListSetRepSchemes,0),COLUMNS($R95:AN95)),"")</f>
        <v>0</v>
      </c>
      <c r="AO95" s="178">
        <f>IFERROR(INDEX(TableSetRepSchemes,MATCH('1'!$C95,ListSetRepSchemes,0),COLUMNS($R95:AO95)),"")</f>
        <v>0</v>
      </c>
      <c r="AP95" s="178">
        <f>IFERROR(INDEX(TableSetRepSchemes,MATCH('1'!$C95,ListSetRepSchemes,0),COLUMNS($R95:AP95)),"")</f>
        <v>0</v>
      </c>
      <c r="AQ95" s="178">
        <f>IFERROR(INDEX(TableSetRepSchemes,MATCH('1'!$C95,ListSetRepSchemes,0),COLUMNS($R95:AQ95)),"")</f>
        <v>0</v>
      </c>
      <c r="AR95" s="178">
        <f>IFERROR(INDEX(TableSetRepSchemes,MATCH('1'!$C95,ListSetRepSchemes,0),COLUMNS($R95:AR95)),"")</f>
        <v>0</v>
      </c>
      <c r="AS95" s="178"/>
      <c r="AT95" s="179" t="str">
        <f>CLEAN(IFERROR(INDEX(TableSetRepSchemes,MATCH('1'!$C95,ListSetRepSchemes,0),COLUMNS($R95:AT95)),""))</f>
        <v/>
      </c>
      <c r="AU95" s="178"/>
      <c r="AV95" s="178">
        <f>IFERROR(INDEX(TableSetRepSchemes,MATCH('1'!$C95,ListSetRepSchemes,0),COLUMNS($R95:AV95)),"")</f>
        <v>0</v>
      </c>
      <c r="AW95" s="178">
        <f>IFERROR(INDEX(TableSetRepSchemes,MATCH('1'!$C95,ListSetRepSchemes,0),COLUMNS($R95:AW95)),"")</f>
        <v>0</v>
      </c>
      <c r="AX95" s="178">
        <f>IFERROR(INDEX(TableSetRepSchemes,MATCH('1'!$C95,ListSetRepSchemes,0),COLUMNS($R95:AX95)),"")</f>
        <v>0</v>
      </c>
      <c r="AY95" s="178">
        <f>IFERROR(INDEX(TableSetRepSchemes,MATCH('1'!$C95,ListSetRepSchemes,0),COLUMNS($R95:AY95)),"")</f>
        <v>0</v>
      </c>
      <c r="AZ95" s="178">
        <f>IFERROR(INDEX(TableSetRepSchemes,MATCH('1'!$C95,ListSetRepSchemes,0),COLUMNS($R95:AZ95)),"")</f>
        <v>0</v>
      </c>
      <c r="BA95" s="178">
        <f>IFERROR(INDEX(TableSetRepSchemes,MATCH('1'!$C95,ListSetRepSchemes,0),COLUMNS($R95:BA95)),"")</f>
        <v>0</v>
      </c>
      <c r="BB95" s="180"/>
      <c r="BC95" s="36"/>
      <c r="BG95" s="181" t="s">
        <v>308</v>
      </c>
      <c r="BH95" s="182">
        <f>IFERROR(SUM(SUBSTITUTE(U95,"/s",""),V95:Z95),0)</f>
        <v>0</v>
      </c>
      <c r="BI95" s="182">
        <f>SUM(SUBSTITUTE(AD95,"/s",""),AE95:AI95)</f>
        <v>0</v>
      </c>
      <c r="BJ95" s="182">
        <f>SUM(AM95:AR95)</f>
        <v>0</v>
      </c>
      <c r="BK95" s="182">
        <f>SUM(AV95:BA95)</f>
        <v>0</v>
      </c>
      <c r="BL95" s="195"/>
      <c r="BM95" s="184"/>
      <c r="BN95" s="184"/>
      <c r="BO95" s="184"/>
      <c r="BP95" s="184"/>
      <c r="BS95" s="181" t="s">
        <v>308</v>
      </c>
      <c r="BT95" s="50" t="str">
        <f>IF($B95="PE",BH95,"")</f>
        <v/>
      </c>
      <c r="BU95" s="186" t="str">
        <f>IF($B95="PE",BI95,"")</f>
        <v/>
      </c>
      <c r="BV95" s="186" t="str">
        <f>IF($B95="PE",BJ95,"")</f>
        <v/>
      </c>
      <c r="BW95" s="186" t="str">
        <f>IF($B95="PE",BK95,"")</f>
        <v/>
      </c>
      <c r="BX95" s="187" t="e">
        <f t="shared" si="3"/>
        <v>#N/A</v>
      </c>
    </row>
    <row r="96" spans="1:161" s="34" customFormat="1" ht="25" customHeight="1">
      <c r="A96" s="129"/>
      <c r="B96" s="129"/>
      <c r="C96" s="129"/>
      <c r="D96" s="128"/>
      <c r="E96" s="129"/>
      <c r="F96" s="128"/>
      <c r="G96" s="128"/>
      <c r="H96" s="129"/>
      <c r="J96" s="36"/>
      <c r="K96" s="188"/>
      <c r="L96" s="189"/>
      <c r="M96" s="189"/>
      <c r="N96" s="189"/>
      <c r="O96" s="189"/>
      <c r="P96" s="190"/>
      <c r="Q96" s="191"/>
      <c r="R96" s="192"/>
      <c r="S96" s="193"/>
      <c r="T96" s="111"/>
      <c r="U96" s="177"/>
      <c r="V96" s="177"/>
      <c r="W96" s="177"/>
      <c r="X96" s="177"/>
      <c r="Y96" s="177"/>
      <c r="Z96" s="177"/>
      <c r="AA96" s="178"/>
      <c r="AB96" s="194"/>
      <c r="AC96" s="178"/>
      <c r="AD96" s="178"/>
      <c r="AE96" s="178"/>
      <c r="AF96" s="178"/>
      <c r="AG96" s="178"/>
      <c r="AH96" s="178"/>
      <c r="AI96" s="178"/>
      <c r="AJ96" s="178"/>
      <c r="AK96" s="194"/>
      <c r="AL96" s="178"/>
      <c r="AM96" s="178"/>
      <c r="AN96" s="178"/>
      <c r="AO96" s="178"/>
      <c r="AP96" s="178"/>
      <c r="AQ96" s="178"/>
      <c r="AR96" s="178"/>
      <c r="AS96" s="178"/>
      <c r="AT96" s="194"/>
      <c r="AU96" s="178"/>
      <c r="AV96" s="178"/>
      <c r="AW96" s="178"/>
      <c r="AX96" s="178"/>
      <c r="AY96" s="178"/>
      <c r="AZ96" s="178"/>
      <c r="BA96" s="178"/>
      <c r="BB96" s="180"/>
      <c r="BC96" s="36"/>
      <c r="BG96" s="181" t="s">
        <v>310</v>
      </c>
      <c r="BH96" s="182">
        <f>IFERROR((SUBSTITUTE(U95,"/s","")*U96)+(V95*V96)+(W95*W96)+(X95*X96)+(Y95*Y96)+(Z95*Z96),0)</f>
        <v>0</v>
      </c>
      <c r="BI96" s="182">
        <f>IFERROR((SUBSTITUTE(AD95,"/s","")*AD96)+(AE95*AE96)+(AF95*AF96)+(AG95*AG96)+(AH95*AH96)+(AI95*AI96),0)</f>
        <v>0</v>
      </c>
      <c r="BJ96" s="182">
        <f>IFERROR((AM95*AM96)+(AN95*AN96)+(AO95*AO96)+(AP95*AP96)+(AQ95*AQ96)+(AR95*AR96),"")</f>
        <v>0</v>
      </c>
      <c r="BK96" s="182">
        <f>IFERROR((AV95*AV96)+(AW95*AW96)+(AX95*AX96)+(AY95*AY96)+(AZ95*AZ96)+(BA95*BA96),"")</f>
        <v>0</v>
      </c>
      <c r="BL96" s="195">
        <f>IFERROR(BH96+BI96+BJ96+BK96,NA())</f>
        <v>0</v>
      </c>
      <c r="BM96" s="184"/>
      <c r="BN96" s="184"/>
      <c r="BO96" s="184"/>
      <c r="BP96" s="184"/>
      <c r="BS96" s="181" t="s">
        <v>310</v>
      </c>
      <c r="BT96" s="50">
        <f>IF($B95="PE",(BH96*$E95*$F95),0)</f>
        <v>0</v>
      </c>
      <c r="BU96" s="186">
        <f>IF($B95="PE",(BI96*$E95*$F95),0)</f>
        <v>0</v>
      </c>
      <c r="BV96" s="186">
        <f>IF($B95="PE",(BJ96*$E95*$F95),0)</f>
        <v>0</v>
      </c>
      <c r="BW96" s="186">
        <f>IF($B95="PE",(BK96*$E95*$F95),0)</f>
        <v>0</v>
      </c>
      <c r="BX96" s="187">
        <f t="shared" si="3"/>
        <v>0</v>
      </c>
    </row>
    <row r="97" spans="1:161" s="34" customFormat="1" ht="25" customHeight="1">
      <c r="A97" s="127"/>
      <c r="B97" s="127"/>
      <c r="C97" s="127" t="s">
        <v>245</v>
      </c>
      <c r="D97" s="128" t="str">
        <f>IFERROR(INDEX([2]!Table1RM[#Data],MATCH($M$56,[2]!Table1RM[Athlete],0),MATCH($L97,[2]!Table1RM[#Headers],0)),"")</f>
        <v/>
      </c>
      <c r="E97" s="127" t="str">
        <f>IF($B97="PE",INDEX([2]ExerciseInventory!$J$2:$L$276,MATCH($L97,[2]ExerciseInventory!$J$2:$J$287,0),2),"")</f>
        <v/>
      </c>
      <c r="F97" s="128" t="str">
        <f>IF($B97="PE",INDEX([2]ExerciseInventory!$J$2:$L$276,MATCH($L97,[2]ExerciseInventory!$J$2:$J$287,0),3),"")</f>
        <v/>
      </c>
      <c r="G97" s="128"/>
      <c r="H97" s="127"/>
      <c r="J97" s="36"/>
      <c r="K97" s="170"/>
      <c r="L97" s="171"/>
      <c r="M97" s="171"/>
      <c r="N97" s="171"/>
      <c r="O97" s="171"/>
      <c r="P97" s="172"/>
      <c r="Q97" s="173"/>
      <c r="R97" s="174"/>
      <c r="S97" s="175" t="str">
        <f>CLEAN(IFERROR(INDEX(TableSetRepSchemes,MATCH(#REF!,ListSetRepSchemes,0),COLUMNS($R97:S97)),""))</f>
        <v/>
      </c>
      <c r="T97" s="111"/>
      <c r="U97" s="176"/>
      <c r="V97" s="177"/>
      <c r="W97" s="177"/>
      <c r="X97" s="177"/>
      <c r="Y97" s="177"/>
      <c r="Z97" s="177"/>
      <c r="AA97" s="178"/>
      <c r="AB97" s="179" t="str">
        <f>CLEAN(IFERROR(INDEX(TableSetRepSchemes,MATCH('1'!$C97,ListSetRepSchemes,0),COLUMNS($R97:AB97)),""))</f>
        <v/>
      </c>
      <c r="AC97" s="178"/>
      <c r="AD97" s="178">
        <f>IFERROR(INDEX(TableSetRepSchemes,MATCH('1'!$C97,ListSetRepSchemes,0),COLUMNS($R97:AD97)),"")</f>
        <v>0</v>
      </c>
      <c r="AE97" s="178">
        <f>IFERROR(INDEX(TableSetRepSchemes,MATCH('1'!$C97,ListSetRepSchemes,0),COLUMNS($R97:AE97)),"")</f>
        <v>0</v>
      </c>
      <c r="AF97" s="178">
        <f>IFERROR(INDEX(TableSetRepSchemes,MATCH('1'!$C97,ListSetRepSchemes,0),COLUMNS($R97:AF97)),"")</f>
        <v>0</v>
      </c>
      <c r="AG97" s="178">
        <f>IFERROR(INDEX(TableSetRepSchemes,MATCH('1'!$C97,ListSetRepSchemes,0),COLUMNS($R97:AG97)),"")</f>
        <v>0</v>
      </c>
      <c r="AH97" s="178">
        <f>IFERROR(INDEX(TableSetRepSchemes,MATCH('1'!$C97,ListSetRepSchemes,0),COLUMNS($R97:AH97)),"")</f>
        <v>0</v>
      </c>
      <c r="AI97" s="178">
        <f>IFERROR(INDEX(TableSetRepSchemes,MATCH('1'!$C97,ListSetRepSchemes,0),COLUMNS($R97:AI97)),"")</f>
        <v>0</v>
      </c>
      <c r="AJ97" s="178"/>
      <c r="AK97" s="179" t="str">
        <f>CLEAN(IFERROR(INDEX(TableSetRepSchemes,MATCH('1'!$C97,ListSetRepSchemes,0),COLUMNS($R97:AK97)),""))</f>
        <v/>
      </c>
      <c r="AL97" s="178"/>
      <c r="AM97" s="178">
        <f>IFERROR(INDEX(TableSetRepSchemes,MATCH('1'!$C97,ListSetRepSchemes,0),COLUMNS($R97:AM97)),"")</f>
        <v>0</v>
      </c>
      <c r="AN97" s="178">
        <f>IFERROR(INDEX(TableSetRepSchemes,MATCH('1'!$C97,ListSetRepSchemes,0),COLUMNS($R97:AN97)),"")</f>
        <v>0</v>
      </c>
      <c r="AO97" s="178">
        <f>IFERROR(INDEX(TableSetRepSchemes,MATCH('1'!$C97,ListSetRepSchemes,0),COLUMNS($R97:AO97)),"")</f>
        <v>0</v>
      </c>
      <c r="AP97" s="178">
        <f>IFERROR(INDEX(TableSetRepSchemes,MATCH('1'!$C97,ListSetRepSchemes,0),COLUMNS($R97:AP97)),"")</f>
        <v>0</v>
      </c>
      <c r="AQ97" s="178">
        <f>IFERROR(INDEX(TableSetRepSchemes,MATCH('1'!$C97,ListSetRepSchemes,0),COLUMNS($R97:AQ97)),"")</f>
        <v>0</v>
      </c>
      <c r="AR97" s="178">
        <f>IFERROR(INDEX(TableSetRepSchemes,MATCH('1'!$C97,ListSetRepSchemes,0),COLUMNS($R97:AR97)),"")</f>
        <v>0</v>
      </c>
      <c r="AS97" s="178"/>
      <c r="AT97" s="179" t="str">
        <f>CLEAN(IFERROR(INDEX(TableSetRepSchemes,MATCH('1'!$C97,ListSetRepSchemes,0),COLUMNS($R97:AT97)),""))</f>
        <v/>
      </c>
      <c r="AU97" s="178"/>
      <c r="AV97" s="178">
        <f>IFERROR(INDEX(TableSetRepSchemes,MATCH('1'!$C97,ListSetRepSchemes,0),COLUMNS($R97:AV97)),"")</f>
        <v>0</v>
      </c>
      <c r="AW97" s="178">
        <f>IFERROR(INDEX(TableSetRepSchemes,MATCH('1'!$C97,ListSetRepSchemes,0),COLUMNS($R97:AW97)),"")</f>
        <v>0</v>
      </c>
      <c r="AX97" s="178">
        <f>IFERROR(INDEX(TableSetRepSchemes,MATCH('1'!$C97,ListSetRepSchemes,0),COLUMNS($R97:AX97)),"")</f>
        <v>0</v>
      </c>
      <c r="AY97" s="178">
        <f>IFERROR(INDEX(TableSetRepSchemes,MATCH('1'!$C97,ListSetRepSchemes,0),COLUMNS($R97:AY97)),"")</f>
        <v>0</v>
      </c>
      <c r="AZ97" s="178">
        <f>IFERROR(INDEX(TableSetRepSchemes,MATCH('1'!$C97,ListSetRepSchemes,0),COLUMNS($R97:AZ97)),"")</f>
        <v>0</v>
      </c>
      <c r="BA97" s="178">
        <f>IFERROR(INDEX(TableSetRepSchemes,MATCH('1'!$C97,ListSetRepSchemes,0),COLUMNS($R97:BA97)),"")</f>
        <v>0</v>
      </c>
      <c r="BB97" s="180"/>
      <c r="BC97" s="36"/>
      <c r="BG97" s="181" t="s">
        <v>308</v>
      </c>
      <c r="BH97" s="182">
        <f>IFERROR(SUM(SUBSTITUTE(U97,"/s",""),V97:Z97),0)</f>
        <v>0</v>
      </c>
      <c r="BI97" s="182">
        <f>SUM(SUBSTITUTE(AD97,"/s",""),AE97:AI97)</f>
        <v>0</v>
      </c>
      <c r="BJ97" s="182">
        <f>SUM(AM97:AR97)</f>
        <v>0</v>
      </c>
      <c r="BK97" s="182">
        <f>SUM(AV97:BA97)</f>
        <v>0</v>
      </c>
      <c r="BL97" s="195"/>
      <c r="BM97" s="184"/>
      <c r="BN97" s="184"/>
      <c r="BO97" s="184"/>
      <c r="BP97" s="184"/>
      <c r="BS97" s="181" t="s">
        <v>308</v>
      </c>
      <c r="BT97" s="50" t="str">
        <f>IF($B97="PE",BH97,"")</f>
        <v/>
      </c>
      <c r="BU97" s="186" t="str">
        <f>IF($B97="PE",BI97,"")</f>
        <v/>
      </c>
      <c r="BV97" s="186" t="str">
        <f>IF($B97="PE",BJ97,"")</f>
        <v/>
      </c>
      <c r="BW97" s="186" t="str">
        <f>IF($B97="PE",BK97,"")</f>
        <v/>
      </c>
      <c r="BX97" s="187" t="e">
        <f t="shared" si="3"/>
        <v>#N/A</v>
      </c>
    </row>
    <row r="98" spans="1:161" s="34" customFormat="1" ht="25" customHeight="1">
      <c r="A98" s="129"/>
      <c r="B98" s="129"/>
      <c r="C98" s="129"/>
      <c r="D98" s="128"/>
      <c r="E98" s="129"/>
      <c r="F98" s="128"/>
      <c r="G98" s="128"/>
      <c r="H98" s="129"/>
      <c r="J98" s="36"/>
      <c r="K98" s="188"/>
      <c r="L98" s="189"/>
      <c r="M98" s="189"/>
      <c r="N98" s="189"/>
      <c r="O98" s="189"/>
      <c r="P98" s="190"/>
      <c r="Q98" s="191"/>
      <c r="R98" s="192"/>
      <c r="S98" s="193"/>
      <c r="T98" s="111"/>
      <c r="U98" s="177"/>
      <c r="V98" s="177"/>
      <c r="W98" s="177"/>
      <c r="X98" s="177"/>
      <c r="Y98" s="177"/>
      <c r="Z98" s="177"/>
      <c r="AA98" s="178"/>
      <c r="AB98" s="194"/>
      <c r="AC98" s="178"/>
      <c r="AD98" s="178"/>
      <c r="AE98" s="178"/>
      <c r="AF98" s="178"/>
      <c r="AG98" s="178"/>
      <c r="AH98" s="178"/>
      <c r="AI98" s="178"/>
      <c r="AJ98" s="178"/>
      <c r="AK98" s="194"/>
      <c r="AL98" s="178"/>
      <c r="AM98" s="178"/>
      <c r="AN98" s="178"/>
      <c r="AO98" s="178"/>
      <c r="AP98" s="178"/>
      <c r="AQ98" s="178"/>
      <c r="AR98" s="178"/>
      <c r="AS98" s="178"/>
      <c r="AT98" s="194"/>
      <c r="AU98" s="178"/>
      <c r="AV98" s="178"/>
      <c r="AW98" s="178"/>
      <c r="AX98" s="178"/>
      <c r="AY98" s="178"/>
      <c r="AZ98" s="178"/>
      <c r="BA98" s="178"/>
      <c r="BB98" s="180"/>
      <c r="BC98" s="36"/>
      <c r="BG98" s="181" t="s">
        <v>310</v>
      </c>
      <c r="BH98" s="182">
        <f>IFERROR((SUBSTITUTE(U97,"/s","")*U98)+(V97*V98)+(W97*W98)+(X97*X98)+(Y97*Y98)+(Z97*Z98),0)</f>
        <v>0</v>
      </c>
      <c r="BI98" s="182">
        <f>IFERROR((SUBSTITUTE(AD97,"/s","")*AD98)+(AE97*AE98)+(AF97*AF98)+(AG97*AG98)+(AH97*AH98)+(AI97*AI98),0)</f>
        <v>0</v>
      </c>
      <c r="BJ98" s="182">
        <f>IFERROR((AM97*AM98)+(AN97*AN98)+(AO97*AO98)+(AP97*AP98)+(AQ97*AQ98)+(AR97*AR98),"")</f>
        <v>0</v>
      </c>
      <c r="BK98" s="182">
        <f>IFERROR((AV97*AV98)+(AW97*AW98)+(AX97*AX98)+(AY97*AY98)+(AZ97*AZ98)+(BA97*BA98),"")</f>
        <v>0</v>
      </c>
      <c r="BL98" s="195">
        <f>IFERROR(BH98+BI98+BJ98+BK98,NA())</f>
        <v>0</v>
      </c>
      <c r="BM98" s="184"/>
      <c r="BN98" s="184"/>
      <c r="BO98" s="184"/>
      <c r="BP98" s="184"/>
      <c r="BS98" s="181" t="s">
        <v>310</v>
      </c>
      <c r="BT98" s="50">
        <f>IF($B97="PE",(BH98*$E97*$F97),0)</f>
        <v>0</v>
      </c>
      <c r="BU98" s="186">
        <f>IF($B97="PE",(BI98*$E97*$F97),0)</f>
        <v>0</v>
      </c>
      <c r="BV98" s="186">
        <f>IF($B97="PE",(BJ98*$E97*$F97),0)</f>
        <v>0</v>
      </c>
      <c r="BW98" s="186">
        <f>IF($B97="PE",(BK98*$E97*$F97),0)</f>
        <v>0</v>
      </c>
      <c r="BX98" s="187">
        <f t="shared" si="3"/>
        <v>0</v>
      </c>
    </row>
    <row r="99" spans="1:161" s="34" customFormat="1" ht="3" customHeight="1" thickBot="1">
      <c r="A99" s="35"/>
      <c r="B99" s="35"/>
      <c r="C99" s="35"/>
      <c r="J99" s="36"/>
      <c r="K99" s="206"/>
      <c r="L99" s="224"/>
      <c r="M99" s="224"/>
      <c r="N99" s="224"/>
      <c r="O99" s="224"/>
      <c r="P99" s="224"/>
      <c r="Q99" s="224"/>
      <c r="R99" s="224"/>
      <c r="S99" s="208"/>
      <c r="T99" s="209"/>
      <c r="U99" s="209"/>
      <c r="V99" s="209"/>
      <c r="W99" s="209"/>
      <c r="X99" s="209"/>
      <c r="Y99" s="209"/>
      <c r="Z99" s="209"/>
      <c r="AA99" s="209"/>
      <c r="AB99" s="208"/>
      <c r="AC99" s="209"/>
      <c r="AD99" s="209"/>
      <c r="AE99" s="209"/>
      <c r="AF99" s="209"/>
      <c r="AG99" s="209"/>
      <c r="AH99" s="209"/>
      <c r="AI99" s="209"/>
      <c r="AJ99" s="209"/>
      <c r="AK99" s="208"/>
      <c r="AL99" s="209"/>
      <c r="AM99" s="209"/>
      <c r="AN99" s="209"/>
      <c r="AO99" s="209"/>
      <c r="AP99" s="209"/>
      <c r="AQ99" s="209"/>
      <c r="AR99" s="209"/>
      <c r="AS99" s="209"/>
      <c r="AT99" s="208"/>
      <c r="AU99" s="209"/>
      <c r="AV99" s="209"/>
      <c r="AW99" s="209"/>
      <c r="AX99" s="209"/>
      <c r="AY99" s="209"/>
      <c r="AZ99" s="209"/>
      <c r="BA99" s="209"/>
      <c r="BB99" s="210"/>
      <c r="BC99" s="36"/>
      <c r="BH99" s="211">
        <f>BH84+BH86+BH88+BH90+BH92+BH94+BH96+BH98</f>
        <v>0</v>
      </c>
      <c r="BI99" s="211">
        <f>BI84+BI86+BI88+BI90+BI92+BI94+BI96+BI98</f>
        <v>0</v>
      </c>
      <c r="BJ99" s="211" t="e">
        <f>BJ84+BJ86+BJ88+BJ90+BJ92+BJ94+BJ96+BJ98</f>
        <v>#VALUE!</v>
      </c>
      <c r="BK99" s="211" t="e">
        <f>BK84+BK86+BK88+BK90+BK92+BK94+BK96+BK98</f>
        <v>#VALUE!</v>
      </c>
      <c r="BL99" s="183"/>
      <c r="BM99" s="184"/>
      <c r="BN99" s="184"/>
      <c r="BO99" s="184"/>
      <c r="BP99" s="184"/>
      <c r="BT99" s="225" t="e">
        <f>BT84+BT86+BT88+BT90+BT92+BT94+BT96+BT98</f>
        <v>#N/A</v>
      </c>
      <c r="BU99" s="225" t="e">
        <f>BU84+BU86+BU88+BU90+BU92+BU94+BU96+BU98</f>
        <v>#N/A</v>
      </c>
      <c r="BV99" s="225" t="e">
        <f>BV84+BV86+BV88+BV90+BV92+BV94+BV96+BV98</f>
        <v>#VALUE!</v>
      </c>
      <c r="BW99" s="225" t="e">
        <f>BW84+BW86+BW88+BW90+BW92+BW94+BW96+BW98</f>
        <v>#VALUE!</v>
      </c>
      <c r="BX99" s="212" t="e">
        <f>BX84+BX86+BX88+BX90+BX92+BX94+BX96+BX98</f>
        <v>#N/A</v>
      </c>
    </row>
    <row r="100" spans="1:161" s="34" customFormat="1" ht="9" customHeight="1" thickBot="1">
      <c r="A100" s="35"/>
      <c r="B100" s="35"/>
      <c r="C100" s="35"/>
      <c r="J100" s="36"/>
      <c r="K100" s="111"/>
      <c r="L100" s="111"/>
      <c r="M100" s="111"/>
      <c r="N100" s="111"/>
      <c r="O100" s="111"/>
      <c r="P100" s="111"/>
      <c r="Q100" s="111"/>
      <c r="R100" s="111"/>
      <c r="S100" s="36"/>
      <c r="T100" s="213"/>
      <c r="U100" s="36"/>
      <c r="V100" s="36"/>
      <c r="W100" s="36"/>
      <c r="X100" s="36"/>
      <c r="Y100" s="36"/>
      <c r="Z100" s="36"/>
      <c r="AA100" s="213"/>
      <c r="AB100" s="36"/>
      <c r="AC100" s="213"/>
      <c r="AD100" s="36"/>
      <c r="AE100" s="36"/>
      <c r="AF100" s="36"/>
      <c r="AG100" s="36"/>
      <c r="AH100" s="36"/>
      <c r="AI100" s="36"/>
      <c r="AJ100" s="213"/>
      <c r="AK100" s="36"/>
      <c r="AL100" s="213"/>
      <c r="AM100" s="36"/>
      <c r="AN100" s="36"/>
      <c r="AO100" s="36"/>
      <c r="AP100" s="36"/>
      <c r="AQ100" s="36"/>
      <c r="AR100" s="36"/>
      <c r="AS100" s="36"/>
      <c r="AT100" s="36"/>
      <c r="AU100" s="213"/>
      <c r="AV100" s="36"/>
      <c r="AW100" s="36"/>
      <c r="AX100" s="36"/>
      <c r="AY100" s="36"/>
      <c r="AZ100" s="36"/>
      <c r="BA100" s="36"/>
      <c r="BB100" s="213"/>
      <c r="BC100" s="36"/>
      <c r="BH100" s="214"/>
      <c r="BI100" s="214"/>
      <c r="BJ100" s="214"/>
      <c r="BK100" s="214"/>
      <c r="BL100" s="183"/>
      <c r="BM100" s="184"/>
      <c r="BN100" s="184"/>
      <c r="BO100" s="184"/>
      <c r="BP100" s="184"/>
      <c r="BT100" s="226"/>
      <c r="BU100" s="226"/>
      <c r="BV100" s="226"/>
      <c r="BW100" s="226"/>
      <c r="BX100" s="215"/>
    </row>
    <row r="101" spans="1:161" s="86" customFormat="1" ht="25" customHeight="1">
      <c r="A101" s="114"/>
      <c r="B101" s="114"/>
      <c r="C101" s="216"/>
      <c r="E101" s="87" t="s">
        <v>234</v>
      </c>
      <c r="F101" s="87" t="s">
        <v>235</v>
      </c>
      <c r="J101" s="118"/>
      <c r="K101" s="153" t="s">
        <v>345</v>
      </c>
      <c r="L101" s="154"/>
      <c r="M101" s="154"/>
      <c r="N101" s="154"/>
      <c r="O101" s="154"/>
      <c r="P101" s="154"/>
      <c r="Q101" s="154"/>
      <c r="R101" s="154"/>
      <c r="S101" s="155"/>
      <c r="T101" s="156"/>
      <c r="U101" s="157" t="s">
        <v>221</v>
      </c>
      <c r="V101" s="158"/>
      <c r="W101" s="158"/>
      <c r="X101" s="156"/>
      <c r="Y101" s="159"/>
      <c r="Z101" s="160"/>
      <c r="AA101" s="156"/>
      <c r="AB101" s="155"/>
      <c r="AC101" s="156"/>
      <c r="AD101" s="157" t="s">
        <v>221</v>
      </c>
      <c r="AE101" s="158"/>
      <c r="AF101" s="158"/>
      <c r="AG101" s="156"/>
      <c r="AH101" s="159"/>
      <c r="AI101" s="160"/>
      <c r="AJ101" s="156"/>
      <c r="AK101" s="155"/>
      <c r="AL101" s="156"/>
      <c r="AM101" s="157" t="s">
        <v>221</v>
      </c>
      <c r="AN101" s="158">
        <v>45446</v>
      </c>
      <c r="AO101" s="158"/>
      <c r="AP101" s="156"/>
      <c r="AQ101" s="159"/>
      <c r="AR101" s="160"/>
      <c r="AS101" s="160"/>
      <c r="AT101" s="155"/>
      <c r="AU101" s="156"/>
      <c r="AV101" s="157" t="s">
        <v>221</v>
      </c>
      <c r="AW101" s="158"/>
      <c r="AX101" s="158"/>
      <c r="AY101" s="217"/>
      <c r="AZ101" s="218"/>
      <c r="BA101" s="218"/>
      <c r="BB101" s="161"/>
      <c r="BC101" s="118"/>
      <c r="BD101" s="34"/>
      <c r="BE101" s="34"/>
      <c r="BF101" s="34"/>
      <c r="BL101" s="114"/>
      <c r="BT101" s="219">
        <f>SUM(BT83,BT85,BT87,BT89,BT91,BT93,BT95,BT97)</f>
        <v>0</v>
      </c>
      <c r="BU101" s="219" t="e">
        <f>SUM(BU83,BU85,BU87,BU89,BU91,BU93,BU95,BU97)</f>
        <v>#VALUE!</v>
      </c>
      <c r="BV101" s="219">
        <f>SUM(BV83,BV85,BV87,BV89,BV91,BV93,BV95,BV97)</f>
        <v>0</v>
      </c>
      <c r="BW101" s="219">
        <f>SUM(BW83,BW85,BW87,BW89,BW91,BW93,BW95,BW97)</f>
        <v>0</v>
      </c>
      <c r="BX101" s="219"/>
      <c r="BY101" s="34"/>
      <c r="BZ101" s="34"/>
      <c r="CA101" s="34"/>
      <c r="CB101" s="34"/>
      <c r="CC101" s="34"/>
      <c r="CD101" s="34"/>
      <c r="CE101" s="34"/>
      <c r="CF101" s="34"/>
      <c r="CG101" s="34"/>
      <c r="CH101" s="34"/>
      <c r="CI101" s="34"/>
      <c r="CJ101" s="34"/>
      <c r="CK101" s="34"/>
      <c r="CL101" s="34"/>
      <c r="CM101" s="34"/>
      <c r="CN101" s="34"/>
      <c r="CO101" s="34"/>
      <c r="CP101" s="34"/>
      <c r="CQ101" s="34"/>
      <c r="CR101" s="34"/>
      <c r="CS101" s="34"/>
      <c r="CT101" s="34"/>
      <c r="CU101" s="34"/>
      <c r="CV101" s="34"/>
      <c r="CW101" s="34"/>
      <c r="CX101" s="34"/>
      <c r="CY101" s="34"/>
      <c r="CZ101" s="34"/>
      <c r="DA101" s="34"/>
      <c r="DB101" s="34"/>
      <c r="DC101" s="34"/>
      <c r="DD101" s="34"/>
      <c r="DE101" s="34"/>
      <c r="DF101" s="34"/>
      <c r="DG101" s="34"/>
      <c r="DH101" s="34"/>
      <c r="DI101" s="34"/>
      <c r="DJ101" s="34"/>
      <c r="DK101" s="34"/>
      <c r="DL101" s="34"/>
      <c r="DM101" s="34"/>
      <c r="DN101" s="34"/>
      <c r="DO101" s="34"/>
      <c r="DP101" s="34"/>
      <c r="DQ101" s="34"/>
      <c r="DR101" s="34"/>
      <c r="DS101" s="34"/>
      <c r="DT101" s="34"/>
      <c r="DU101" s="34"/>
      <c r="DV101" s="34"/>
      <c r="DW101" s="34"/>
      <c r="DX101" s="34"/>
      <c r="DY101" s="34"/>
      <c r="DZ101" s="34"/>
      <c r="EA101" s="34"/>
      <c r="EB101" s="34"/>
      <c r="EC101" s="34"/>
      <c r="ED101" s="34"/>
      <c r="EE101" s="34"/>
      <c r="EF101" s="34"/>
      <c r="EG101" s="34"/>
      <c r="EH101" s="34"/>
      <c r="EI101" s="34"/>
      <c r="EJ101" s="34"/>
      <c r="EK101" s="34"/>
      <c r="EL101" s="34"/>
      <c r="FE101" s="34"/>
    </row>
    <row r="102" spans="1:161" s="114" customFormat="1" ht="25" customHeight="1">
      <c r="A102" s="101" t="s">
        <v>237</v>
      </c>
      <c r="B102" s="102"/>
      <c r="C102" s="103" t="s">
        <v>238</v>
      </c>
      <c r="D102" s="103" t="s">
        <v>239</v>
      </c>
      <c r="E102" s="104"/>
      <c r="F102" s="104"/>
      <c r="G102" s="103" t="s">
        <v>240</v>
      </c>
      <c r="H102" s="103" t="s">
        <v>241</v>
      </c>
      <c r="J102" s="220"/>
      <c r="K102" s="162"/>
      <c r="L102" s="163"/>
      <c r="M102" s="163"/>
      <c r="N102" s="163"/>
      <c r="O102" s="163"/>
      <c r="P102" s="163"/>
      <c r="Q102" s="163"/>
      <c r="R102" s="163"/>
      <c r="S102" s="165"/>
      <c r="T102" s="165"/>
      <c r="U102" s="221" t="s">
        <v>297</v>
      </c>
      <c r="V102" s="221"/>
      <c r="W102" s="221"/>
      <c r="X102" s="221"/>
      <c r="Y102" s="221"/>
      <c r="Z102" s="221"/>
      <c r="AA102" s="222"/>
      <c r="AB102" s="222"/>
      <c r="AC102" s="222"/>
      <c r="AD102" s="221" t="s">
        <v>297</v>
      </c>
      <c r="AE102" s="221"/>
      <c r="AF102" s="221"/>
      <c r="AG102" s="221"/>
      <c r="AH102" s="221"/>
      <c r="AI102" s="221"/>
      <c r="AJ102" s="222"/>
      <c r="AK102" s="222"/>
      <c r="AL102" s="222"/>
      <c r="AM102" s="221" t="s">
        <v>297</v>
      </c>
      <c r="AN102" s="221"/>
      <c r="AO102" s="221"/>
      <c r="AP102" s="221"/>
      <c r="AQ102" s="221"/>
      <c r="AR102" s="221"/>
      <c r="AS102" s="223"/>
      <c r="AT102" s="222"/>
      <c r="AU102" s="222"/>
      <c r="AV102" s="221" t="s">
        <v>297</v>
      </c>
      <c r="AW102" s="221"/>
      <c r="AX102" s="221"/>
      <c r="AY102" s="221"/>
      <c r="AZ102" s="221"/>
      <c r="BA102" s="221"/>
      <c r="BB102" s="168"/>
      <c r="BC102" s="220"/>
      <c r="BD102" s="34"/>
      <c r="BE102" s="34"/>
      <c r="BF102" s="34"/>
      <c r="BH102" s="103" t="s">
        <v>298</v>
      </c>
      <c r="BI102" s="103" t="s">
        <v>299</v>
      </c>
      <c r="BJ102" s="103" t="s">
        <v>300</v>
      </c>
      <c r="BK102" s="103" t="s">
        <v>301</v>
      </c>
      <c r="BN102" s="103" t="s">
        <v>302</v>
      </c>
      <c r="BO102" s="103" t="s">
        <v>303</v>
      </c>
      <c r="BP102" s="103" t="s">
        <v>304</v>
      </c>
      <c r="BT102" s="103" t="s">
        <v>298</v>
      </c>
      <c r="BU102" s="103" t="s">
        <v>299</v>
      </c>
      <c r="BV102" s="103" t="s">
        <v>300</v>
      </c>
      <c r="BW102" s="103" t="s">
        <v>301</v>
      </c>
      <c r="BX102" s="169"/>
      <c r="BY102" s="34"/>
      <c r="BZ102" s="34"/>
      <c r="CA102" s="34"/>
      <c r="CB102" s="34"/>
      <c r="CC102" s="34"/>
      <c r="CD102" s="34"/>
      <c r="CE102" s="34"/>
      <c r="CF102" s="34"/>
      <c r="CG102" s="34"/>
      <c r="CH102" s="34"/>
      <c r="CI102" s="34"/>
      <c r="CJ102" s="34"/>
      <c r="CK102" s="34"/>
      <c r="CL102" s="34"/>
      <c r="CM102" s="34"/>
      <c r="CN102" s="34"/>
      <c r="CO102" s="34"/>
      <c r="CP102" s="34"/>
      <c r="CQ102" s="34"/>
      <c r="CR102" s="34"/>
      <c r="CS102" s="34"/>
      <c r="CT102" s="34"/>
      <c r="CU102" s="34"/>
      <c r="CV102" s="34"/>
      <c r="CW102" s="34"/>
      <c r="CX102" s="34"/>
      <c r="CY102" s="34"/>
      <c r="CZ102" s="34"/>
      <c r="DA102" s="34"/>
      <c r="DB102" s="34"/>
      <c r="DC102" s="34"/>
      <c r="DD102" s="34"/>
      <c r="DE102" s="34"/>
      <c r="DF102" s="34"/>
      <c r="DG102" s="34"/>
      <c r="DH102" s="34"/>
      <c r="DI102" s="34"/>
      <c r="DJ102" s="34"/>
      <c r="DK102" s="34"/>
      <c r="DL102" s="34"/>
      <c r="DM102" s="34"/>
      <c r="DN102" s="34"/>
      <c r="DO102" s="34"/>
      <c r="DP102" s="34"/>
      <c r="DQ102" s="34"/>
      <c r="DR102" s="34"/>
      <c r="DS102" s="34"/>
      <c r="DT102" s="34"/>
      <c r="DU102" s="34"/>
      <c r="DV102" s="34"/>
      <c r="DW102" s="34"/>
      <c r="DX102" s="34"/>
      <c r="DY102" s="34"/>
      <c r="DZ102" s="34"/>
      <c r="EA102" s="34"/>
      <c r="EB102" s="34"/>
      <c r="EC102" s="34"/>
      <c r="ED102" s="34"/>
      <c r="EE102" s="34"/>
      <c r="EF102" s="34"/>
      <c r="EG102" s="34"/>
      <c r="EH102" s="34"/>
      <c r="EI102" s="34"/>
      <c r="EJ102" s="34"/>
      <c r="EK102" s="34"/>
      <c r="EL102" s="34"/>
      <c r="FE102" s="34"/>
    </row>
    <row r="103" spans="1:161" s="34" customFormat="1" ht="25" customHeight="1">
      <c r="A103" s="127" t="s">
        <v>305</v>
      </c>
      <c r="B103" s="127" t="s">
        <v>244</v>
      </c>
      <c r="C103" s="127" t="s">
        <v>337</v>
      </c>
      <c r="D103" s="127" t="str">
        <f>IFERROR(INDEX([2]!Table1RM[#Data],MATCH($M$56,[2]!Table1RM[Athlete],0),MATCH($L103,[2]!Table1RM[#Headers],0)),"")</f>
        <v/>
      </c>
      <c r="E103" s="127" t="str">
        <f>IF($B103="PE",INDEX([2]ExerciseInventory!$J$2:$L$276,MATCH($L103,[2]ExerciseInventory!$J$2:$J$287,0),2),"")</f>
        <v/>
      </c>
      <c r="F103" s="127" t="str">
        <f>IF($B103="PE",INDEX([2]ExerciseInventory!$J$2:$L$276,MATCH($L103,[2]ExerciseInventory!$J$2:$J$287,0),3),"")</f>
        <v/>
      </c>
      <c r="G103" s="127"/>
      <c r="H103" s="127"/>
      <c r="J103" s="36"/>
      <c r="K103" s="170" t="s">
        <v>107</v>
      </c>
      <c r="L103" s="171" t="s">
        <v>176</v>
      </c>
      <c r="M103" s="171"/>
      <c r="N103" s="171"/>
      <c r="O103" s="171"/>
      <c r="P103" s="172"/>
      <c r="Q103" s="173"/>
      <c r="R103" s="174"/>
      <c r="S103" s="175" t="str">
        <f>CLEAN(IFERROR(INDEX(TableSetRepSchemes,MATCH(#REF!,ListSetRepSchemes,0),COLUMNS($R103:S103)),""))</f>
        <v/>
      </c>
      <c r="T103" s="111"/>
      <c r="U103" s="176"/>
      <c r="V103" s="177"/>
      <c r="W103" s="177"/>
      <c r="X103" s="177"/>
      <c r="Y103" s="177"/>
      <c r="Z103" s="177"/>
      <c r="AA103" s="178"/>
      <c r="AB103" s="179" t="str">
        <f>CLEAN(IFERROR(INDEX(TableSetRepSchemes,MATCH('1'!$C103,ListSetRepSchemes,0),COLUMNS($R103:AB103)),""))</f>
        <v/>
      </c>
      <c r="AC103" s="178"/>
      <c r="AD103" s="178">
        <f>IFERROR(INDEX(TableSetRepSchemes,MATCH('1'!$C103,ListSetRepSchemes,0),COLUMNS($R103:AD103)),"")</f>
        <v>6</v>
      </c>
      <c r="AE103" s="178">
        <f>IFERROR(INDEX(TableSetRepSchemes,MATCH('1'!$C103,ListSetRepSchemes,0),COLUMNS($R103:AE103)),"")</f>
        <v>6</v>
      </c>
      <c r="AF103" s="178">
        <f>IFERROR(INDEX(TableSetRepSchemes,MATCH('1'!$C103,ListSetRepSchemes,0),COLUMNS($R103:AF103)),"")</f>
        <v>6</v>
      </c>
      <c r="AG103" s="178">
        <f>IFERROR(INDEX(TableSetRepSchemes,MATCH('1'!$C103,ListSetRepSchemes,0),COLUMNS($R103:AG103)),"")</f>
        <v>0</v>
      </c>
      <c r="AH103" s="178">
        <f>IFERROR(INDEX(TableSetRepSchemes,MATCH('1'!$C103,ListSetRepSchemes,0),COLUMNS($R103:AH103)),"")</f>
        <v>0</v>
      </c>
      <c r="AI103" s="178">
        <f>IFERROR(INDEX(TableSetRepSchemes,MATCH('1'!$C103,ListSetRepSchemes,0),COLUMNS($R103:AI103)),"")</f>
        <v>0</v>
      </c>
      <c r="AJ103" s="178"/>
      <c r="AK103" s="179" t="str">
        <f>CLEAN(IFERROR(INDEX(TableSetRepSchemes,MATCH('1'!$C103,ListSetRepSchemes,0),COLUMNS($R103:AK103)),""))</f>
        <v/>
      </c>
      <c r="AL103" s="178"/>
      <c r="AM103" s="178">
        <f>IFERROR(INDEX(TableSetRepSchemes,MATCH('1'!$C103,ListSetRepSchemes,0),COLUMNS($R103:AM103)),"")</f>
        <v>6</v>
      </c>
      <c r="AN103" s="178">
        <f>IFERROR(INDEX(TableSetRepSchemes,MATCH('1'!$C103,ListSetRepSchemes,0),COLUMNS($R103:AN103)),"")</f>
        <v>6</v>
      </c>
      <c r="AO103" s="178">
        <f>IFERROR(INDEX(TableSetRepSchemes,MATCH('1'!$C103,ListSetRepSchemes,0),COLUMNS($R103:AO103)),"")</f>
        <v>6</v>
      </c>
      <c r="AP103" s="178">
        <f>IFERROR(INDEX(TableSetRepSchemes,MATCH('1'!$C103,ListSetRepSchemes,0),COLUMNS($R103:AP103)),"")</f>
        <v>0</v>
      </c>
      <c r="AQ103" s="178">
        <f>IFERROR(INDEX(TableSetRepSchemes,MATCH('1'!$C103,ListSetRepSchemes,0),COLUMNS($R103:AQ103)),"")</f>
        <v>0</v>
      </c>
      <c r="AR103" s="178">
        <f>IFERROR(INDEX(TableSetRepSchemes,MATCH('1'!$C103,ListSetRepSchemes,0),COLUMNS($R103:AR103)),"")</f>
        <v>0</v>
      </c>
      <c r="AS103" s="178"/>
      <c r="AT103" s="179" t="str">
        <f>CLEAN(IFERROR(INDEX(TableSetRepSchemes,MATCH('1'!$C103,ListSetRepSchemes,0),COLUMNS($R103:AT103)),""))</f>
        <v/>
      </c>
      <c r="AU103" s="178"/>
      <c r="AV103" s="178">
        <f>IFERROR(INDEX(TableSetRepSchemes,MATCH('1'!$C103,ListSetRepSchemes,0),COLUMNS($R103:AV103)),"")</f>
        <v>6</v>
      </c>
      <c r="AW103" s="178">
        <f>IFERROR(INDEX(TableSetRepSchemes,MATCH('1'!$C103,ListSetRepSchemes,0),COLUMNS($R103:AW103)),"")</f>
        <v>6</v>
      </c>
      <c r="AX103" s="178">
        <f>IFERROR(INDEX(TableSetRepSchemes,MATCH('1'!$C103,ListSetRepSchemes,0),COLUMNS($R103:AX103)),"")</f>
        <v>6</v>
      </c>
      <c r="AY103" s="178">
        <f>IFERROR(INDEX(TableSetRepSchemes,MATCH('1'!$C103,ListSetRepSchemes,0),COLUMNS($R103:AY103)),"")</f>
        <v>0</v>
      </c>
      <c r="AZ103" s="178">
        <f>IFERROR(INDEX(TableSetRepSchemes,MATCH('1'!$C103,ListSetRepSchemes,0),COLUMNS($R103:AZ103)),"")</f>
        <v>0</v>
      </c>
      <c r="BA103" s="178">
        <f>IFERROR(INDEX(TableSetRepSchemes,MATCH('1'!$C103,ListSetRepSchemes,0),COLUMNS($R103:BA103)),"")</f>
        <v>0</v>
      </c>
      <c r="BB103" s="180"/>
      <c r="BC103" s="36"/>
      <c r="BG103" s="181" t="s">
        <v>308</v>
      </c>
      <c r="BH103" s="182">
        <f>IFERROR(SUM(SUBSTITUTE(U103,"/s",""),V103:Z103),0)</f>
        <v>0</v>
      </c>
      <c r="BI103" s="182">
        <f>SUM(SUBSTITUTE(AD103,"/s",""),AE103:AI103)</f>
        <v>18</v>
      </c>
      <c r="BJ103" s="182">
        <f>SUM(AM103:AR103)</f>
        <v>18</v>
      </c>
      <c r="BK103" s="182">
        <f>SUM(AV103:BA103)</f>
        <v>18</v>
      </c>
      <c r="BL103" s="183"/>
      <c r="BM103" s="184"/>
      <c r="BN103" s="182" t="s">
        <v>309</v>
      </c>
      <c r="BO103" s="182">
        <f>IF(B103="PE",(BL104),0)+IF(B105="PE",(BL106),0)+IF(B107="PE",(BL108),0)+IF(B109="PE",(BL110),0)+IF(B111="PE",(BL112),0)+IF(B113="PE",(BL114),0)+IF(B115="PE",(BL116),0)+IF(B117="PE",(BL118),0)</f>
        <v>0</v>
      </c>
      <c r="BP103" s="185" t="e">
        <f>(BO103/$BO$107)*100</f>
        <v>#N/A</v>
      </c>
      <c r="BS103" s="181" t="s">
        <v>308</v>
      </c>
      <c r="BT103" s="50" t="str">
        <f>IF($B103="PE",BH103,"")</f>
        <v/>
      </c>
      <c r="BU103" s="186" t="str">
        <f>IF($B103="PE",BI103,"")</f>
        <v/>
      </c>
      <c r="BV103" s="186" t="str">
        <f>IF($B103="PE",BJ103,"")</f>
        <v/>
      </c>
      <c r="BW103" s="186" t="str">
        <f>IF($B103="PE",BK103,"")</f>
        <v/>
      </c>
      <c r="BX103" s="187"/>
    </row>
    <row r="104" spans="1:161" s="34" customFormat="1" ht="25" customHeight="1">
      <c r="A104" s="129"/>
      <c r="B104" s="129"/>
      <c r="C104" s="129"/>
      <c r="D104" s="129"/>
      <c r="E104" s="129"/>
      <c r="F104" s="129"/>
      <c r="G104" s="129"/>
      <c r="H104" s="129"/>
      <c r="J104" s="36"/>
      <c r="K104" s="188"/>
      <c r="L104" s="189"/>
      <c r="M104" s="189"/>
      <c r="N104" s="189"/>
      <c r="O104" s="189"/>
      <c r="P104" s="190"/>
      <c r="Q104" s="191" t="s">
        <v>346</v>
      </c>
      <c r="R104" s="192"/>
      <c r="S104" s="193"/>
      <c r="T104" s="111"/>
      <c r="U104" s="177"/>
      <c r="V104" s="177"/>
      <c r="W104" s="177"/>
      <c r="X104" s="177"/>
      <c r="Y104" s="177"/>
      <c r="Z104" s="177"/>
      <c r="AA104" s="178"/>
      <c r="AB104" s="194"/>
      <c r="AC104" s="178"/>
      <c r="AD104" s="178"/>
      <c r="AE104" s="178"/>
      <c r="AF104" s="178"/>
      <c r="AG104" s="178"/>
      <c r="AH104" s="178"/>
      <c r="AI104" s="178"/>
      <c r="AJ104" s="178"/>
      <c r="AK104" s="194"/>
      <c r="AL104" s="178"/>
      <c r="AM104" s="178"/>
      <c r="AN104" s="178"/>
      <c r="AO104" s="178"/>
      <c r="AP104" s="178"/>
      <c r="AQ104" s="178"/>
      <c r="AR104" s="178"/>
      <c r="AS104" s="178"/>
      <c r="AT104" s="194"/>
      <c r="AU104" s="178"/>
      <c r="AV104" s="178"/>
      <c r="AW104" s="178"/>
      <c r="AX104" s="178"/>
      <c r="AY104" s="178"/>
      <c r="AZ104" s="178"/>
      <c r="BA104" s="178"/>
      <c r="BB104" s="180"/>
      <c r="BC104" s="36"/>
      <c r="BG104" s="181" t="s">
        <v>310</v>
      </c>
      <c r="BH104" s="182">
        <f>IFERROR((SUBSTITUTE(U103,"/s","")*U104)+(V103*V104)+(W103*W104)+(X103*X104)+(Y103*Y104)+(Z103*Z104),0)</f>
        <v>0</v>
      </c>
      <c r="BI104" s="182">
        <f>IFERROR((SUBSTITUTE(AD103,"/s","")*AD104)+(AE103*AE104)+(AF103*AF104)+(AG103*AG104)+(AH103*AH104)+(AI103*AI104),0)</f>
        <v>0</v>
      </c>
      <c r="BJ104" s="182">
        <f>IFERROR((AM103*AM104)+(AN103*AN104)+(AO103*AO104)+(AP103*AP104)+(AQ103*AQ104)+(AR103*AR104),"")</f>
        <v>0</v>
      </c>
      <c r="BK104" s="182">
        <f>IFERROR((AV103*AV104)+(AW103*AW104)+(AX103*AX104)+(AY103*AY104)+(AZ103*AZ104)+(BA103*BA104),"")</f>
        <v>0</v>
      </c>
      <c r="BL104" s="195">
        <f>IFERROR(BH104+BI104+BJ104+BK104,NA())</f>
        <v>0</v>
      </c>
      <c r="BM104" s="184"/>
      <c r="BN104" s="182" t="s">
        <v>311</v>
      </c>
      <c r="BO104" s="182" t="e">
        <f>IF(B103="DE",(BL104),0)+IF(B105="DE",(BL106),0)+IF(B107="DE",(BL108),0)+IF(B109="DE",(BL110),0)+IF(B111="DE",(BL112),0)+IF(B113="DE",(BL114),0)+IF(B115="DE",(BL116),0)+IF(B117="DE",(BL118),0)</f>
        <v>#N/A</v>
      </c>
      <c r="BP104" s="185" t="e">
        <f>(BO104/$BO$107)*100</f>
        <v>#N/A</v>
      </c>
      <c r="BS104" s="181" t="s">
        <v>310</v>
      </c>
      <c r="BT104" s="50">
        <f>IF($B103="PE",(BH104*$E103*$F103),0)</f>
        <v>0</v>
      </c>
      <c r="BU104" s="186">
        <f>IF($B103="PE",(BI104*$E103*$F103),0)</f>
        <v>0</v>
      </c>
      <c r="BV104" s="186">
        <f>IF($B103="PE",(BJ104*$E103*$F103),0)</f>
        <v>0</v>
      </c>
      <c r="BW104" s="186">
        <f>IF($B103="PE",(BK104*$E103*$F103),0)</f>
        <v>0</v>
      </c>
      <c r="BX104" s="187">
        <f>IFERROR(BT104+BU104+BV104+BW104,NA())</f>
        <v>0</v>
      </c>
    </row>
    <row r="105" spans="1:161" s="34" customFormat="1" ht="25" customHeight="1">
      <c r="A105" s="127" t="s">
        <v>312</v>
      </c>
      <c r="B105" s="127" t="s">
        <v>311</v>
      </c>
      <c r="C105" s="127" t="s">
        <v>347</v>
      </c>
      <c r="D105" s="128" t="str">
        <f>IFERROR(INDEX([2]!Table1RM[#Data],MATCH($M$56,[2]!Table1RM[Athlete],0),MATCH($L105,[2]!Table1RM[#Headers],0)),"")</f>
        <v/>
      </c>
      <c r="E105" s="127" t="str">
        <f>IF($B105="PE",INDEX([2]ExerciseInventory!$J$2:$L$276,MATCH($L105,[2]ExerciseInventory!$J$2:$J$287,0),2),"")</f>
        <v/>
      </c>
      <c r="F105" s="128" t="str">
        <f>IF($B105="PE",INDEX([2]ExerciseInventory!$J$2:$L$276,MATCH($L105,[2]ExerciseInventory!$J$2:$J$287,0),3),"")</f>
        <v/>
      </c>
      <c r="G105" s="128"/>
      <c r="H105" s="127"/>
      <c r="J105" s="36"/>
      <c r="K105" s="170" t="s">
        <v>108</v>
      </c>
      <c r="L105" s="171" t="s">
        <v>188</v>
      </c>
      <c r="M105" s="171"/>
      <c r="N105" s="171"/>
      <c r="O105" s="171"/>
      <c r="P105" s="172"/>
      <c r="Q105" s="173"/>
      <c r="R105" s="174"/>
      <c r="S105" s="175" t="str">
        <f>CLEAN(IFERROR(INDEX(TableSetRepSchemes,MATCH(#REF!,ListSetRepSchemes,0),COLUMNS($R105:S105)),""))</f>
        <v/>
      </c>
      <c r="T105" s="111"/>
      <c r="U105" s="176" t="s">
        <v>348</v>
      </c>
      <c r="V105" s="177"/>
      <c r="W105" s="177"/>
      <c r="X105" s="177"/>
      <c r="Y105" s="177"/>
      <c r="Z105" s="177"/>
      <c r="AA105" s="178"/>
      <c r="AB105" s="179" t="str">
        <f>CLEAN(IFERROR(INDEX(TableSetRepSchemes,MATCH('1'!$C105,ListSetRepSchemes,0),COLUMNS($R105:AB105)),""))</f>
        <v/>
      </c>
      <c r="AC105" s="178"/>
      <c r="AD105" s="178" t="str">
        <f>IFERROR(INDEX(TableSetRepSchemes,MATCH('1'!$C105,ListSetRepSchemes,0),COLUMNS($R105:AD105)),"")</f>
        <v>:30</v>
      </c>
      <c r="AE105" s="178" t="str">
        <f>IFERROR(INDEX(TableSetRepSchemes,MATCH('1'!$C105,ListSetRepSchemes,0),COLUMNS($R105:AE105)),"")</f>
        <v>:30</v>
      </c>
      <c r="AF105" s="178" t="str">
        <f>IFERROR(INDEX(TableSetRepSchemes,MATCH('1'!$C105,ListSetRepSchemes,0),COLUMNS($R105:AF105)),"")</f>
        <v>:30</v>
      </c>
      <c r="AG105" s="178">
        <f>IFERROR(INDEX(TableSetRepSchemes,MATCH('1'!$C105,ListSetRepSchemes,0),COLUMNS($R105:AG105)),"")</f>
        <v>0</v>
      </c>
      <c r="AH105" s="178">
        <f>IFERROR(INDEX(TableSetRepSchemes,MATCH('1'!$C105,ListSetRepSchemes,0),COLUMNS($R105:AH105)),"")</f>
        <v>0</v>
      </c>
      <c r="AI105" s="178">
        <f>IFERROR(INDEX(TableSetRepSchemes,MATCH('1'!$C105,ListSetRepSchemes,0),COLUMNS($R105:AI105)),"")</f>
        <v>0</v>
      </c>
      <c r="AJ105" s="178"/>
      <c r="AK105" s="179" t="str">
        <f>CLEAN(IFERROR(INDEX(TableSetRepSchemes,MATCH('1'!$C105,ListSetRepSchemes,0),COLUMNS($R105:AK105)),""))</f>
        <v/>
      </c>
      <c r="AL105" s="178"/>
      <c r="AM105" s="178" t="str">
        <f>IFERROR(INDEX(TableSetRepSchemes,MATCH('1'!$C105,ListSetRepSchemes,0),COLUMNS($R105:AM105)),"")</f>
        <v>:30</v>
      </c>
      <c r="AN105" s="178" t="str">
        <f>IFERROR(INDEX(TableSetRepSchemes,MATCH('1'!$C105,ListSetRepSchemes,0),COLUMNS($R105:AN105)),"")</f>
        <v>:30</v>
      </c>
      <c r="AO105" s="178" t="str">
        <f>IFERROR(INDEX(TableSetRepSchemes,MATCH('1'!$C105,ListSetRepSchemes,0),COLUMNS($R105:AO105)),"")</f>
        <v>:30</v>
      </c>
      <c r="AP105" s="178">
        <f>IFERROR(INDEX(TableSetRepSchemes,MATCH('1'!$C105,ListSetRepSchemes,0),COLUMNS($R105:AP105)),"")</f>
        <v>0</v>
      </c>
      <c r="AQ105" s="178">
        <f>IFERROR(INDEX(TableSetRepSchemes,MATCH('1'!$C105,ListSetRepSchemes,0),COLUMNS($R105:AQ105)),"")</f>
        <v>0</v>
      </c>
      <c r="AR105" s="178">
        <f>IFERROR(INDEX(TableSetRepSchemes,MATCH('1'!$C105,ListSetRepSchemes,0),COLUMNS($R105:AR105)),"")</f>
        <v>0</v>
      </c>
      <c r="AS105" s="178"/>
      <c r="AT105" s="179" t="str">
        <f>CLEAN(IFERROR(INDEX(TableSetRepSchemes,MATCH('1'!$C105,ListSetRepSchemes,0),COLUMNS($R105:AT105)),""))</f>
        <v/>
      </c>
      <c r="AU105" s="178"/>
      <c r="AV105" s="178" t="str">
        <f>IFERROR(INDEX(TableSetRepSchemes,MATCH('1'!$C105,ListSetRepSchemes,0),COLUMNS($R105:AV105)),"")</f>
        <v>:30</v>
      </c>
      <c r="AW105" s="178" t="str">
        <f>IFERROR(INDEX(TableSetRepSchemes,MATCH('1'!$C105,ListSetRepSchemes,0),COLUMNS($R105:AW105)),"")</f>
        <v>:30</v>
      </c>
      <c r="AX105" s="178" t="str">
        <f>IFERROR(INDEX(TableSetRepSchemes,MATCH('1'!$C105,ListSetRepSchemes,0),COLUMNS($R105:AX105)),"")</f>
        <v>:30</v>
      </c>
      <c r="AY105" s="178">
        <f>IFERROR(INDEX(TableSetRepSchemes,MATCH('1'!$C105,ListSetRepSchemes,0),COLUMNS($R105:AY105)),"")</f>
        <v>0</v>
      </c>
      <c r="AZ105" s="178">
        <f>IFERROR(INDEX(TableSetRepSchemes,MATCH('1'!$C105,ListSetRepSchemes,0),COLUMNS($R105:AZ105)),"")</f>
        <v>0</v>
      </c>
      <c r="BA105" s="178">
        <f>IFERROR(INDEX(TableSetRepSchemes,MATCH('1'!$C105,ListSetRepSchemes,0),COLUMNS($R105:BA105)),"")</f>
        <v>0</v>
      </c>
      <c r="BB105" s="180"/>
      <c r="BC105" s="36"/>
      <c r="BG105" s="181" t="s">
        <v>308</v>
      </c>
      <c r="BH105" s="182">
        <f>IFERROR(SUM(SUBSTITUTE(U105,"/s",""),V105:Z105),0)</f>
        <v>0</v>
      </c>
      <c r="BI105" s="182" t="e">
        <f>SUM(SUBSTITUTE(AD105,"/s",""),AE105:AI105)</f>
        <v>#VALUE!</v>
      </c>
      <c r="BJ105" s="182">
        <f>SUM(AM105:AR105)</f>
        <v>0</v>
      </c>
      <c r="BK105" s="182">
        <f>SUM(AV105:BA105)</f>
        <v>0</v>
      </c>
      <c r="BL105" s="195"/>
      <c r="BM105" s="184"/>
      <c r="BN105" s="182" t="s">
        <v>317</v>
      </c>
      <c r="BO105" s="182">
        <f>IF(B103="ME",(BL104),0)+IF(B105="ME",(BL106),0)+IF(B107="ME",(BL108),0)+IF(B109="ME",(BL110),0)+IF(B111="ME",(BL112),0)+IF(B113="ME",(BL114),0)+IF(B115="ME",(BL116),0)+IF(B117="ME",(BL118),0)</f>
        <v>0</v>
      </c>
      <c r="BP105" s="185" t="e">
        <f>(BO105/$BO$107)*100</f>
        <v>#N/A</v>
      </c>
      <c r="BS105" s="181" t="s">
        <v>308</v>
      </c>
      <c r="BT105" s="50" t="str">
        <f>IF($B105="PE",BH105,"")</f>
        <v/>
      </c>
      <c r="BU105" s="186" t="str">
        <f>IF($B105="PE",BI105,"")</f>
        <v/>
      </c>
      <c r="BV105" s="186" t="str">
        <f>IF($B105="PE",BJ105,"")</f>
        <v/>
      </c>
      <c r="BW105" s="186" t="str">
        <f>IF($B105="PE",BK105,"")</f>
        <v/>
      </c>
      <c r="BX105" s="187" t="e">
        <f t="shared" ref="BX105:BX118" si="4">IFERROR(BT105+BU105+BV105+BW105,NA())</f>
        <v>#N/A</v>
      </c>
    </row>
    <row r="106" spans="1:161" s="34" customFormat="1" ht="25" customHeight="1">
      <c r="A106" s="129"/>
      <c r="B106" s="129"/>
      <c r="C106" s="129"/>
      <c r="D106" s="128"/>
      <c r="E106" s="129"/>
      <c r="F106" s="128"/>
      <c r="G106" s="128"/>
      <c r="H106" s="129"/>
      <c r="J106" s="36"/>
      <c r="K106" s="188"/>
      <c r="L106" s="189"/>
      <c r="M106" s="189"/>
      <c r="N106" s="189"/>
      <c r="O106" s="189"/>
      <c r="P106" s="190"/>
      <c r="Q106" s="191"/>
      <c r="R106" s="192"/>
      <c r="S106" s="193"/>
      <c r="T106" s="111"/>
      <c r="U106" s="177"/>
      <c r="V106" s="177"/>
      <c r="W106" s="177"/>
      <c r="X106" s="177"/>
      <c r="Y106" s="177"/>
      <c r="Z106" s="177"/>
      <c r="AA106" s="178"/>
      <c r="AB106" s="194"/>
      <c r="AC106" s="178"/>
      <c r="AD106" s="178"/>
      <c r="AE106" s="178"/>
      <c r="AF106" s="178"/>
      <c r="AG106" s="178"/>
      <c r="AH106" s="178"/>
      <c r="AI106" s="178"/>
      <c r="AJ106" s="178"/>
      <c r="AK106" s="194"/>
      <c r="AL106" s="178"/>
      <c r="AM106" s="178"/>
      <c r="AN106" s="178"/>
      <c r="AO106" s="178"/>
      <c r="AP106" s="178"/>
      <c r="AQ106" s="178"/>
      <c r="AR106" s="178"/>
      <c r="AS106" s="178"/>
      <c r="AT106" s="194"/>
      <c r="AU106" s="178"/>
      <c r="AV106" s="178"/>
      <c r="AW106" s="178"/>
      <c r="AX106" s="178"/>
      <c r="AY106" s="178"/>
      <c r="AZ106" s="178"/>
      <c r="BA106" s="178"/>
      <c r="BB106" s="180"/>
      <c r="BC106" s="36"/>
      <c r="BG106" s="181" t="s">
        <v>310</v>
      </c>
      <c r="BH106" s="182">
        <f>IFERROR((SUBSTITUTE(U105,"/s","")*U106)+(V105*V106)+(W105*W106)+(X105*X106)+(Y105*Y106)+(Z105*Z106),0)</f>
        <v>0</v>
      </c>
      <c r="BI106" s="182">
        <f>IFERROR((SUBSTITUTE(AD105,"/s","")*AD106)+(AE105*AE106)+(AF105*AF106)+(AG105*AG106)+(AH105*AH106)+(AI105*AI106),0)</f>
        <v>0</v>
      </c>
      <c r="BJ106" s="182" t="str">
        <f>IFERROR((AM105*AM106)+(AN105*AN106)+(AO105*AO106)+(AP105*AP106)+(AQ105*AQ106)+(AR105*AR106),"")</f>
        <v/>
      </c>
      <c r="BK106" s="182" t="str">
        <f>IFERROR((AV105*AV106)+(AW105*AW106)+(AX105*AX106)+(AY105*AY106)+(AZ105*AZ106)+(BA105*BA106),"")</f>
        <v/>
      </c>
      <c r="BL106" s="195" t="e">
        <f>IFERROR(BH106+BI106+BJ106+BK106,NA())</f>
        <v>#N/A</v>
      </c>
      <c r="BM106" s="184"/>
      <c r="BN106" s="182" t="s">
        <v>244</v>
      </c>
      <c r="BO106" s="182">
        <f>IF(B103="RE",(BL104),0)+IF(B105="RE",(BL106),0)+IF(B107="RE",(BL108),0)+IF(B109="RE",(BL110),0)+IF(B111="RE",(BL112),0)+IF(B113="RE",(BL114),0)+IF(B115="RE",(BL116),0)+IF(B117="RE",(BL118),0)</f>
        <v>0</v>
      </c>
      <c r="BP106" s="185" t="e">
        <f>(BO106/$BO$107)*100</f>
        <v>#N/A</v>
      </c>
      <c r="BS106" s="181" t="s">
        <v>310</v>
      </c>
      <c r="BT106" s="50">
        <f>IF($B105="PE",(BH106*$E105*$F105),0)</f>
        <v>0</v>
      </c>
      <c r="BU106" s="186">
        <f>IF($B105="PE",(BI106*$E105*$F105),0)</f>
        <v>0</v>
      </c>
      <c r="BV106" s="186">
        <f>IF($B105="PE",(BJ106*$E105*$F105),0)</f>
        <v>0</v>
      </c>
      <c r="BW106" s="186">
        <f>IF($B105="PE",(BK106*$E105*$F105),0)</f>
        <v>0</v>
      </c>
      <c r="BX106" s="187">
        <f t="shared" si="4"/>
        <v>0</v>
      </c>
    </row>
    <row r="107" spans="1:161" s="34" customFormat="1" ht="25" customHeight="1">
      <c r="A107" s="127" t="s">
        <v>319</v>
      </c>
      <c r="B107" s="127" t="s">
        <v>317</v>
      </c>
      <c r="C107" s="127" t="s">
        <v>313</v>
      </c>
      <c r="D107" s="128" t="str">
        <f>IFERROR(INDEX([2]!Table1RM[#Data],MATCH($M$56,[2]!Table1RM[Athlete],0),MATCH($L107,[2]!Table1RM[#Headers],0)),"")</f>
        <v/>
      </c>
      <c r="E107" s="127" t="str">
        <f>IF($B107="PE",INDEX([2]ExerciseInventory!$J$2:$L$276,MATCH($L107,[2]ExerciseInventory!$J$2:$J$287,0),2),"")</f>
        <v/>
      </c>
      <c r="F107" s="128" t="str">
        <f>IF($B107="PE",INDEX([2]ExerciseInventory!$J$2:$L$276,MATCH($L107,[2]ExerciseInventory!$J$2:$J$287,0),3),"")</f>
        <v/>
      </c>
      <c r="G107" s="128"/>
      <c r="H107" s="127"/>
      <c r="J107" s="36"/>
      <c r="K107" s="196" t="s">
        <v>110</v>
      </c>
      <c r="L107" s="197" t="s">
        <v>189</v>
      </c>
      <c r="M107" s="197"/>
      <c r="N107" s="197"/>
      <c r="O107" s="197"/>
      <c r="P107" s="198"/>
      <c r="Q107" s="199"/>
      <c r="R107" s="200"/>
      <c r="S107" s="175" t="str">
        <f>CLEAN(IFERROR(INDEX(TableSetRepSchemes,MATCH(#REF!,ListSetRepSchemes,0),COLUMNS($R107:S107)),""))</f>
        <v/>
      </c>
      <c r="T107" s="111"/>
      <c r="U107" s="176" t="s">
        <v>349</v>
      </c>
      <c r="V107" s="177"/>
      <c r="W107" s="177"/>
      <c r="X107" s="177"/>
      <c r="Y107" s="177"/>
      <c r="Z107" s="177"/>
      <c r="AA107" s="178"/>
      <c r="AB107" s="179" t="str">
        <f>CLEAN(IFERROR(INDEX(TableSetRepSchemes,MATCH('1'!$C107,ListSetRepSchemes,0),COLUMNS($R107:AB107)),""))</f>
        <v/>
      </c>
      <c r="AC107" s="178"/>
      <c r="AD107" s="178">
        <f>IFERROR(INDEX(TableSetRepSchemes,MATCH('1'!$C107,ListSetRepSchemes,0),COLUMNS($R107:AD107)),"")</f>
        <v>6</v>
      </c>
      <c r="AE107" s="178">
        <f>IFERROR(INDEX(TableSetRepSchemes,MATCH('1'!$C107,ListSetRepSchemes,0),COLUMNS($R107:AE107)),"")</f>
        <v>6</v>
      </c>
      <c r="AF107" s="178">
        <f>IFERROR(INDEX(TableSetRepSchemes,MATCH('1'!$C107,ListSetRepSchemes,0),COLUMNS($R107:AF107)),"")</f>
        <v>6</v>
      </c>
      <c r="AG107" s="178">
        <f>IFERROR(INDEX(TableSetRepSchemes,MATCH('1'!$C107,ListSetRepSchemes,0),COLUMNS($R107:AG107)),"")</f>
        <v>0</v>
      </c>
      <c r="AH107" s="178">
        <f>IFERROR(INDEX(TableSetRepSchemes,MATCH('1'!$C107,ListSetRepSchemes,0),COLUMNS($R107:AH107)),"")</f>
        <v>0</v>
      </c>
      <c r="AI107" s="178">
        <f>IFERROR(INDEX(TableSetRepSchemes,MATCH('1'!$C107,ListSetRepSchemes,0),COLUMNS($R107:AI107)),"")</f>
        <v>0</v>
      </c>
      <c r="AJ107" s="178"/>
      <c r="AK107" s="179" t="str">
        <f>CLEAN(IFERROR(INDEX(TableSetRepSchemes,MATCH('1'!$C107,ListSetRepSchemes,0),COLUMNS($R107:AK107)),""))</f>
        <v/>
      </c>
      <c r="AL107" s="178"/>
      <c r="AM107" s="178">
        <f>IFERROR(INDEX(TableSetRepSchemes,MATCH('1'!$C107,ListSetRepSchemes,0),COLUMNS($R107:AM107)),"")</f>
        <v>7</v>
      </c>
      <c r="AN107" s="178">
        <f>IFERROR(INDEX(TableSetRepSchemes,MATCH('1'!$C107,ListSetRepSchemes,0),COLUMNS($R107:AN107)),"")</f>
        <v>7</v>
      </c>
      <c r="AO107" s="178">
        <f>IFERROR(INDEX(TableSetRepSchemes,MATCH('1'!$C107,ListSetRepSchemes,0),COLUMNS($R107:AO107)),"")</f>
        <v>7</v>
      </c>
      <c r="AP107" s="178">
        <f>IFERROR(INDEX(TableSetRepSchemes,MATCH('1'!$C107,ListSetRepSchemes,0),COLUMNS($R107:AP107)),"")</f>
        <v>0</v>
      </c>
      <c r="AQ107" s="178">
        <f>IFERROR(INDEX(TableSetRepSchemes,MATCH('1'!$C107,ListSetRepSchemes,0),COLUMNS($R107:AQ107)),"")</f>
        <v>0</v>
      </c>
      <c r="AR107" s="178">
        <f>IFERROR(INDEX(TableSetRepSchemes,MATCH('1'!$C107,ListSetRepSchemes,0),COLUMNS($R107:AR107)),"")</f>
        <v>0</v>
      </c>
      <c r="AS107" s="178"/>
      <c r="AT107" s="179" t="str">
        <f>CLEAN(IFERROR(INDEX(TableSetRepSchemes,MATCH('1'!$C107,ListSetRepSchemes,0),COLUMNS($R107:AT107)),""))</f>
        <v/>
      </c>
      <c r="AU107" s="178"/>
      <c r="AV107" s="178">
        <f>IFERROR(INDEX(TableSetRepSchemes,MATCH('1'!$C107,ListSetRepSchemes,0),COLUMNS($R107:AV107)),"")</f>
        <v>8</v>
      </c>
      <c r="AW107" s="178">
        <f>IFERROR(INDEX(TableSetRepSchemes,MATCH('1'!$C107,ListSetRepSchemes,0),COLUMNS($R107:AW107)),"")</f>
        <v>8</v>
      </c>
      <c r="AX107" s="178">
        <f>IFERROR(INDEX(TableSetRepSchemes,MATCH('1'!$C107,ListSetRepSchemes,0),COLUMNS($R107:AX107)),"")</f>
        <v>8</v>
      </c>
      <c r="AY107" s="178">
        <f>IFERROR(INDEX(TableSetRepSchemes,MATCH('1'!$C107,ListSetRepSchemes,0),COLUMNS($R107:AY107)),"")</f>
        <v>0</v>
      </c>
      <c r="AZ107" s="178">
        <f>IFERROR(INDEX(TableSetRepSchemes,MATCH('1'!$C107,ListSetRepSchemes,0),COLUMNS($R107:AZ107)),"")</f>
        <v>0</v>
      </c>
      <c r="BA107" s="178">
        <f>IFERROR(INDEX(TableSetRepSchemes,MATCH('1'!$C107,ListSetRepSchemes,0),COLUMNS($R107:BA107)),"")</f>
        <v>0</v>
      </c>
      <c r="BB107" s="180"/>
      <c r="BC107" s="36"/>
      <c r="BG107" s="181" t="s">
        <v>308</v>
      </c>
      <c r="BH107" s="182">
        <f>IFERROR(SUM(SUBSTITUTE(U107,"/s",""),V107:Z107),0)</f>
        <v>0</v>
      </c>
      <c r="BI107" s="182">
        <f>SUM(SUBSTITUTE(AD107,"/s",""),AE107:AI107)</f>
        <v>18</v>
      </c>
      <c r="BJ107" s="182">
        <f>SUM(AM107:AR107)</f>
        <v>21</v>
      </c>
      <c r="BK107" s="182">
        <f>SUM(AV107:BA107)</f>
        <v>24</v>
      </c>
      <c r="BL107" s="195"/>
      <c r="BM107" s="184"/>
      <c r="BN107" s="182" t="s">
        <v>321</v>
      </c>
      <c r="BO107" s="182" t="e">
        <f>SUM(BO103:BO106)</f>
        <v>#N/A</v>
      </c>
      <c r="BP107" s="182"/>
      <c r="BS107" s="181" t="s">
        <v>308</v>
      </c>
      <c r="BT107" s="50" t="str">
        <f>IF($B107="PE",BH107,"")</f>
        <v/>
      </c>
      <c r="BU107" s="186" t="str">
        <f>IF($B107="PE",BI107,"")</f>
        <v/>
      </c>
      <c r="BV107" s="186" t="str">
        <f>IF($B107="PE",BJ107,"")</f>
        <v/>
      </c>
      <c r="BW107" s="186" t="str">
        <f>IF($B107="PE",BK107,"")</f>
        <v/>
      </c>
      <c r="BX107" s="187" t="e">
        <f t="shared" si="4"/>
        <v>#N/A</v>
      </c>
    </row>
    <row r="108" spans="1:161" s="34" customFormat="1" ht="25" customHeight="1">
      <c r="A108" s="129"/>
      <c r="B108" s="129"/>
      <c r="C108" s="129"/>
      <c r="D108" s="128"/>
      <c r="E108" s="129"/>
      <c r="F108" s="128"/>
      <c r="G108" s="128"/>
      <c r="H108" s="129"/>
      <c r="J108" s="36"/>
      <c r="K108" s="201"/>
      <c r="L108" s="202"/>
      <c r="M108" s="202"/>
      <c r="N108" s="202"/>
      <c r="O108" s="202"/>
      <c r="P108" s="203"/>
      <c r="Q108" s="204"/>
      <c r="R108" s="205"/>
      <c r="S108" s="193"/>
      <c r="T108" s="111"/>
      <c r="U108" s="177"/>
      <c r="V108" s="177"/>
      <c r="W108" s="177"/>
      <c r="X108" s="177"/>
      <c r="Y108" s="177"/>
      <c r="Z108" s="177"/>
      <c r="AA108" s="178"/>
      <c r="AB108" s="194"/>
      <c r="AC108" s="178"/>
      <c r="AD108" s="178"/>
      <c r="AE108" s="178"/>
      <c r="AF108" s="178"/>
      <c r="AG108" s="178"/>
      <c r="AH108" s="178"/>
      <c r="AI108" s="178"/>
      <c r="AJ108" s="178"/>
      <c r="AK108" s="194"/>
      <c r="AL108" s="178"/>
      <c r="AM108" s="178"/>
      <c r="AN108" s="178"/>
      <c r="AO108" s="178"/>
      <c r="AP108" s="178"/>
      <c r="AQ108" s="178"/>
      <c r="AR108" s="178"/>
      <c r="AS108" s="178"/>
      <c r="AT108" s="194"/>
      <c r="AU108" s="178"/>
      <c r="AV108" s="178"/>
      <c r="AW108" s="178"/>
      <c r="AX108" s="178"/>
      <c r="AY108" s="178"/>
      <c r="AZ108" s="178"/>
      <c r="BA108" s="178"/>
      <c r="BB108" s="180"/>
      <c r="BC108" s="36"/>
      <c r="BG108" s="181" t="s">
        <v>310</v>
      </c>
      <c r="BH108" s="182">
        <f>IFERROR((SUBSTITUTE(U107,"/s","")*U108)+(V107*V108)+(W107*W108)+(X107*X108)+(Y107*Y108)+(Z107*Z108),0)</f>
        <v>0</v>
      </c>
      <c r="BI108" s="182">
        <f>IFERROR((SUBSTITUTE(AD107,"/s","")*AD108)+(AE107*AE108)+(AF107*AF108)+(AG107*AG108)+(AH107*AH108)+(AI107*AI108),0)</f>
        <v>0</v>
      </c>
      <c r="BJ108" s="182">
        <f>IFERROR((AM107*AM108)+(AN107*AN108)+(AO107*AO108)+(AP107*AP108)+(AQ107*AQ108)+(AR107*AR108),"")</f>
        <v>0</v>
      </c>
      <c r="BK108" s="182">
        <f>IFERROR((AV107*AV108)+(AW107*AW108)+(AX107*AX108)+(AY107*AY108)+(AZ107*AZ108)+(BA107*BA108),"")</f>
        <v>0</v>
      </c>
      <c r="BL108" s="195">
        <f>IFERROR(BH108+BI108+BJ108+BK108,NA())</f>
        <v>0</v>
      </c>
      <c r="BM108" s="184"/>
      <c r="BN108" s="184"/>
      <c r="BO108" s="184"/>
      <c r="BP108" s="184"/>
      <c r="BS108" s="181" t="s">
        <v>310</v>
      </c>
      <c r="BT108" s="50">
        <f>IF($B107="PE",(BH108*$E107*$F107),0)</f>
        <v>0</v>
      </c>
      <c r="BU108" s="186">
        <f>IF($B107="PE",(BI108*$E107*$F107),0)</f>
        <v>0</v>
      </c>
      <c r="BV108" s="186">
        <f>IF($B107="PE",(BJ108*$E107*$F107),0)</f>
        <v>0</v>
      </c>
      <c r="BW108" s="186">
        <f>IF($B107="PE",(BK108*$E107*$F107),0)</f>
        <v>0</v>
      </c>
      <c r="BX108" s="187">
        <f t="shared" si="4"/>
        <v>0</v>
      </c>
    </row>
    <row r="109" spans="1:161" s="34" customFormat="1" ht="25" customHeight="1">
      <c r="A109" s="127"/>
      <c r="B109" s="127"/>
      <c r="C109" s="127" t="s">
        <v>306</v>
      </c>
      <c r="D109" s="128" t="str">
        <f>IFERROR(INDEX([2]!Table1RM[#Data],MATCH($M$56,[2]!Table1RM[Athlete],0),MATCH($L109,[2]!Table1RM[#Headers],0)),"")</f>
        <v/>
      </c>
      <c r="E109" s="127" t="str">
        <f>IF($B109="PE",INDEX([2]ExerciseInventory!$J$2:$L$276,MATCH($L109,[2]ExerciseInventory!$J$2:$J$287,0),2),"")</f>
        <v/>
      </c>
      <c r="F109" s="128" t="str">
        <f>IF($B109="PE",INDEX([2]ExerciseInventory!$J$2:$L$276,MATCH($L109,[2]ExerciseInventory!$J$2:$J$287,0),3),"")</f>
        <v/>
      </c>
      <c r="G109" s="128"/>
      <c r="H109" s="127"/>
      <c r="J109" s="36"/>
      <c r="K109" s="196" t="s">
        <v>111</v>
      </c>
      <c r="L109" s="197" t="s">
        <v>190</v>
      </c>
      <c r="M109" s="197"/>
      <c r="N109" s="197"/>
      <c r="O109" s="197"/>
      <c r="P109" s="198"/>
      <c r="Q109" s="199"/>
      <c r="R109" s="200"/>
      <c r="S109" s="175" t="str">
        <f>CLEAN(IFERROR(INDEX(TableSetRepSchemes,MATCH(#REF!,ListSetRepSchemes,0),COLUMNS($R109:S109)),""))</f>
        <v/>
      </c>
      <c r="T109" s="111"/>
      <c r="U109" s="176" t="s">
        <v>350</v>
      </c>
      <c r="V109" s="177"/>
      <c r="W109" s="177"/>
      <c r="X109" s="177"/>
      <c r="Y109" s="177"/>
      <c r="Z109" s="177"/>
      <c r="AA109" s="178"/>
      <c r="AB109" s="179" t="str">
        <f>CLEAN(IFERROR(INDEX(TableSetRepSchemes,MATCH('1'!$C109,ListSetRepSchemes,0),COLUMNS($R109:AB109)),""))</f>
        <v/>
      </c>
      <c r="AC109" s="178"/>
      <c r="AD109" s="178">
        <f>IFERROR(INDEX(TableSetRepSchemes,MATCH('1'!$C109,ListSetRepSchemes,0),COLUMNS($R109:AD109)),"")</f>
        <v>8</v>
      </c>
      <c r="AE109" s="178">
        <f>IFERROR(INDEX(TableSetRepSchemes,MATCH('1'!$C109,ListSetRepSchemes,0),COLUMNS($R109:AE109)),"")</f>
        <v>8</v>
      </c>
      <c r="AF109" s="178">
        <f>IFERROR(INDEX(TableSetRepSchemes,MATCH('1'!$C109,ListSetRepSchemes,0),COLUMNS($R109:AF109)),"")</f>
        <v>8</v>
      </c>
      <c r="AG109" s="178">
        <f>IFERROR(INDEX(TableSetRepSchemes,MATCH('1'!$C109,ListSetRepSchemes,0),COLUMNS($R109:AG109)),"")</f>
        <v>0</v>
      </c>
      <c r="AH109" s="178">
        <f>IFERROR(INDEX(TableSetRepSchemes,MATCH('1'!$C109,ListSetRepSchemes,0),COLUMNS($R109:AH109)),"")</f>
        <v>0</v>
      </c>
      <c r="AI109" s="178">
        <f>IFERROR(INDEX(TableSetRepSchemes,MATCH('1'!$C109,ListSetRepSchemes,0),COLUMNS($R109:AI109)),"")</f>
        <v>0</v>
      </c>
      <c r="AJ109" s="178"/>
      <c r="AK109" s="179" t="str">
        <f>CLEAN(IFERROR(INDEX(TableSetRepSchemes,MATCH('1'!$C109,ListSetRepSchemes,0),COLUMNS($R109:AK109)),""))</f>
        <v/>
      </c>
      <c r="AL109" s="178"/>
      <c r="AM109" s="178">
        <f>IFERROR(INDEX(TableSetRepSchemes,MATCH('1'!$C109,ListSetRepSchemes,0),COLUMNS($R109:AM109)),"")</f>
        <v>8</v>
      </c>
      <c r="AN109" s="178">
        <f>IFERROR(INDEX(TableSetRepSchemes,MATCH('1'!$C109,ListSetRepSchemes,0),COLUMNS($R109:AN109)),"")</f>
        <v>8</v>
      </c>
      <c r="AO109" s="178">
        <f>IFERROR(INDEX(TableSetRepSchemes,MATCH('1'!$C109,ListSetRepSchemes,0),COLUMNS($R109:AO109)),"")</f>
        <v>8</v>
      </c>
      <c r="AP109" s="178">
        <f>IFERROR(INDEX(TableSetRepSchemes,MATCH('1'!$C109,ListSetRepSchemes,0),COLUMNS($R109:AP109)),"")</f>
        <v>0</v>
      </c>
      <c r="AQ109" s="178">
        <f>IFERROR(INDEX(TableSetRepSchemes,MATCH('1'!$C109,ListSetRepSchemes,0),COLUMNS($R109:AQ109)),"")</f>
        <v>0</v>
      </c>
      <c r="AR109" s="178">
        <f>IFERROR(INDEX(TableSetRepSchemes,MATCH('1'!$C109,ListSetRepSchemes,0),COLUMNS($R109:AR109)),"")</f>
        <v>0</v>
      </c>
      <c r="AS109" s="178"/>
      <c r="AT109" s="179" t="str">
        <f>CLEAN(IFERROR(INDEX(TableSetRepSchemes,MATCH('1'!$C109,ListSetRepSchemes,0),COLUMNS($R109:AT109)),""))</f>
        <v/>
      </c>
      <c r="AU109" s="178"/>
      <c r="AV109" s="178">
        <f>IFERROR(INDEX(TableSetRepSchemes,MATCH('1'!$C109,ListSetRepSchemes,0),COLUMNS($R109:AV109)),"")</f>
        <v>8</v>
      </c>
      <c r="AW109" s="178">
        <f>IFERROR(INDEX(TableSetRepSchemes,MATCH('1'!$C109,ListSetRepSchemes,0),COLUMNS($R109:AW109)),"")</f>
        <v>8</v>
      </c>
      <c r="AX109" s="178">
        <f>IFERROR(INDEX(TableSetRepSchemes,MATCH('1'!$C109,ListSetRepSchemes,0),COLUMNS($R109:AX109)),"")</f>
        <v>8</v>
      </c>
      <c r="AY109" s="178">
        <f>IFERROR(INDEX(TableSetRepSchemes,MATCH('1'!$C109,ListSetRepSchemes,0),COLUMNS($R109:AY109)),"")</f>
        <v>0</v>
      </c>
      <c r="AZ109" s="178">
        <f>IFERROR(INDEX(TableSetRepSchemes,MATCH('1'!$C109,ListSetRepSchemes,0),COLUMNS($R109:AZ109)),"")</f>
        <v>0</v>
      </c>
      <c r="BA109" s="178">
        <f>IFERROR(INDEX(TableSetRepSchemes,MATCH('1'!$C109,ListSetRepSchemes,0),COLUMNS($R109:BA109)),"")</f>
        <v>0</v>
      </c>
      <c r="BB109" s="180"/>
      <c r="BC109" s="36"/>
      <c r="BG109" s="181" t="s">
        <v>308</v>
      </c>
      <c r="BH109" s="182">
        <f>IFERROR(SUM(SUBSTITUTE(U109,"/s",""),V109:Z109),0)</f>
        <v>0</v>
      </c>
      <c r="BI109" s="182">
        <f>SUM(SUBSTITUTE(AD109,"/s",""),AE109:AI109)</f>
        <v>24</v>
      </c>
      <c r="BJ109" s="182">
        <f>SUM(AM109:AR109)</f>
        <v>24</v>
      </c>
      <c r="BK109" s="182">
        <f>SUM(AV109:BA109)</f>
        <v>24</v>
      </c>
      <c r="BL109" s="195"/>
      <c r="BM109" s="184"/>
      <c r="BN109" s="184"/>
      <c r="BO109" s="184"/>
      <c r="BP109" s="184"/>
      <c r="BS109" s="181" t="s">
        <v>308</v>
      </c>
      <c r="BT109" s="50" t="str">
        <f>IF($B109="PE",BH109,"")</f>
        <v/>
      </c>
      <c r="BU109" s="186" t="str">
        <f>IF($B109="PE",BI109,"")</f>
        <v/>
      </c>
      <c r="BV109" s="186" t="str">
        <f>IF($B109="PE",BJ109,"")</f>
        <v/>
      </c>
      <c r="BW109" s="186" t="str">
        <f>IF($B109="PE",BK109,"")</f>
        <v/>
      </c>
      <c r="BX109" s="187" t="e">
        <f t="shared" si="4"/>
        <v>#N/A</v>
      </c>
    </row>
    <row r="110" spans="1:161" s="34" customFormat="1" ht="25" customHeight="1">
      <c r="A110" s="129"/>
      <c r="B110" s="129"/>
      <c r="C110" s="129"/>
      <c r="D110" s="128"/>
      <c r="E110" s="129"/>
      <c r="F110" s="128"/>
      <c r="G110" s="128"/>
      <c r="H110" s="129"/>
      <c r="J110" s="36"/>
      <c r="K110" s="201"/>
      <c r="L110" s="202"/>
      <c r="M110" s="202"/>
      <c r="N110" s="202"/>
      <c r="O110" s="202"/>
      <c r="P110" s="203"/>
      <c r="Q110" s="204"/>
      <c r="R110" s="205"/>
      <c r="S110" s="193"/>
      <c r="T110" s="111"/>
      <c r="U110" s="177"/>
      <c r="V110" s="177"/>
      <c r="W110" s="177"/>
      <c r="X110" s="177"/>
      <c r="Y110" s="177"/>
      <c r="Z110" s="177"/>
      <c r="AA110" s="178"/>
      <c r="AB110" s="194"/>
      <c r="AC110" s="178"/>
      <c r="AD110" s="178"/>
      <c r="AE110" s="178"/>
      <c r="AF110" s="178"/>
      <c r="AG110" s="178"/>
      <c r="AH110" s="178"/>
      <c r="AI110" s="178"/>
      <c r="AJ110" s="178"/>
      <c r="AK110" s="194"/>
      <c r="AL110" s="178"/>
      <c r="AM110" s="178"/>
      <c r="AN110" s="178"/>
      <c r="AO110" s="178"/>
      <c r="AP110" s="178"/>
      <c r="AQ110" s="178"/>
      <c r="AR110" s="178"/>
      <c r="AS110" s="178"/>
      <c r="AT110" s="194"/>
      <c r="AU110" s="178"/>
      <c r="AV110" s="178"/>
      <c r="AW110" s="178"/>
      <c r="AX110" s="178"/>
      <c r="AY110" s="178"/>
      <c r="AZ110" s="178"/>
      <c r="BA110" s="178"/>
      <c r="BB110" s="180"/>
      <c r="BC110" s="36"/>
      <c r="BG110" s="181" t="s">
        <v>310</v>
      </c>
      <c r="BH110" s="182">
        <f>IFERROR((SUBSTITUTE(U109,"/s","")*U110)+(V109*V110)+(W109*W110)+(X109*X110)+(Y109*Y110)+(Z109*Z110),0)</f>
        <v>0</v>
      </c>
      <c r="BI110" s="182">
        <f>IFERROR((SUBSTITUTE(AD109,"/s","")*AD110)+(AE109*AE110)+(AF109*AF110)+(AG109*AG110)+(AH109*AH110)+(AI109*AI110),0)</f>
        <v>0</v>
      </c>
      <c r="BJ110" s="182">
        <f>IFERROR((AM109*AM110)+(AN109*AN110)+(AO109*AO110)+(AP109*AP110)+(AQ109*AQ110)+(AR109*AR110),"")</f>
        <v>0</v>
      </c>
      <c r="BK110" s="182">
        <f>IFERROR((AV109*AV110)+(AW109*AW110)+(AX109*AX110)+(AY109*AY110)+(AZ109*AZ110)+(BA109*BA110),"")</f>
        <v>0</v>
      </c>
      <c r="BL110" s="195">
        <f>IFERROR(BH110+BI110+BJ110+BK110,NA())</f>
        <v>0</v>
      </c>
      <c r="BM110" s="184"/>
      <c r="BN110" s="184"/>
      <c r="BO110" s="184"/>
      <c r="BP110" s="184"/>
      <c r="BS110" s="181" t="s">
        <v>310</v>
      </c>
      <c r="BT110" s="50">
        <f>IF($B109="PE",(BH110*$E109*$F109),0)</f>
        <v>0</v>
      </c>
      <c r="BU110" s="186">
        <f>IF($B109="PE",(BI110*$E109*$F109),0)</f>
        <v>0</v>
      </c>
      <c r="BV110" s="186">
        <f>IF($B109="PE",(BJ110*$E109*$F109),0)</f>
        <v>0</v>
      </c>
      <c r="BW110" s="186">
        <f>IF($B109="PE",(BK110*$E109*$F109),0)</f>
        <v>0</v>
      </c>
      <c r="BX110" s="187">
        <f t="shared" si="4"/>
        <v>0</v>
      </c>
    </row>
    <row r="111" spans="1:161" s="34" customFormat="1" ht="25" customHeight="1">
      <c r="A111" s="127" t="s">
        <v>323</v>
      </c>
      <c r="B111" s="127" t="s">
        <v>244</v>
      </c>
      <c r="C111" s="127" t="s">
        <v>351</v>
      </c>
      <c r="D111" s="128" t="str">
        <f>IFERROR(INDEX([2]!Table1RM[#Data],MATCH($M$56,[2]!Table1RM[Athlete],0),MATCH($L111,[2]!Table1RM[#Headers],0)),"")</f>
        <v/>
      </c>
      <c r="E111" s="127" t="str">
        <f>IF($B111="PE",INDEX([2]ExerciseInventory!$J$2:$L$276,MATCH($L111,[2]ExerciseInventory!$J$2:$J$287,0),2),"")</f>
        <v/>
      </c>
      <c r="F111" s="128" t="str">
        <f>IF($B111="PE",INDEX([2]ExerciseInventory!$J$2:$L$276,MATCH($L111,[2]ExerciseInventory!$J$2:$J$287,0),3),"")</f>
        <v/>
      </c>
      <c r="G111" s="128"/>
      <c r="H111" s="127"/>
      <c r="J111" s="36"/>
      <c r="K111" s="170" t="s">
        <v>113</v>
      </c>
      <c r="L111" s="171" t="s">
        <v>352</v>
      </c>
      <c r="M111" s="171"/>
      <c r="N111" s="171"/>
      <c r="O111" s="171"/>
      <c r="P111" s="172"/>
      <c r="Q111" s="173"/>
      <c r="R111" s="174"/>
      <c r="S111" s="175" t="str">
        <f>CLEAN(IFERROR(INDEX(TableSetRepSchemes,MATCH(#REF!,ListSetRepSchemes,0),COLUMNS($R111:S111)),""))</f>
        <v/>
      </c>
      <c r="T111" s="111"/>
      <c r="U111" s="176" t="s">
        <v>353</v>
      </c>
      <c r="V111" s="177"/>
      <c r="W111" s="177"/>
      <c r="X111" s="177"/>
      <c r="Y111" s="177"/>
      <c r="Z111" s="177"/>
      <c r="AA111" s="178"/>
      <c r="AB111" s="179" t="str">
        <f>CLEAN(IFERROR(INDEX(TableSetRepSchemes,MATCH('1'!$C111,ListSetRepSchemes,0),COLUMNS($R111:AB111)),""))</f>
        <v/>
      </c>
      <c r="AC111" s="178"/>
      <c r="AD111" s="178">
        <f>IFERROR(INDEX(TableSetRepSchemes,MATCH('1'!$C111,ListSetRepSchemes,0),COLUMNS($R111:AD111)),"")</f>
        <v>3</v>
      </c>
      <c r="AE111" s="178">
        <f>IFERROR(INDEX(TableSetRepSchemes,MATCH('1'!$C111,ListSetRepSchemes,0),COLUMNS($R111:AE111)),"")</f>
        <v>3</v>
      </c>
      <c r="AF111" s="178">
        <f>IFERROR(INDEX(TableSetRepSchemes,MATCH('1'!$C111,ListSetRepSchemes,0),COLUMNS($R111:AF111)),"")</f>
        <v>3</v>
      </c>
      <c r="AG111" s="178">
        <f>IFERROR(INDEX(TableSetRepSchemes,MATCH('1'!$C111,ListSetRepSchemes,0),COLUMNS($R111:AG111)),"")</f>
        <v>0</v>
      </c>
      <c r="AH111" s="178">
        <f>IFERROR(INDEX(TableSetRepSchemes,MATCH('1'!$C111,ListSetRepSchemes,0),COLUMNS($R111:AH111)),"")</f>
        <v>0</v>
      </c>
      <c r="AI111" s="178">
        <f>IFERROR(INDEX(TableSetRepSchemes,MATCH('1'!$C111,ListSetRepSchemes,0),COLUMNS($R111:AI111)),"")</f>
        <v>0</v>
      </c>
      <c r="AJ111" s="178"/>
      <c r="AK111" s="179" t="str">
        <f>CLEAN(IFERROR(INDEX(TableSetRepSchemes,MATCH('1'!$C111,ListSetRepSchemes,0),COLUMNS($R111:AK111)),""))</f>
        <v/>
      </c>
      <c r="AL111" s="178"/>
      <c r="AM111" s="178">
        <f>IFERROR(INDEX(TableSetRepSchemes,MATCH('1'!$C111,ListSetRepSchemes,0),COLUMNS($R111:AM111)),"")</f>
        <v>3</v>
      </c>
      <c r="AN111" s="178">
        <f>IFERROR(INDEX(TableSetRepSchemes,MATCH('1'!$C111,ListSetRepSchemes,0),COLUMNS($R111:AN111)),"")</f>
        <v>3</v>
      </c>
      <c r="AO111" s="178">
        <f>IFERROR(INDEX(TableSetRepSchemes,MATCH('1'!$C111,ListSetRepSchemes,0),COLUMNS($R111:AO111)),"")</f>
        <v>3</v>
      </c>
      <c r="AP111" s="178">
        <f>IFERROR(INDEX(TableSetRepSchemes,MATCH('1'!$C111,ListSetRepSchemes,0),COLUMNS($R111:AP111)),"")</f>
        <v>0</v>
      </c>
      <c r="AQ111" s="178">
        <f>IFERROR(INDEX(TableSetRepSchemes,MATCH('1'!$C111,ListSetRepSchemes,0),COLUMNS($R111:AQ111)),"")</f>
        <v>0</v>
      </c>
      <c r="AR111" s="178">
        <f>IFERROR(INDEX(TableSetRepSchemes,MATCH('1'!$C111,ListSetRepSchemes,0),COLUMNS($R111:AR111)),"")</f>
        <v>0</v>
      </c>
      <c r="AS111" s="178"/>
      <c r="AT111" s="179" t="str">
        <f>CLEAN(IFERROR(INDEX(TableSetRepSchemes,MATCH('1'!$C111,ListSetRepSchemes,0),COLUMNS($R111:AT111)),""))</f>
        <v/>
      </c>
      <c r="AU111" s="178"/>
      <c r="AV111" s="178">
        <f>IFERROR(INDEX(TableSetRepSchemes,MATCH('1'!$C111,ListSetRepSchemes,0),COLUMNS($R111:AV111)),"")</f>
        <v>3</v>
      </c>
      <c r="AW111" s="178">
        <f>IFERROR(INDEX(TableSetRepSchemes,MATCH('1'!$C111,ListSetRepSchemes,0),COLUMNS($R111:AW111)),"")</f>
        <v>3</v>
      </c>
      <c r="AX111" s="178">
        <f>IFERROR(INDEX(TableSetRepSchemes,MATCH('1'!$C111,ListSetRepSchemes,0),COLUMNS($R111:AX111)),"")</f>
        <v>3</v>
      </c>
      <c r="AY111" s="178">
        <f>IFERROR(INDEX(TableSetRepSchemes,MATCH('1'!$C111,ListSetRepSchemes,0),COLUMNS($R111:AY111)),"")</f>
        <v>0</v>
      </c>
      <c r="AZ111" s="178">
        <f>IFERROR(INDEX(TableSetRepSchemes,MATCH('1'!$C111,ListSetRepSchemes,0),COLUMNS($R111:AZ111)),"")</f>
        <v>0</v>
      </c>
      <c r="BA111" s="178">
        <f>IFERROR(INDEX(TableSetRepSchemes,MATCH('1'!$C111,ListSetRepSchemes,0),COLUMNS($R111:BA111)),"")</f>
        <v>0</v>
      </c>
      <c r="BB111" s="180"/>
      <c r="BC111" s="36"/>
      <c r="BG111" s="181" t="s">
        <v>308</v>
      </c>
      <c r="BH111" s="182">
        <f>IFERROR(SUM(SUBSTITUTE(U111,"/s",""),V111:Z111),0)</f>
        <v>0</v>
      </c>
      <c r="BI111" s="182">
        <f>SUM(SUBSTITUTE(AD111,"/s",""),AE111:AI111)</f>
        <v>9</v>
      </c>
      <c r="BJ111" s="182">
        <f>SUM(AM111:AR111)</f>
        <v>9</v>
      </c>
      <c r="BK111" s="182">
        <f>SUM(AV111:BA111)</f>
        <v>9</v>
      </c>
      <c r="BL111" s="195"/>
      <c r="BM111" s="184"/>
      <c r="BN111" s="184"/>
      <c r="BO111" s="184"/>
      <c r="BP111" s="184"/>
      <c r="BS111" s="181" t="s">
        <v>308</v>
      </c>
      <c r="BT111" s="50" t="str">
        <f>IF($B111="PE",BH111,"")</f>
        <v/>
      </c>
      <c r="BU111" s="186" t="str">
        <f>IF($B111="PE",BI111,"")</f>
        <v/>
      </c>
      <c r="BV111" s="186" t="str">
        <f>IF($B111="PE",BJ111,"")</f>
        <v/>
      </c>
      <c r="BW111" s="186" t="str">
        <f>IF($B111="PE",BK111,"")</f>
        <v/>
      </c>
      <c r="BX111" s="187" t="e">
        <f t="shared" si="4"/>
        <v>#N/A</v>
      </c>
    </row>
    <row r="112" spans="1:161" s="34" customFormat="1" ht="25" customHeight="1">
      <c r="A112" s="129"/>
      <c r="B112" s="129"/>
      <c r="C112" s="129"/>
      <c r="D112" s="128"/>
      <c r="E112" s="129"/>
      <c r="F112" s="128"/>
      <c r="G112" s="128"/>
      <c r="H112" s="129"/>
      <c r="J112" s="36"/>
      <c r="K112" s="188"/>
      <c r="L112" s="189"/>
      <c r="M112" s="189"/>
      <c r="N112" s="189"/>
      <c r="O112" s="189"/>
      <c r="P112" s="190"/>
      <c r="Q112" s="191" t="s">
        <v>354</v>
      </c>
      <c r="R112" s="192"/>
      <c r="S112" s="193"/>
      <c r="T112" s="111"/>
      <c r="U112" s="177"/>
      <c r="V112" s="177"/>
      <c r="W112" s="177"/>
      <c r="X112" s="177"/>
      <c r="Y112" s="177"/>
      <c r="Z112" s="177"/>
      <c r="AA112" s="178"/>
      <c r="AB112" s="194"/>
      <c r="AC112" s="178"/>
      <c r="AD112" s="178"/>
      <c r="AE112" s="178"/>
      <c r="AF112" s="178"/>
      <c r="AG112" s="178"/>
      <c r="AH112" s="178"/>
      <c r="AI112" s="178"/>
      <c r="AJ112" s="178"/>
      <c r="AK112" s="194"/>
      <c r="AL112" s="178"/>
      <c r="AM112" s="178"/>
      <c r="AN112" s="178"/>
      <c r="AO112" s="178"/>
      <c r="AP112" s="178"/>
      <c r="AQ112" s="178"/>
      <c r="AR112" s="178"/>
      <c r="AS112" s="178"/>
      <c r="AT112" s="194"/>
      <c r="AU112" s="178"/>
      <c r="AV112" s="178"/>
      <c r="AW112" s="178"/>
      <c r="AX112" s="178"/>
      <c r="AY112" s="178"/>
      <c r="AZ112" s="178"/>
      <c r="BA112" s="178"/>
      <c r="BB112" s="180"/>
      <c r="BC112" s="36"/>
      <c r="BG112" s="181" t="s">
        <v>310</v>
      </c>
      <c r="BH112" s="182">
        <f>IFERROR((SUBSTITUTE(U111,"/s","")*U112)+(V111*V112)+(W111*W112)+(X111*X112)+(Y111*Y112)+(Z111*Z112),0)</f>
        <v>0</v>
      </c>
      <c r="BI112" s="182">
        <f>IFERROR((SUBSTITUTE(AD111,"/s","")*AD112)+(AE111*AE112)+(AF111*AF112)+(AG111*AG112)+(AH111*AH112)+(AI111*AI112),0)</f>
        <v>0</v>
      </c>
      <c r="BJ112" s="182">
        <f>IFERROR((AM111*AM112)+(AN111*AN112)+(AO111*AO112)+(AP111*AP112)+(AQ111*AQ112)+(AR111*AR112),"")</f>
        <v>0</v>
      </c>
      <c r="BK112" s="182">
        <f>IFERROR((AV111*AV112)+(AW111*AW112)+(AX111*AX112)+(AY111*AY112)+(AZ111*AZ112)+(BA111*BA112),"")</f>
        <v>0</v>
      </c>
      <c r="BL112" s="195">
        <f>IFERROR(BH112+BI112+BJ112+BK112,NA())</f>
        <v>0</v>
      </c>
      <c r="BM112" s="184"/>
      <c r="BN112" s="184"/>
      <c r="BO112" s="184"/>
      <c r="BP112" s="184"/>
      <c r="BS112" s="181" t="s">
        <v>310</v>
      </c>
      <c r="BT112" s="50">
        <f>IF($B111="PE",(BH112*$E111*$F111),0)</f>
        <v>0</v>
      </c>
      <c r="BU112" s="186">
        <f>IF($B111="PE",(BI112*$E111*$F111),0)</f>
        <v>0</v>
      </c>
      <c r="BV112" s="186">
        <f>IF($B111="PE",(BJ112*$E111*$F111),0)</f>
        <v>0</v>
      </c>
      <c r="BW112" s="186">
        <f>IF($B111="PE",(BK112*$E111*$F111),0)</f>
        <v>0</v>
      </c>
      <c r="BX112" s="187">
        <f t="shared" si="4"/>
        <v>0</v>
      </c>
    </row>
    <row r="113" spans="1:107" s="34" customFormat="1" ht="25" customHeight="1">
      <c r="A113" s="127" t="s">
        <v>323</v>
      </c>
      <c r="B113" s="127" t="s">
        <v>244</v>
      </c>
      <c r="C113" s="127" t="s">
        <v>306</v>
      </c>
      <c r="D113" s="128" t="str">
        <f>IFERROR(INDEX([2]!Table1RM[#Data],MATCH($M$56,[2]!Table1RM[Athlete],0),MATCH($L113,[2]!Table1RM[#Headers],0)),"")</f>
        <v/>
      </c>
      <c r="E113" s="127" t="str">
        <f>IF($B113="PE",INDEX([2]ExerciseInventory!$J$2:$L$276,MATCH($L113,[2]ExerciseInventory!$J$2:$J$287,0),2),"")</f>
        <v/>
      </c>
      <c r="F113" s="128" t="str">
        <f>IF($B113="PE",INDEX([2]ExerciseInventory!$J$2:$L$276,MATCH($L113,[2]ExerciseInventory!$J$2:$J$287,0),3),"")</f>
        <v/>
      </c>
      <c r="G113" s="128"/>
      <c r="H113" s="127"/>
      <c r="J113" s="36"/>
      <c r="K113" s="170" t="s">
        <v>114</v>
      </c>
      <c r="L113" s="171" t="s">
        <v>355</v>
      </c>
      <c r="M113" s="171"/>
      <c r="N113" s="171"/>
      <c r="O113" s="171"/>
      <c r="P113" s="172"/>
      <c r="Q113" s="173"/>
      <c r="R113" s="174"/>
      <c r="S113" s="175" t="str">
        <f>CLEAN(IFERROR(INDEX(TableSetRepSchemes,MATCH(#REF!,ListSetRepSchemes,0),COLUMNS($R113:S113)),""))</f>
        <v/>
      </c>
      <c r="T113" s="111"/>
      <c r="U113" s="176"/>
      <c r="V113" s="177"/>
      <c r="W113" s="177"/>
      <c r="X113" s="177"/>
      <c r="Y113" s="177"/>
      <c r="Z113" s="177"/>
      <c r="AA113" s="178"/>
      <c r="AB113" s="179" t="str">
        <f>CLEAN(IFERROR(INDEX(TableSetRepSchemes,MATCH('1'!$C113,ListSetRepSchemes,0),COLUMNS($R113:AB113)),""))</f>
        <v/>
      </c>
      <c r="AC113" s="178"/>
      <c r="AD113" s="178" t="s">
        <v>263</v>
      </c>
      <c r="AE113" s="178">
        <f>IFERROR(INDEX(TableSetRepSchemes,MATCH('1'!$C113,ListSetRepSchemes,0),COLUMNS($R113:AE113)),"")</f>
        <v>8</v>
      </c>
      <c r="AF113" s="178">
        <f>IFERROR(INDEX(TableSetRepSchemes,MATCH('1'!$C113,ListSetRepSchemes,0),COLUMNS($R113:AF113)),"")</f>
        <v>8</v>
      </c>
      <c r="AG113" s="178">
        <f>IFERROR(INDEX(TableSetRepSchemes,MATCH('1'!$C113,ListSetRepSchemes,0),COLUMNS($R113:AG113)),"")</f>
        <v>0</v>
      </c>
      <c r="AH113" s="178">
        <f>IFERROR(INDEX(TableSetRepSchemes,MATCH('1'!$C113,ListSetRepSchemes,0),COLUMNS($R113:AH113)),"")</f>
        <v>0</v>
      </c>
      <c r="AI113" s="178">
        <f>IFERROR(INDEX(TableSetRepSchemes,MATCH('1'!$C113,ListSetRepSchemes,0),COLUMNS($R113:AI113)),"")</f>
        <v>0</v>
      </c>
      <c r="AJ113" s="178"/>
      <c r="AK113" s="179" t="str">
        <f>CLEAN(IFERROR(INDEX(TableSetRepSchemes,MATCH('1'!$C113,ListSetRepSchemes,0),COLUMNS($R113:AK113)),""))</f>
        <v/>
      </c>
      <c r="AL113" s="178"/>
      <c r="AM113" s="178">
        <f>IFERROR(INDEX(TableSetRepSchemes,MATCH('1'!$C113,ListSetRepSchemes,0),COLUMNS($R113:AM113)),"")</f>
        <v>8</v>
      </c>
      <c r="AN113" s="178">
        <f>IFERROR(INDEX(TableSetRepSchemes,MATCH('1'!$C113,ListSetRepSchemes,0),COLUMNS($R113:AN113)),"")</f>
        <v>8</v>
      </c>
      <c r="AO113" s="178">
        <f>IFERROR(INDEX(TableSetRepSchemes,MATCH('1'!$C113,ListSetRepSchemes,0),COLUMNS($R113:AO113)),"")</f>
        <v>8</v>
      </c>
      <c r="AP113" s="178">
        <f>IFERROR(INDEX(TableSetRepSchemes,MATCH('1'!$C113,ListSetRepSchemes,0),COLUMNS($R113:AP113)),"")</f>
        <v>0</v>
      </c>
      <c r="AQ113" s="178">
        <f>IFERROR(INDEX(TableSetRepSchemes,MATCH('1'!$C113,ListSetRepSchemes,0),COLUMNS($R113:AQ113)),"")</f>
        <v>0</v>
      </c>
      <c r="AR113" s="178">
        <f>IFERROR(INDEX(TableSetRepSchemes,MATCH('1'!$C113,ListSetRepSchemes,0),COLUMNS($R113:AR113)),"")</f>
        <v>0</v>
      </c>
      <c r="AS113" s="178"/>
      <c r="AT113" s="179" t="str">
        <f>CLEAN(IFERROR(INDEX(TableSetRepSchemes,MATCH('1'!$C113,ListSetRepSchemes,0),COLUMNS($R113:AT113)),""))</f>
        <v/>
      </c>
      <c r="AU113" s="178"/>
      <c r="AV113" s="178">
        <f>IFERROR(INDEX(TableSetRepSchemes,MATCH('1'!$C113,ListSetRepSchemes,0),COLUMNS($R113:AV113)),"")</f>
        <v>8</v>
      </c>
      <c r="AW113" s="178">
        <f>IFERROR(INDEX(TableSetRepSchemes,MATCH('1'!$C113,ListSetRepSchemes,0),COLUMNS($R113:AW113)),"")</f>
        <v>8</v>
      </c>
      <c r="AX113" s="178">
        <f>IFERROR(INDEX(TableSetRepSchemes,MATCH('1'!$C113,ListSetRepSchemes,0),COLUMNS($R113:AX113)),"")</f>
        <v>8</v>
      </c>
      <c r="AY113" s="178">
        <f>IFERROR(INDEX(TableSetRepSchemes,MATCH('1'!$C113,ListSetRepSchemes,0),COLUMNS($R113:AY113)),"")</f>
        <v>0</v>
      </c>
      <c r="AZ113" s="178">
        <f>IFERROR(INDEX(TableSetRepSchemes,MATCH('1'!$C113,ListSetRepSchemes,0),COLUMNS($R113:AZ113)),"")</f>
        <v>0</v>
      </c>
      <c r="BA113" s="178">
        <f>IFERROR(INDEX(TableSetRepSchemes,MATCH('1'!$C113,ListSetRepSchemes,0),COLUMNS($R113:BA113)),"")</f>
        <v>0</v>
      </c>
      <c r="BB113" s="180"/>
      <c r="BC113" s="36"/>
      <c r="BG113" s="181" t="s">
        <v>308</v>
      </c>
      <c r="BH113" s="182">
        <f>IFERROR(SUM(SUBSTITUTE(U113,"/s",""),V113:Z113),0)</f>
        <v>0</v>
      </c>
      <c r="BI113" s="182">
        <f>SUM(SUBSTITUTE(AD113,"/s",""),AE113:AI113)</f>
        <v>24</v>
      </c>
      <c r="BJ113" s="182">
        <f>SUM(AM113:AR113)</f>
        <v>24</v>
      </c>
      <c r="BK113" s="182">
        <f>SUM(AV113:BA113)</f>
        <v>24</v>
      </c>
      <c r="BL113" s="195"/>
      <c r="BM113" s="184"/>
      <c r="BN113" s="184"/>
      <c r="BO113" s="184"/>
      <c r="BP113" s="184"/>
      <c r="BS113" s="181" t="s">
        <v>308</v>
      </c>
      <c r="BT113" s="50" t="str">
        <f>IF($B113="PE",BH113,"")</f>
        <v/>
      </c>
      <c r="BU113" s="186" t="str">
        <f>IF($B113="PE",BI113,"")</f>
        <v/>
      </c>
      <c r="BV113" s="186" t="str">
        <f>IF($B113="PE",BJ113,"")</f>
        <v/>
      </c>
      <c r="BW113" s="186" t="str">
        <f>IF($B113="PE",BK113,"")</f>
        <v/>
      </c>
      <c r="BX113" s="187" t="e">
        <f t="shared" si="4"/>
        <v>#N/A</v>
      </c>
    </row>
    <row r="114" spans="1:107" s="34" customFormat="1" ht="25" customHeight="1">
      <c r="A114" s="129"/>
      <c r="B114" s="129"/>
      <c r="C114" s="129"/>
      <c r="D114" s="128"/>
      <c r="E114" s="129"/>
      <c r="F114" s="128"/>
      <c r="G114" s="128"/>
      <c r="H114" s="129"/>
      <c r="J114" s="36"/>
      <c r="K114" s="188"/>
      <c r="L114" s="189"/>
      <c r="M114" s="189"/>
      <c r="N114" s="189"/>
      <c r="O114" s="189"/>
      <c r="P114" s="190"/>
      <c r="Q114" s="191"/>
      <c r="R114" s="192"/>
      <c r="S114" s="193"/>
      <c r="T114" s="111"/>
      <c r="U114" s="177"/>
      <c r="V114" s="177"/>
      <c r="W114" s="177"/>
      <c r="X114" s="177"/>
      <c r="Y114" s="177"/>
      <c r="Z114" s="177"/>
      <c r="AA114" s="178"/>
      <c r="AB114" s="194"/>
      <c r="AC114" s="178"/>
      <c r="AD114" s="178"/>
      <c r="AE114" s="178"/>
      <c r="AF114" s="178"/>
      <c r="AG114" s="178"/>
      <c r="AH114" s="178"/>
      <c r="AI114" s="178"/>
      <c r="AJ114" s="178"/>
      <c r="AK114" s="194"/>
      <c r="AL114" s="178"/>
      <c r="AM114" s="178"/>
      <c r="AN114" s="178"/>
      <c r="AO114" s="178"/>
      <c r="AP114" s="178"/>
      <c r="AQ114" s="178"/>
      <c r="AR114" s="178"/>
      <c r="AS114" s="178"/>
      <c r="AT114" s="194"/>
      <c r="AU114" s="178"/>
      <c r="AV114" s="178"/>
      <c r="AW114" s="178"/>
      <c r="AX114" s="178"/>
      <c r="AY114" s="178"/>
      <c r="AZ114" s="178"/>
      <c r="BA114" s="178"/>
      <c r="BB114" s="180"/>
      <c r="BC114" s="36"/>
      <c r="BG114" s="181" t="s">
        <v>310</v>
      </c>
      <c r="BH114" s="182">
        <f>IFERROR((SUBSTITUTE(U113,"/s","")*U114)+(V113*V114)+(W113*W114)+(X113*X114)+(Y113*Y114)+(Z113*Z114),0)</f>
        <v>0</v>
      </c>
      <c r="BI114" s="182">
        <f>IFERROR((SUBSTITUTE(AD113,"/s","")*AD114)+(AE113*AE114)+(AF113*AF114)+(AG113*AG114)+(AH113*AH114)+(AI113*AI114),0)</f>
        <v>0</v>
      </c>
      <c r="BJ114" s="182">
        <f>IFERROR((AM113*AM114)+(AN113*AN114)+(AO113*AO114)+(AP113*AP114)+(AQ113*AQ114)+(AR113*AR114),"")</f>
        <v>0</v>
      </c>
      <c r="BK114" s="182">
        <f>IFERROR((AV113*AV114)+(AW113*AW114)+(AX113*AX114)+(AY113*AY114)+(AZ113*AZ114)+(BA113*BA114),"")</f>
        <v>0</v>
      </c>
      <c r="BL114" s="195">
        <f>IFERROR(BH114+BI114+BJ114+BK114,NA())</f>
        <v>0</v>
      </c>
      <c r="BM114" s="184"/>
      <c r="BN114" s="184"/>
      <c r="BO114" s="184"/>
      <c r="BP114" s="184"/>
      <c r="BS114" s="181" t="s">
        <v>310</v>
      </c>
      <c r="BT114" s="50">
        <f>IF($B113="PE",(BH114*$E113*$F113),0)</f>
        <v>0</v>
      </c>
      <c r="BU114" s="186">
        <f>IF($B113="PE",(BI114*$E113*$F113),0)</f>
        <v>0</v>
      </c>
      <c r="BV114" s="186">
        <f>IF($B113="PE",(BJ114*$E113*$F113),0)</f>
        <v>0</v>
      </c>
      <c r="BW114" s="186">
        <f>IF($B113="PE",(BK114*$E113*$F113),0)</f>
        <v>0</v>
      </c>
      <c r="BX114" s="187">
        <f t="shared" si="4"/>
        <v>0</v>
      </c>
    </row>
    <row r="115" spans="1:107" s="34" customFormat="1" ht="25" customHeight="1">
      <c r="A115" s="127" t="s">
        <v>305</v>
      </c>
      <c r="B115" s="127" t="s">
        <v>317</v>
      </c>
      <c r="C115" s="127" t="s">
        <v>245</v>
      </c>
      <c r="D115" s="128" t="str">
        <f>IFERROR(INDEX([2]!Table1RM[#Data],MATCH($M$56,[2]!Table1RM[Athlete],0),MATCH($L115,[2]!Table1RM[#Headers],0)),"")</f>
        <v/>
      </c>
      <c r="E115" s="127" t="str">
        <f>IF($B115="PE",INDEX([2]ExerciseInventory!$J$2:$L$276,MATCH($L115,[2]ExerciseInventory!$J$2:$J$287,0),2),"")</f>
        <v/>
      </c>
      <c r="F115" s="128" t="str">
        <f>IF($B115="PE",INDEX([2]ExerciseInventory!$J$2:$L$276,MATCH($L115,[2]ExerciseInventory!$J$2:$J$287,0),3),"")</f>
        <v/>
      </c>
      <c r="G115" s="128"/>
      <c r="H115" s="127"/>
      <c r="J115" s="36"/>
      <c r="K115" s="170"/>
      <c r="L115" s="171"/>
      <c r="M115" s="171"/>
      <c r="N115" s="171"/>
      <c r="O115" s="171"/>
      <c r="P115" s="172"/>
      <c r="Q115" s="173"/>
      <c r="R115" s="174"/>
      <c r="S115" s="175" t="str">
        <f>CLEAN(IFERROR(INDEX(TableSetRepSchemes,MATCH(#REF!,ListSetRepSchemes,0),COLUMNS($R115:S115)),""))</f>
        <v/>
      </c>
      <c r="T115" s="111"/>
      <c r="U115" s="176"/>
      <c r="V115" s="177"/>
      <c r="W115" s="177"/>
      <c r="X115" s="177"/>
      <c r="Y115" s="177"/>
      <c r="Z115" s="177"/>
      <c r="AA115" s="178"/>
      <c r="AB115" s="179" t="str">
        <f>CLEAN(IFERROR(INDEX(TableSetRepSchemes,MATCH('1'!$C115,ListSetRepSchemes,0),COLUMNS($R115:AB115)),""))</f>
        <v/>
      </c>
      <c r="AC115" s="178"/>
      <c r="AD115" s="178">
        <f>IFERROR(INDEX(TableSetRepSchemes,MATCH('1'!$C115,ListSetRepSchemes,0),COLUMNS($R115:AD115)),"")</f>
        <v>0</v>
      </c>
      <c r="AE115" s="178">
        <f>IFERROR(INDEX(TableSetRepSchemes,MATCH('1'!$C115,ListSetRepSchemes,0),COLUMNS($R115:AE115)),"")</f>
        <v>0</v>
      </c>
      <c r="AF115" s="178">
        <f>IFERROR(INDEX(TableSetRepSchemes,MATCH('1'!$C115,ListSetRepSchemes,0),COLUMNS($R115:AF115)),"")</f>
        <v>0</v>
      </c>
      <c r="AG115" s="178">
        <f>IFERROR(INDEX(TableSetRepSchemes,MATCH('1'!$C115,ListSetRepSchemes,0),COLUMNS($R115:AG115)),"")</f>
        <v>0</v>
      </c>
      <c r="AH115" s="178">
        <f>IFERROR(INDEX(TableSetRepSchemes,MATCH('1'!$C115,ListSetRepSchemes,0),COLUMNS($R115:AH115)),"")</f>
        <v>0</v>
      </c>
      <c r="AI115" s="178">
        <f>IFERROR(INDEX(TableSetRepSchemes,MATCH('1'!$C115,ListSetRepSchemes,0),COLUMNS($R115:AI115)),"")</f>
        <v>0</v>
      </c>
      <c r="AJ115" s="178"/>
      <c r="AK115" s="179" t="str">
        <f>CLEAN(IFERROR(INDEX(TableSetRepSchemes,MATCH('1'!$C115,ListSetRepSchemes,0),COLUMNS($R115:AK115)),""))</f>
        <v/>
      </c>
      <c r="AL115" s="178"/>
      <c r="AM115" s="178">
        <f>IFERROR(INDEX(TableSetRepSchemes,MATCH('1'!$C115,ListSetRepSchemes,0),COLUMNS($R115:AM115)),"")</f>
        <v>0</v>
      </c>
      <c r="AN115" s="178">
        <f>IFERROR(INDEX(TableSetRepSchemes,MATCH('1'!$C115,ListSetRepSchemes,0),COLUMNS($R115:AN115)),"")</f>
        <v>0</v>
      </c>
      <c r="AO115" s="178">
        <f>IFERROR(INDEX(TableSetRepSchemes,MATCH('1'!$C115,ListSetRepSchemes,0),COLUMNS($R115:AO115)),"")</f>
        <v>0</v>
      </c>
      <c r="AP115" s="178">
        <f>IFERROR(INDEX(TableSetRepSchemes,MATCH('1'!$C115,ListSetRepSchemes,0),COLUMNS($R115:AP115)),"")</f>
        <v>0</v>
      </c>
      <c r="AQ115" s="178">
        <f>IFERROR(INDEX(TableSetRepSchemes,MATCH('1'!$C115,ListSetRepSchemes,0),COLUMNS($R115:AQ115)),"")</f>
        <v>0</v>
      </c>
      <c r="AR115" s="178">
        <f>IFERROR(INDEX(TableSetRepSchemes,MATCH('1'!$C115,ListSetRepSchemes,0),COLUMNS($R115:AR115)),"")</f>
        <v>0</v>
      </c>
      <c r="AS115" s="178"/>
      <c r="AT115" s="179" t="str">
        <f>CLEAN(IFERROR(INDEX(TableSetRepSchemes,MATCH('1'!$C115,ListSetRepSchemes,0),COLUMNS($R115:AT115)),""))</f>
        <v/>
      </c>
      <c r="AU115" s="178"/>
      <c r="AV115" s="178">
        <f>IFERROR(INDEX(TableSetRepSchemes,MATCH('1'!$C115,ListSetRepSchemes,0),COLUMNS($R115:AV115)),"")</f>
        <v>0</v>
      </c>
      <c r="AW115" s="178">
        <f>IFERROR(INDEX(TableSetRepSchemes,MATCH('1'!$C115,ListSetRepSchemes,0),COLUMNS($R115:AW115)),"")</f>
        <v>0</v>
      </c>
      <c r="AX115" s="178">
        <f>IFERROR(INDEX(TableSetRepSchemes,MATCH('1'!$C115,ListSetRepSchemes,0),COLUMNS($R115:AX115)),"")</f>
        <v>0</v>
      </c>
      <c r="AY115" s="178">
        <f>IFERROR(INDEX(TableSetRepSchemes,MATCH('1'!$C115,ListSetRepSchemes,0),COLUMNS($R115:AY115)),"")</f>
        <v>0</v>
      </c>
      <c r="AZ115" s="178">
        <f>IFERROR(INDEX(TableSetRepSchemes,MATCH('1'!$C115,ListSetRepSchemes,0),COLUMNS($R115:AZ115)),"")</f>
        <v>0</v>
      </c>
      <c r="BA115" s="178">
        <f>IFERROR(INDEX(TableSetRepSchemes,MATCH('1'!$C115,ListSetRepSchemes,0),COLUMNS($R115:BA115)),"")</f>
        <v>0</v>
      </c>
      <c r="BB115" s="180"/>
      <c r="BC115" s="36"/>
      <c r="BG115" s="181" t="s">
        <v>308</v>
      </c>
      <c r="BH115" s="182">
        <f>IFERROR(SUM(SUBSTITUTE(U115,"/s",""),V115:Z115),0)</f>
        <v>0</v>
      </c>
      <c r="BI115" s="182">
        <f>SUM(SUBSTITUTE(AD115,"/s",""),AE115:AI115)</f>
        <v>0</v>
      </c>
      <c r="BJ115" s="182">
        <f>SUM(AM115:AR115)</f>
        <v>0</v>
      </c>
      <c r="BK115" s="182">
        <f>SUM(AV115:BA115)</f>
        <v>0</v>
      </c>
      <c r="BL115" s="195"/>
      <c r="BM115" s="184"/>
      <c r="BN115" s="184"/>
      <c r="BO115" s="184"/>
      <c r="BP115" s="184"/>
      <c r="BS115" s="181" t="s">
        <v>308</v>
      </c>
      <c r="BT115" s="50" t="str">
        <f>IF($B115="PE",BH115,"")</f>
        <v/>
      </c>
      <c r="BU115" s="186" t="str">
        <f>IF($B115="PE",BI115,"")</f>
        <v/>
      </c>
      <c r="BV115" s="186" t="str">
        <f>IF($B115="PE",BJ115,"")</f>
        <v/>
      </c>
      <c r="BW115" s="186" t="str">
        <f>IF($B115="PE",BK115,"")</f>
        <v/>
      </c>
      <c r="BX115" s="187" t="e">
        <f t="shared" si="4"/>
        <v>#N/A</v>
      </c>
    </row>
    <row r="116" spans="1:107" s="34" customFormat="1" ht="25" customHeight="1">
      <c r="A116" s="129"/>
      <c r="B116" s="129"/>
      <c r="C116" s="129"/>
      <c r="D116" s="128"/>
      <c r="E116" s="129"/>
      <c r="F116" s="128"/>
      <c r="G116" s="128"/>
      <c r="H116" s="129"/>
      <c r="J116" s="36"/>
      <c r="K116" s="188"/>
      <c r="L116" s="189"/>
      <c r="M116" s="189"/>
      <c r="N116" s="189"/>
      <c r="O116" s="189"/>
      <c r="P116" s="190"/>
      <c r="Q116" s="191"/>
      <c r="R116" s="192"/>
      <c r="S116" s="193"/>
      <c r="T116" s="111"/>
      <c r="U116" s="177"/>
      <c r="V116" s="177"/>
      <c r="W116" s="177"/>
      <c r="X116" s="177"/>
      <c r="Y116" s="177"/>
      <c r="Z116" s="177"/>
      <c r="AA116" s="178"/>
      <c r="AB116" s="194"/>
      <c r="AC116" s="178"/>
      <c r="AD116" s="178"/>
      <c r="AE116" s="178"/>
      <c r="AF116" s="178"/>
      <c r="AG116" s="178"/>
      <c r="AH116" s="178"/>
      <c r="AI116" s="178"/>
      <c r="AJ116" s="178"/>
      <c r="AK116" s="194"/>
      <c r="AL116" s="178"/>
      <c r="AM116" s="178"/>
      <c r="AN116" s="178"/>
      <c r="AO116" s="178"/>
      <c r="AP116" s="178"/>
      <c r="AQ116" s="178"/>
      <c r="AR116" s="178"/>
      <c r="AS116" s="178"/>
      <c r="AT116" s="194"/>
      <c r="AU116" s="178"/>
      <c r="AV116" s="178"/>
      <c r="AW116" s="178"/>
      <c r="AX116" s="178"/>
      <c r="AY116" s="178"/>
      <c r="AZ116" s="178"/>
      <c r="BA116" s="178"/>
      <c r="BB116" s="180"/>
      <c r="BC116" s="36"/>
      <c r="BG116" s="181" t="s">
        <v>310</v>
      </c>
      <c r="BH116" s="182">
        <f>IFERROR((SUBSTITUTE(U115,"/s","")*U116)+(V115*V116)+(W115*W116)+(X115*X116)+(Y115*Y116)+(Z115*Z116),0)</f>
        <v>0</v>
      </c>
      <c r="BI116" s="182">
        <f>IFERROR((SUBSTITUTE(AD115,"/s","")*AD116)+(AE115*AE116)+(AF115*AF116)+(AG115*AG116)+(AH115*AH116)+(AI115*AI116),0)</f>
        <v>0</v>
      </c>
      <c r="BJ116" s="182">
        <f>IFERROR((AM115*AM116)+(AN115*AN116)+(AO115*AO116)+(AP115*AP116)+(AQ115*AQ116)+(AR115*AR116),"")</f>
        <v>0</v>
      </c>
      <c r="BK116" s="182">
        <f>IFERROR((AV115*AV116)+(AW115*AW116)+(AX115*AX116)+(AY115*AY116)+(AZ115*AZ116)+(BA115*BA116),"")</f>
        <v>0</v>
      </c>
      <c r="BL116" s="195">
        <f>IFERROR(BH116+BI116+BJ116+BK116,NA())</f>
        <v>0</v>
      </c>
      <c r="BM116" s="184"/>
      <c r="BN116" s="184"/>
      <c r="BO116" s="184"/>
      <c r="BP116" s="184"/>
      <c r="BS116" s="181" t="s">
        <v>310</v>
      </c>
      <c r="BT116" s="50">
        <f>IF($B115="PE",(BH116*$E115*$F115),0)</f>
        <v>0</v>
      </c>
      <c r="BU116" s="186">
        <f>IF($B115="PE",(BI116*$E115*$F115),0)</f>
        <v>0</v>
      </c>
      <c r="BV116" s="186">
        <f>IF($B115="PE",(BJ116*$E115*$F115),0)</f>
        <v>0</v>
      </c>
      <c r="BW116" s="186">
        <f>IF($B115="PE",(BK116*$E115*$F115),0)</f>
        <v>0</v>
      </c>
      <c r="BX116" s="187">
        <f t="shared" si="4"/>
        <v>0</v>
      </c>
    </row>
    <row r="117" spans="1:107" s="34" customFormat="1" ht="25" customHeight="1">
      <c r="A117" s="127"/>
      <c r="B117" s="127"/>
      <c r="C117" s="127" t="s">
        <v>245</v>
      </c>
      <c r="D117" s="128" t="str">
        <f>IFERROR(INDEX([2]!Table1RM[#Data],MATCH($M$56,[2]!Table1RM[Athlete],0),MATCH($L117,[2]!Table1RM[#Headers],0)),"")</f>
        <v/>
      </c>
      <c r="E117" s="127" t="str">
        <f>IF($B117="PE",INDEX([2]ExerciseInventory!$J$2:$L$276,MATCH($L117,[2]ExerciseInventory!$J$2:$J$287,0),2),"")</f>
        <v/>
      </c>
      <c r="F117" s="128" t="str">
        <f>IF($B117="PE",INDEX([2]ExerciseInventory!$J$2:$L$276,MATCH($L117,[2]ExerciseInventory!$J$2:$J$287,0),3),"")</f>
        <v/>
      </c>
      <c r="G117" s="128"/>
      <c r="H117" s="127"/>
      <c r="J117" s="36"/>
      <c r="K117" s="170"/>
      <c r="L117" s="171"/>
      <c r="M117" s="171"/>
      <c r="N117" s="171"/>
      <c r="O117" s="171"/>
      <c r="P117" s="172"/>
      <c r="Q117" s="173"/>
      <c r="R117" s="174"/>
      <c r="S117" s="175" t="str">
        <f>CLEAN(IFERROR(INDEX(TableSetRepSchemes,MATCH(#REF!,ListSetRepSchemes,0),COLUMNS($R117:S117)),""))</f>
        <v/>
      </c>
      <c r="T117" s="111"/>
      <c r="U117" s="176"/>
      <c r="V117" s="177"/>
      <c r="W117" s="177"/>
      <c r="X117" s="177"/>
      <c r="Y117" s="177"/>
      <c r="Z117" s="177"/>
      <c r="AA117" s="178"/>
      <c r="AB117" s="179" t="str">
        <f>CLEAN(IFERROR(INDEX(TableSetRepSchemes,MATCH('1'!$C117,ListSetRepSchemes,0),COLUMNS($R117:AB117)),""))</f>
        <v/>
      </c>
      <c r="AC117" s="178"/>
      <c r="AD117" s="178">
        <f>IFERROR(INDEX(TableSetRepSchemes,MATCH('1'!$C117,ListSetRepSchemes,0),COLUMNS($R117:AD117)),"")</f>
        <v>0</v>
      </c>
      <c r="AE117" s="178">
        <f>IFERROR(INDEX(TableSetRepSchemes,MATCH('1'!$C117,ListSetRepSchemes,0),COLUMNS($R117:AE117)),"")</f>
        <v>0</v>
      </c>
      <c r="AF117" s="178">
        <f>IFERROR(INDEX(TableSetRepSchemes,MATCH('1'!$C117,ListSetRepSchemes,0),COLUMNS($R117:AF117)),"")</f>
        <v>0</v>
      </c>
      <c r="AG117" s="178">
        <f>IFERROR(INDEX(TableSetRepSchemes,MATCH('1'!$C117,ListSetRepSchemes,0),COLUMNS($R117:AG117)),"")</f>
        <v>0</v>
      </c>
      <c r="AH117" s="178">
        <f>IFERROR(INDEX(TableSetRepSchemes,MATCH('1'!$C117,ListSetRepSchemes,0),COLUMNS($R117:AH117)),"")</f>
        <v>0</v>
      </c>
      <c r="AI117" s="178">
        <f>IFERROR(INDEX(TableSetRepSchemes,MATCH('1'!$C117,ListSetRepSchemes,0),COLUMNS($R117:AI117)),"")</f>
        <v>0</v>
      </c>
      <c r="AJ117" s="178"/>
      <c r="AK117" s="179" t="str">
        <f>CLEAN(IFERROR(INDEX(TableSetRepSchemes,MATCH('1'!$C117,ListSetRepSchemes,0),COLUMNS($R117:AK117)),""))</f>
        <v/>
      </c>
      <c r="AL117" s="178"/>
      <c r="AM117" s="178">
        <f>IFERROR(INDEX(TableSetRepSchemes,MATCH('1'!$C117,ListSetRepSchemes,0),COLUMNS($R117:AM117)),"")</f>
        <v>0</v>
      </c>
      <c r="AN117" s="178">
        <f>IFERROR(INDEX(TableSetRepSchemes,MATCH('1'!$C117,ListSetRepSchemes,0),COLUMNS($R117:AN117)),"")</f>
        <v>0</v>
      </c>
      <c r="AO117" s="178">
        <f>IFERROR(INDEX(TableSetRepSchemes,MATCH('1'!$C117,ListSetRepSchemes,0),COLUMNS($R117:AO117)),"")</f>
        <v>0</v>
      </c>
      <c r="AP117" s="178">
        <f>IFERROR(INDEX(TableSetRepSchemes,MATCH('1'!$C117,ListSetRepSchemes,0),COLUMNS($R117:AP117)),"")</f>
        <v>0</v>
      </c>
      <c r="AQ117" s="178">
        <f>IFERROR(INDEX(TableSetRepSchemes,MATCH('1'!$C117,ListSetRepSchemes,0),COLUMNS($R117:AQ117)),"")</f>
        <v>0</v>
      </c>
      <c r="AR117" s="178">
        <f>IFERROR(INDEX(TableSetRepSchemes,MATCH('1'!$C117,ListSetRepSchemes,0),COLUMNS($R117:AR117)),"")</f>
        <v>0</v>
      </c>
      <c r="AS117" s="178"/>
      <c r="AT117" s="179" t="str">
        <f>CLEAN(IFERROR(INDEX(TableSetRepSchemes,MATCH('1'!$C117,ListSetRepSchemes,0),COLUMNS($R117:AT117)),""))</f>
        <v/>
      </c>
      <c r="AU117" s="178"/>
      <c r="AV117" s="178">
        <f>IFERROR(INDEX(TableSetRepSchemes,MATCH('1'!$C117,ListSetRepSchemes,0),COLUMNS($R117:AV117)),"")</f>
        <v>0</v>
      </c>
      <c r="AW117" s="178">
        <f>IFERROR(INDEX(TableSetRepSchemes,MATCH('1'!$C117,ListSetRepSchemes,0),COLUMNS($R117:AW117)),"")</f>
        <v>0</v>
      </c>
      <c r="AX117" s="178">
        <f>IFERROR(INDEX(TableSetRepSchemes,MATCH('1'!$C117,ListSetRepSchemes,0),COLUMNS($R117:AX117)),"")</f>
        <v>0</v>
      </c>
      <c r="AY117" s="178">
        <f>IFERROR(INDEX(TableSetRepSchemes,MATCH('1'!$C117,ListSetRepSchemes,0),COLUMNS($R117:AY117)),"")</f>
        <v>0</v>
      </c>
      <c r="AZ117" s="178">
        <f>IFERROR(INDEX(TableSetRepSchemes,MATCH('1'!$C117,ListSetRepSchemes,0),COLUMNS($R117:AZ117)),"")</f>
        <v>0</v>
      </c>
      <c r="BA117" s="178">
        <f>IFERROR(INDEX(TableSetRepSchemes,MATCH('1'!$C117,ListSetRepSchemes,0),COLUMNS($R117:BA117)),"")</f>
        <v>0</v>
      </c>
      <c r="BB117" s="180"/>
      <c r="BC117" s="36"/>
      <c r="BG117" s="181" t="s">
        <v>308</v>
      </c>
      <c r="BH117" s="182">
        <f>IFERROR(SUM(SUBSTITUTE(U117,"/s",""),V117:Z117),0)</f>
        <v>0</v>
      </c>
      <c r="BI117" s="182">
        <f>SUM(SUBSTITUTE(AD117,"/s",""),AE117:AI117)</f>
        <v>0</v>
      </c>
      <c r="BJ117" s="182">
        <f>SUM(AM117:AR117)</f>
        <v>0</v>
      </c>
      <c r="BK117" s="182">
        <f>SUM(AV117:BA117)</f>
        <v>0</v>
      </c>
      <c r="BL117" s="195"/>
      <c r="BM117" s="184"/>
      <c r="BN117" s="184"/>
      <c r="BO117" s="184"/>
      <c r="BP117" s="184"/>
      <c r="BS117" s="181" t="s">
        <v>308</v>
      </c>
      <c r="BT117" s="50" t="str">
        <f>IF($B117="PE",BH117,"")</f>
        <v/>
      </c>
      <c r="BU117" s="186" t="str">
        <f>IF($B117="PE",BI117,"")</f>
        <v/>
      </c>
      <c r="BV117" s="186" t="str">
        <f>IF($B117="PE",BJ117,"")</f>
        <v/>
      </c>
      <c r="BW117" s="186" t="str">
        <f>IF($B117="PE",BK117,"")</f>
        <v/>
      </c>
      <c r="BX117" s="187" t="e">
        <f t="shared" si="4"/>
        <v>#N/A</v>
      </c>
    </row>
    <row r="118" spans="1:107" s="34" customFormat="1" ht="25" customHeight="1">
      <c r="A118" s="129"/>
      <c r="B118" s="129"/>
      <c r="C118" s="129"/>
      <c r="D118" s="128"/>
      <c r="E118" s="129"/>
      <c r="F118" s="128"/>
      <c r="G118" s="128"/>
      <c r="H118" s="129"/>
      <c r="J118" s="36"/>
      <c r="K118" s="188"/>
      <c r="L118" s="189"/>
      <c r="M118" s="189"/>
      <c r="N118" s="189"/>
      <c r="O118" s="189"/>
      <c r="P118" s="190"/>
      <c r="Q118" s="191"/>
      <c r="R118" s="192"/>
      <c r="S118" s="193"/>
      <c r="T118" s="111"/>
      <c r="U118" s="177"/>
      <c r="V118" s="177"/>
      <c r="W118" s="177"/>
      <c r="X118" s="177"/>
      <c r="Y118" s="177"/>
      <c r="Z118" s="177"/>
      <c r="AA118" s="178"/>
      <c r="AB118" s="194"/>
      <c r="AC118" s="178"/>
      <c r="AD118" s="178"/>
      <c r="AE118" s="178"/>
      <c r="AF118" s="178"/>
      <c r="AG118" s="178"/>
      <c r="AH118" s="178"/>
      <c r="AI118" s="178"/>
      <c r="AJ118" s="178"/>
      <c r="AK118" s="194"/>
      <c r="AL118" s="178"/>
      <c r="AM118" s="178"/>
      <c r="AN118" s="178"/>
      <c r="AO118" s="178"/>
      <c r="AP118" s="178"/>
      <c r="AQ118" s="178"/>
      <c r="AR118" s="178"/>
      <c r="AS118" s="178"/>
      <c r="AT118" s="194"/>
      <c r="AU118" s="178"/>
      <c r="AV118" s="178"/>
      <c r="AW118" s="178"/>
      <c r="AX118" s="178"/>
      <c r="AY118" s="178"/>
      <c r="AZ118" s="178"/>
      <c r="BA118" s="178"/>
      <c r="BB118" s="180"/>
      <c r="BC118" s="36"/>
      <c r="BG118" s="181" t="s">
        <v>310</v>
      </c>
      <c r="BH118" s="182">
        <f>IFERROR((SUBSTITUTE(U117,"/s","")*U118)+(V117*V118)+(W117*W118)+(X117*X118)+(Y117*Y118)+(Z117*Z118),0)</f>
        <v>0</v>
      </c>
      <c r="BI118" s="182">
        <f>IFERROR((SUBSTITUTE(AD117,"/s","")*AD118)+(AE117*AE118)+(AF117*AF118)+(AG117*AG118)+(AH117*AH118)+(AI117*AI118),0)</f>
        <v>0</v>
      </c>
      <c r="BJ118" s="182">
        <f>IFERROR((AM117*AM118)+(AN117*AN118)+(AO117*AO118)+(AP117*AP118)+(AQ117*AQ118)+(AR117*AR118),"")</f>
        <v>0</v>
      </c>
      <c r="BK118" s="182">
        <f>IFERROR((AV117*AV118)+(AW117*AW118)+(AX117*AX118)+(AY117*AY118)+(AZ117*AZ118)+(BA117*BA118),"")</f>
        <v>0</v>
      </c>
      <c r="BL118" s="195">
        <f>IFERROR(BH118+BI118+BJ118+BK118,NA())</f>
        <v>0</v>
      </c>
      <c r="BM118" s="184"/>
      <c r="BN118" s="184"/>
      <c r="BO118" s="184"/>
      <c r="BP118" s="184"/>
      <c r="BS118" s="181" t="s">
        <v>310</v>
      </c>
      <c r="BT118" s="50">
        <f>IF($B117="PE",(BH118*$E117*$F117),0)</f>
        <v>0</v>
      </c>
      <c r="BU118" s="186">
        <f>IF($B117="PE",(BI118*$E117*$F117),0)</f>
        <v>0</v>
      </c>
      <c r="BV118" s="186">
        <f>IF($B117="PE",(BJ118*$E117*$F117),0)</f>
        <v>0</v>
      </c>
      <c r="BW118" s="186">
        <f>IF($B117="PE",(BK118*$E117*$F117),0)</f>
        <v>0</v>
      </c>
      <c r="BX118" s="187">
        <f t="shared" si="4"/>
        <v>0</v>
      </c>
    </row>
    <row r="119" spans="1:107" s="34" customFormat="1" ht="3" customHeight="1" thickBot="1">
      <c r="A119" s="35"/>
      <c r="B119" s="35"/>
      <c r="C119" s="35"/>
      <c r="J119" s="36"/>
      <c r="K119" s="206"/>
      <c r="L119" s="224"/>
      <c r="M119" s="224"/>
      <c r="N119" s="224"/>
      <c r="O119" s="224"/>
      <c r="P119" s="224"/>
      <c r="Q119" s="224"/>
      <c r="R119" s="224"/>
      <c r="S119" s="208"/>
      <c r="T119" s="209"/>
      <c r="U119" s="209"/>
      <c r="V119" s="209"/>
      <c r="W119" s="209"/>
      <c r="X119" s="209"/>
      <c r="Y119" s="209"/>
      <c r="Z119" s="209"/>
      <c r="AA119" s="209"/>
      <c r="AB119" s="208"/>
      <c r="AC119" s="209"/>
      <c r="AD119" s="209"/>
      <c r="AE119" s="209"/>
      <c r="AF119" s="209"/>
      <c r="AG119" s="209"/>
      <c r="AH119" s="209"/>
      <c r="AI119" s="209"/>
      <c r="AJ119" s="209"/>
      <c r="AK119" s="208"/>
      <c r="AL119" s="209"/>
      <c r="AM119" s="209"/>
      <c r="AN119" s="209"/>
      <c r="AO119" s="209"/>
      <c r="AP119" s="209"/>
      <c r="AQ119" s="209"/>
      <c r="AR119" s="209"/>
      <c r="AS119" s="209"/>
      <c r="AT119" s="208"/>
      <c r="AU119" s="209"/>
      <c r="AV119" s="209"/>
      <c r="AW119" s="209"/>
      <c r="AX119" s="209"/>
      <c r="AY119" s="209"/>
      <c r="AZ119" s="209"/>
      <c r="BA119" s="209"/>
      <c r="BB119" s="210"/>
      <c r="BC119" s="36"/>
      <c r="BH119" s="211">
        <f>BH104+BH106+BH108+BH110+BH112+BH114+BH116+BH118</f>
        <v>0</v>
      </c>
      <c r="BI119" s="211">
        <f>BI104+BI106+BI108+BI110+BI112+BI114+BI116+BI118</f>
        <v>0</v>
      </c>
      <c r="BJ119" s="211" t="e">
        <f>BJ104+BJ106+BJ108+BJ110+BJ112+BJ114+BJ116+BJ118</f>
        <v>#VALUE!</v>
      </c>
      <c r="BK119" s="211" t="e">
        <f>BK104+BK106+BK108+BK110+BK112+BK114+BK116+BK118</f>
        <v>#VALUE!</v>
      </c>
      <c r="BL119" s="183"/>
      <c r="BM119" s="184"/>
      <c r="BN119" s="184"/>
      <c r="BO119" s="184"/>
      <c r="BP119" s="184"/>
      <c r="BT119" s="212">
        <f>BT104+BT106+BT108+BT110+BT112+BT114+BT116+BT118</f>
        <v>0</v>
      </c>
      <c r="BU119" s="212">
        <f>BU104+BU106+BU108+BU110+BU112+BU114+BU116+BU118</f>
        <v>0</v>
      </c>
      <c r="BV119" s="212">
        <f>BV104+BV106+BV108+BV110+BV112+BV114+BV116+BV118</f>
        <v>0</v>
      </c>
      <c r="BW119" s="212">
        <f>BW104+BW106+BW108+BW110+BW112+BW114+BW116+BW118</f>
        <v>0</v>
      </c>
      <c r="BX119" s="212">
        <f>BX104+BX106+BX108+BX110+BX112+BX114+BX116+BX118</f>
        <v>0</v>
      </c>
    </row>
    <row r="120" spans="1:107" s="34" customFormat="1" ht="17" customHeight="1">
      <c r="A120" s="35"/>
      <c r="B120" s="35"/>
      <c r="C120" s="35"/>
      <c r="J120" s="36"/>
      <c r="K120" s="111"/>
      <c r="L120" s="227"/>
      <c r="M120" s="227"/>
      <c r="N120" s="227"/>
      <c r="O120" s="227"/>
      <c r="P120" s="227"/>
      <c r="Q120" s="227"/>
      <c r="R120" s="227"/>
      <c r="S120" s="36"/>
      <c r="T120" s="36"/>
      <c r="U120" s="36"/>
      <c r="V120" s="36"/>
      <c r="W120" s="36"/>
      <c r="X120" s="36"/>
      <c r="Y120" s="36"/>
      <c r="Z120" s="36"/>
      <c r="AA120" s="36"/>
      <c r="AB120" s="36"/>
      <c r="AC120" s="36"/>
      <c r="AD120" s="36"/>
      <c r="AE120" s="36"/>
      <c r="AF120" s="36"/>
      <c r="AG120" s="36"/>
      <c r="AH120" s="36"/>
      <c r="AI120" s="36"/>
      <c r="AJ120" s="36"/>
      <c r="AK120" s="36"/>
      <c r="AL120" s="36"/>
      <c r="AM120" s="36"/>
      <c r="AN120" s="36"/>
      <c r="AO120" s="36"/>
      <c r="AP120" s="36"/>
      <c r="AQ120" s="36"/>
      <c r="AR120" s="36"/>
      <c r="AS120" s="36"/>
      <c r="AT120" s="36"/>
      <c r="AU120" s="36"/>
      <c r="AV120" s="36"/>
      <c r="AW120" s="36"/>
      <c r="AX120" s="36"/>
      <c r="AY120" s="36"/>
      <c r="AZ120" s="36"/>
      <c r="BA120" s="36"/>
      <c r="BB120" s="36"/>
      <c r="BC120" s="36"/>
      <c r="BH120" s="214"/>
      <c r="BI120" s="214"/>
      <c r="BJ120" s="214"/>
      <c r="BK120" s="214"/>
      <c r="BL120" s="183"/>
      <c r="BM120" s="184"/>
      <c r="BN120" s="184"/>
      <c r="BO120" s="184"/>
      <c r="BP120" s="184"/>
      <c r="BT120" s="215"/>
      <c r="BU120" s="215"/>
      <c r="BV120" s="215"/>
      <c r="BW120" s="215"/>
      <c r="BX120" s="215"/>
    </row>
    <row r="121" spans="1:107" ht="23" customHeight="1" thickBot="1">
      <c r="T121" s="36"/>
      <c r="AA121" s="36"/>
      <c r="AC121" s="36"/>
      <c r="AJ121" s="36"/>
      <c r="AL121" s="36"/>
      <c r="AU121" s="36"/>
      <c r="BB121" s="36"/>
      <c r="BD121" s="34"/>
      <c r="BE121" s="34"/>
      <c r="BF121" s="34"/>
      <c r="BG121" s="34"/>
      <c r="BH121" s="34"/>
      <c r="BI121" s="34"/>
      <c r="BJ121" s="34"/>
      <c r="BK121" s="34"/>
      <c r="BL121" s="34"/>
      <c r="BM121" s="34"/>
      <c r="BN121" s="34"/>
      <c r="BO121" s="34"/>
      <c r="BP121" s="34"/>
      <c r="BQ121" s="34"/>
      <c r="BR121" s="34"/>
      <c r="BS121" s="34"/>
      <c r="BT121" s="34"/>
      <c r="BU121" s="34"/>
      <c r="BV121" s="34"/>
      <c r="BW121" s="34"/>
      <c r="BX121" s="34"/>
      <c r="BY121" s="34"/>
      <c r="BZ121" s="34"/>
      <c r="CA121" s="34"/>
      <c r="CB121" s="34"/>
      <c r="CC121" s="34"/>
      <c r="CD121" s="34"/>
      <c r="CE121" s="34"/>
      <c r="CF121" s="34"/>
      <c r="CG121" s="34"/>
      <c r="CH121" s="34"/>
      <c r="CI121" s="34"/>
      <c r="CJ121" s="34"/>
      <c r="CK121" s="34"/>
      <c r="CQ121" s="34"/>
      <c r="CX121" s="34"/>
      <c r="CY121" s="34"/>
      <c r="CZ121" s="34"/>
      <c r="DA121" s="34"/>
      <c r="DB121" s="34"/>
      <c r="DC121" s="34"/>
    </row>
    <row r="122" spans="1:107" s="34" customFormat="1" ht="40" customHeight="1" thickBot="1">
      <c r="E122" s="134" t="s">
        <v>292</v>
      </c>
      <c r="F122" s="135" t="str">
        <f>IFERROR(INDEX([2]!Table1RM[#Data],MATCH($M$56,[2]!Table1RM[Athlete],0),MATCH($E$56,[2]!Table1RM[#Headers],0)),"")</f>
        <v/>
      </c>
      <c r="J122" s="36"/>
      <c r="K122" s="62"/>
      <c r="L122" s="62"/>
      <c r="M122" s="63"/>
      <c r="N122" s="63"/>
      <c r="O122" s="63"/>
      <c r="P122" s="63"/>
      <c r="Q122" s="63"/>
      <c r="R122" s="63"/>
      <c r="S122" s="63"/>
      <c r="T122" s="63"/>
      <c r="U122" s="63"/>
      <c r="V122" s="63"/>
      <c r="W122" s="63"/>
      <c r="X122" s="64"/>
      <c r="Y122" s="36"/>
      <c r="Z122" s="65" t="s">
        <v>221</v>
      </c>
      <c r="AA122" s="65"/>
      <c r="AB122" s="65"/>
      <c r="AC122" s="65"/>
      <c r="AD122" s="66">
        <f>$AD$11</f>
        <v>45432</v>
      </c>
      <c r="AE122" s="66"/>
      <c r="AF122" s="67" t="s">
        <v>222</v>
      </c>
      <c r="AG122" s="66">
        <f>$AG$11</f>
        <v>45427</v>
      </c>
      <c r="AH122" s="66"/>
      <c r="AI122" s="68"/>
      <c r="AJ122" s="69"/>
      <c r="AK122" s="69"/>
      <c r="AL122" s="69"/>
      <c r="AM122" s="69"/>
      <c r="AN122" s="70"/>
      <c r="AO122" s="65" t="s">
        <v>223</v>
      </c>
      <c r="AP122" s="65"/>
      <c r="AQ122" s="71" t="str">
        <f>$AR$11</f>
        <v>Meso 1</v>
      </c>
      <c r="AR122" s="71"/>
      <c r="AS122" s="71"/>
      <c r="AT122" s="71"/>
      <c r="AU122" s="71"/>
      <c r="AV122" s="71"/>
      <c r="AW122" s="71"/>
      <c r="AX122" s="71"/>
      <c r="AY122" s="71"/>
      <c r="AZ122" s="72"/>
      <c r="BA122" s="72"/>
      <c r="BB122" s="36"/>
      <c r="BC122" s="36"/>
      <c r="BL122" s="35"/>
    </row>
    <row r="123" spans="1:107" s="34" customFormat="1" ht="17" customHeight="1" thickBot="1">
      <c r="J123" s="36"/>
      <c r="K123" s="36"/>
      <c r="L123" s="36"/>
      <c r="M123" s="36"/>
      <c r="N123" s="36"/>
      <c r="O123" s="36"/>
      <c r="P123" s="36"/>
      <c r="Q123" s="36"/>
      <c r="R123" s="36"/>
      <c r="S123" s="36"/>
      <c r="T123" s="136"/>
      <c r="U123" s="36"/>
      <c r="V123" s="36"/>
      <c r="W123" s="36"/>
      <c r="X123" s="36"/>
      <c r="Y123" s="36"/>
      <c r="Z123" s="36"/>
      <c r="AA123" s="136"/>
      <c r="AB123" s="36"/>
      <c r="AC123" s="136"/>
      <c r="AD123" s="36"/>
      <c r="AE123" s="36"/>
      <c r="AF123" s="36"/>
      <c r="AG123" s="36"/>
      <c r="AH123" s="36"/>
      <c r="AI123" s="36"/>
      <c r="AJ123" s="136"/>
      <c r="AK123" s="36"/>
      <c r="AL123" s="136"/>
      <c r="AM123" s="36"/>
      <c r="AN123" s="36"/>
      <c r="AO123" s="36"/>
      <c r="AP123" s="36"/>
      <c r="AQ123" s="36"/>
      <c r="AR123" s="36"/>
      <c r="AS123" s="36"/>
      <c r="AT123" s="36"/>
      <c r="AU123" s="136"/>
      <c r="AV123" s="36"/>
      <c r="AW123" s="36"/>
      <c r="AX123" s="36"/>
      <c r="AY123" s="36"/>
      <c r="AZ123" s="36"/>
      <c r="BA123" s="36"/>
      <c r="BB123" s="36"/>
      <c r="BC123" s="36"/>
      <c r="BL123" s="35"/>
    </row>
    <row r="124" spans="1:107" s="34" customFormat="1" ht="34" customHeight="1">
      <c r="E124" s="137" t="s">
        <v>293</v>
      </c>
      <c r="F124" s="138" t="e">
        <f>$F$56*0.5</f>
        <v>#VALUE!</v>
      </c>
      <c r="J124" s="36"/>
      <c r="K124" s="228"/>
      <c r="L124" s="229" t="s">
        <v>356</v>
      </c>
      <c r="M124" s="230"/>
      <c r="N124" s="230"/>
      <c r="O124" s="230"/>
      <c r="P124" s="230"/>
      <c r="Q124" s="230"/>
      <c r="R124" s="230"/>
      <c r="S124" s="230"/>
      <c r="T124" s="230"/>
      <c r="U124" s="230"/>
      <c r="V124" s="230"/>
      <c r="W124" s="230"/>
      <c r="X124" s="230"/>
      <c r="Y124" s="230"/>
      <c r="Z124" s="230"/>
      <c r="AA124" s="230"/>
      <c r="AB124" s="230"/>
      <c r="AC124" s="230"/>
      <c r="AD124" s="230"/>
      <c r="AE124" s="231"/>
      <c r="AF124" s="228"/>
      <c r="AG124" s="229" t="s">
        <v>356</v>
      </c>
      <c r="AH124" s="230"/>
      <c r="AI124" s="230"/>
      <c r="AJ124" s="230"/>
      <c r="AK124" s="230"/>
      <c r="AL124" s="230"/>
      <c r="AM124" s="230"/>
      <c r="AN124" s="230"/>
      <c r="AO124" s="230"/>
      <c r="AP124" s="230"/>
      <c r="AQ124" s="230"/>
      <c r="AR124" s="230"/>
      <c r="AS124" s="230"/>
      <c r="AT124" s="230"/>
      <c r="AU124" s="230"/>
      <c r="AV124" s="230"/>
      <c r="AW124" s="230"/>
      <c r="AX124" s="230"/>
      <c r="AY124" s="230"/>
      <c r="AZ124" s="231"/>
      <c r="BA124" s="228"/>
      <c r="BB124" s="36"/>
      <c r="BC124" s="36"/>
      <c r="BM124" s="35"/>
    </row>
    <row r="125" spans="1:107" s="34" customFormat="1" ht="34" customHeight="1">
      <c r="E125" s="137"/>
      <c r="F125" s="138"/>
      <c r="J125" s="36"/>
      <c r="K125" s="232"/>
      <c r="L125" s="233" t="s">
        <v>357</v>
      </c>
      <c r="M125" s="234"/>
      <c r="N125" s="234"/>
      <c r="O125" s="234"/>
      <c r="P125" s="234"/>
      <c r="Q125" s="234"/>
      <c r="R125" s="234"/>
      <c r="S125" s="234"/>
      <c r="T125" s="234"/>
      <c r="U125" s="234"/>
      <c r="V125" s="234"/>
      <c r="W125" s="234"/>
      <c r="X125" s="234"/>
      <c r="Y125" s="234"/>
      <c r="Z125" s="234"/>
      <c r="AA125" s="234"/>
      <c r="AB125" s="234"/>
      <c r="AC125" s="234"/>
      <c r="AD125" s="234"/>
      <c r="AE125" s="235"/>
      <c r="AF125" s="232"/>
      <c r="AG125" s="233" t="s">
        <v>357</v>
      </c>
      <c r="AH125" s="234"/>
      <c r="AI125" s="234"/>
      <c r="AJ125" s="234"/>
      <c r="AK125" s="234"/>
      <c r="AL125" s="234"/>
      <c r="AM125" s="234"/>
      <c r="AN125" s="234"/>
      <c r="AO125" s="234"/>
      <c r="AP125" s="234"/>
      <c r="AQ125" s="234"/>
      <c r="AR125" s="234"/>
      <c r="AS125" s="234"/>
      <c r="AT125" s="234"/>
      <c r="AU125" s="234"/>
      <c r="AV125" s="234"/>
      <c r="AW125" s="234"/>
      <c r="AX125" s="234"/>
      <c r="AY125" s="234"/>
      <c r="AZ125" s="235"/>
      <c r="BA125" s="232"/>
      <c r="BB125" s="36"/>
      <c r="BC125" s="36"/>
      <c r="BM125" s="35"/>
    </row>
    <row r="126" spans="1:107" s="34" customFormat="1" ht="34" customHeight="1">
      <c r="E126" s="137"/>
      <c r="F126" s="138"/>
      <c r="J126" s="36"/>
      <c r="K126" s="236"/>
      <c r="L126" s="237" t="s">
        <v>120</v>
      </c>
      <c r="M126" s="238"/>
      <c r="N126" s="238"/>
      <c r="O126" s="238"/>
      <c r="P126" s="239"/>
      <c r="Q126" s="239"/>
      <c r="R126" s="239"/>
      <c r="S126" s="239"/>
      <c r="T126" s="239"/>
      <c r="U126" s="239"/>
      <c r="V126" s="239"/>
      <c r="W126" s="239"/>
      <c r="X126" s="239"/>
      <c r="Y126" s="239"/>
      <c r="Z126" s="239"/>
      <c r="AA126" s="239"/>
      <c r="AB126" s="239"/>
      <c r="AC126" s="239"/>
      <c r="AD126" s="239"/>
      <c r="AE126" s="240"/>
      <c r="AF126" s="241"/>
      <c r="AG126" s="237" t="s">
        <v>120</v>
      </c>
      <c r="AH126" s="238"/>
      <c r="AI126" s="238"/>
      <c r="AJ126" s="238"/>
      <c r="AK126" s="238"/>
      <c r="AL126" s="238"/>
      <c r="AM126" s="239"/>
      <c r="AN126" s="239"/>
      <c r="AO126" s="239"/>
      <c r="AP126" s="239"/>
      <c r="AQ126" s="239"/>
      <c r="AR126" s="239"/>
      <c r="AS126" s="239"/>
      <c r="AT126" s="239"/>
      <c r="AU126" s="239"/>
      <c r="AV126" s="239"/>
      <c r="AW126" s="239"/>
      <c r="AX126" s="239"/>
      <c r="AY126" s="239"/>
      <c r="AZ126" s="240"/>
      <c r="BA126" s="36"/>
      <c r="BB126" s="36"/>
      <c r="BC126" s="36"/>
      <c r="BM126" s="35"/>
    </row>
    <row r="127" spans="1:107" s="34" customFormat="1" ht="34" customHeight="1" thickBot="1">
      <c r="E127" s="137" t="s">
        <v>295</v>
      </c>
      <c r="F127" s="138" t="e">
        <f>$F$56*0.25</f>
        <v>#VALUE!</v>
      </c>
      <c r="J127" s="36"/>
      <c r="K127" s="236"/>
      <c r="L127" s="242" t="s">
        <v>120</v>
      </c>
      <c r="M127" s="147"/>
      <c r="N127" s="147"/>
      <c r="O127" s="147"/>
      <c r="P127" s="149"/>
      <c r="Q127" s="149"/>
      <c r="R127" s="149"/>
      <c r="S127" s="149"/>
      <c r="T127" s="149"/>
      <c r="U127" s="149"/>
      <c r="V127" s="149"/>
      <c r="W127" s="149"/>
      <c r="X127" s="149"/>
      <c r="Y127" s="149"/>
      <c r="Z127" s="149"/>
      <c r="AA127" s="149"/>
      <c r="AB127" s="149"/>
      <c r="AC127" s="149"/>
      <c r="AD127" s="149"/>
      <c r="AE127" s="150"/>
      <c r="AF127" s="241"/>
      <c r="AG127" s="242" t="s">
        <v>120</v>
      </c>
      <c r="AH127" s="147"/>
      <c r="AI127" s="147"/>
      <c r="AJ127" s="147"/>
      <c r="AK127" s="147"/>
      <c r="AL127" s="147"/>
      <c r="AM127" s="149"/>
      <c r="AN127" s="149"/>
      <c r="AO127" s="149"/>
      <c r="AP127" s="149"/>
      <c r="AQ127" s="149"/>
      <c r="AR127" s="149"/>
      <c r="AS127" s="149"/>
      <c r="AT127" s="149"/>
      <c r="AU127" s="149"/>
      <c r="AV127" s="149"/>
      <c r="AW127" s="149"/>
      <c r="AX127" s="149"/>
      <c r="AY127" s="149"/>
      <c r="AZ127" s="150"/>
      <c r="BA127" s="36"/>
      <c r="BB127" s="36"/>
      <c r="BC127" s="36"/>
      <c r="BM127" s="35"/>
    </row>
    <row r="128" spans="1:107" s="34" customFormat="1" ht="34" customHeight="1" thickBot="1">
      <c r="J128" s="36"/>
      <c r="K128" s="36"/>
      <c r="L128" s="36"/>
      <c r="M128" s="36"/>
      <c r="N128" s="36"/>
      <c r="O128" s="36"/>
      <c r="P128" s="36"/>
      <c r="Q128" s="36"/>
      <c r="R128" s="36"/>
      <c r="S128" s="36"/>
      <c r="T128" s="136"/>
      <c r="U128" s="36"/>
      <c r="V128" s="36"/>
      <c r="W128" s="36"/>
      <c r="X128" s="36"/>
      <c r="Y128" s="36"/>
      <c r="Z128" s="36"/>
      <c r="AA128" s="136"/>
      <c r="AB128" s="36"/>
      <c r="AC128" s="136"/>
      <c r="AD128" s="36"/>
      <c r="AE128" s="36"/>
      <c r="AF128" s="36"/>
      <c r="AG128" s="36"/>
      <c r="AH128" s="36"/>
      <c r="AI128" s="36"/>
      <c r="AJ128" s="136"/>
      <c r="AK128" s="36"/>
      <c r="AL128" s="136"/>
      <c r="AM128" s="36"/>
      <c r="AN128" s="36"/>
      <c r="AO128" s="36"/>
      <c r="AP128" s="36"/>
      <c r="AQ128" s="36"/>
      <c r="AR128" s="36"/>
      <c r="AS128" s="36"/>
      <c r="AT128" s="36"/>
      <c r="AU128" s="136"/>
      <c r="AV128" s="36"/>
      <c r="AW128" s="36"/>
      <c r="AX128" s="36"/>
      <c r="AY128" s="36"/>
      <c r="AZ128" s="36"/>
      <c r="BA128" s="36"/>
      <c r="BB128" s="136"/>
      <c r="BC128" s="36"/>
      <c r="BL128" s="35"/>
    </row>
    <row r="129" spans="1:161" s="86" customFormat="1" ht="34" customHeight="1">
      <c r="E129" s="87" t="s">
        <v>234</v>
      </c>
      <c r="F129" s="87" t="s">
        <v>235</v>
      </c>
      <c r="J129" s="118"/>
      <c r="K129" s="153" t="s">
        <v>358</v>
      </c>
      <c r="L129" s="154"/>
      <c r="M129" s="154"/>
      <c r="N129" s="154"/>
      <c r="O129" s="154"/>
      <c r="P129" s="154"/>
      <c r="Q129" s="154"/>
      <c r="R129" s="154"/>
      <c r="S129" s="155"/>
      <c r="T129" s="156"/>
      <c r="U129" s="157" t="s">
        <v>221</v>
      </c>
      <c r="V129" s="158"/>
      <c r="W129" s="158"/>
      <c r="X129" s="156"/>
      <c r="Y129" s="159"/>
      <c r="Z129" s="160"/>
      <c r="AA129" s="156"/>
      <c r="AB129" s="155"/>
      <c r="AC129" s="156"/>
      <c r="AD129" s="157" t="s">
        <v>221</v>
      </c>
      <c r="AE129" s="158"/>
      <c r="AF129" s="158"/>
      <c r="AG129" s="156"/>
      <c r="AH129" s="159"/>
      <c r="AI129" s="160"/>
      <c r="AJ129" s="156"/>
      <c r="AK129" s="155"/>
      <c r="AL129" s="156"/>
      <c r="AM129" s="157" t="s">
        <v>221</v>
      </c>
      <c r="AN129" s="158"/>
      <c r="AO129" s="158"/>
      <c r="AP129" s="156"/>
      <c r="AQ129" s="159"/>
      <c r="AR129" s="160"/>
      <c r="AS129" s="160"/>
      <c r="AT129" s="155"/>
      <c r="AU129" s="156"/>
      <c r="AV129" s="157" t="s">
        <v>221</v>
      </c>
      <c r="AW129" s="158"/>
      <c r="AX129" s="158"/>
      <c r="AY129" s="156"/>
      <c r="AZ129" s="159"/>
      <c r="BA129" s="160"/>
      <c r="BB129" s="161"/>
      <c r="BC129" s="118"/>
      <c r="BD129" s="34"/>
      <c r="BE129" s="34"/>
      <c r="BF129" s="34"/>
      <c r="BL129" s="114"/>
      <c r="BY129" s="34"/>
      <c r="BZ129" s="34"/>
      <c r="CA129" s="34"/>
      <c r="CB129" s="34"/>
      <c r="CC129" s="34"/>
      <c r="CD129" s="34"/>
      <c r="CE129" s="34"/>
      <c r="CF129" s="34"/>
      <c r="CG129" s="34"/>
      <c r="CH129" s="34"/>
      <c r="CI129" s="34"/>
      <c r="CJ129" s="34"/>
      <c r="CK129" s="34"/>
      <c r="CL129" s="34"/>
      <c r="CM129" s="34"/>
      <c r="CN129" s="34"/>
      <c r="CO129" s="34"/>
      <c r="CP129" s="34"/>
      <c r="CQ129" s="34"/>
      <c r="CR129" s="34"/>
      <c r="CS129" s="34"/>
      <c r="CT129" s="34"/>
      <c r="CU129" s="34"/>
      <c r="CV129" s="34"/>
      <c r="CW129" s="34"/>
      <c r="CX129" s="34"/>
      <c r="CY129" s="34"/>
      <c r="CZ129" s="34"/>
      <c r="DA129" s="34"/>
      <c r="DB129" s="34"/>
      <c r="DC129" s="34"/>
      <c r="DD129" s="34"/>
      <c r="DE129" s="34"/>
      <c r="DF129" s="34"/>
      <c r="DG129" s="34"/>
      <c r="DH129" s="34"/>
      <c r="DI129" s="34"/>
      <c r="DJ129" s="34"/>
      <c r="DK129" s="34"/>
      <c r="DL129" s="34"/>
      <c r="DM129" s="34"/>
      <c r="DN129" s="34"/>
      <c r="DO129" s="34"/>
      <c r="DP129" s="34"/>
      <c r="DQ129" s="34"/>
      <c r="DR129" s="34"/>
      <c r="DS129" s="34"/>
      <c r="DT129" s="34"/>
      <c r="DU129" s="34"/>
      <c r="DV129" s="34"/>
      <c r="DW129" s="34"/>
      <c r="DX129" s="34"/>
      <c r="DY129" s="34"/>
      <c r="DZ129" s="34"/>
      <c r="EA129" s="34"/>
      <c r="EB129" s="34"/>
      <c r="EC129" s="34"/>
      <c r="ED129" s="34"/>
      <c r="EE129" s="34"/>
      <c r="EF129" s="34"/>
      <c r="EG129" s="34"/>
      <c r="EH129" s="34"/>
      <c r="EI129" s="34"/>
      <c r="EJ129" s="34"/>
      <c r="EK129" s="34"/>
      <c r="EL129" s="34"/>
      <c r="FE129" s="34"/>
    </row>
    <row r="130" spans="1:161" s="86" customFormat="1" ht="34" customHeight="1">
      <c r="A130" s="101" t="s">
        <v>237</v>
      </c>
      <c r="B130" s="102"/>
      <c r="C130" s="103" t="s">
        <v>238</v>
      </c>
      <c r="D130" s="103" t="s">
        <v>239</v>
      </c>
      <c r="E130" s="104"/>
      <c r="F130" s="104"/>
      <c r="G130" s="103" t="s">
        <v>240</v>
      </c>
      <c r="H130" s="103" t="s">
        <v>241</v>
      </c>
      <c r="J130" s="118"/>
      <c r="K130" s="243"/>
      <c r="L130" s="244"/>
      <c r="M130" s="244"/>
      <c r="N130" s="244"/>
      <c r="O130" s="244"/>
      <c r="P130" s="244"/>
      <c r="Q130" s="244"/>
      <c r="R130" s="244"/>
      <c r="S130" s="164"/>
      <c r="T130" s="165"/>
      <c r="U130" s="166" t="s">
        <v>297</v>
      </c>
      <c r="V130" s="166"/>
      <c r="W130" s="166"/>
      <c r="X130" s="166"/>
      <c r="Y130" s="166"/>
      <c r="Z130" s="166"/>
      <c r="AA130" s="165"/>
      <c r="AB130" s="164"/>
      <c r="AC130" s="165"/>
      <c r="AD130" s="166" t="s">
        <v>297</v>
      </c>
      <c r="AE130" s="166"/>
      <c r="AF130" s="166"/>
      <c r="AG130" s="166"/>
      <c r="AH130" s="166"/>
      <c r="AI130" s="166"/>
      <c r="AJ130" s="165"/>
      <c r="AK130" s="164"/>
      <c r="AL130" s="165"/>
      <c r="AM130" s="166" t="s">
        <v>297</v>
      </c>
      <c r="AN130" s="166"/>
      <c r="AO130" s="166"/>
      <c r="AP130" s="166"/>
      <c r="AQ130" s="166"/>
      <c r="AR130" s="166"/>
      <c r="AS130" s="167"/>
      <c r="AT130" s="164"/>
      <c r="AU130" s="165"/>
      <c r="AV130" s="166" t="s">
        <v>297</v>
      </c>
      <c r="AW130" s="166"/>
      <c r="AX130" s="166"/>
      <c r="AY130" s="166"/>
      <c r="AZ130" s="166"/>
      <c r="BA130" s="166"/>
      <c r="BB130" s="168"/>
      <c r="BC130" s="118"/>
      <c r="BD130" s="34"/>
      <c r="BE130" s="34"/>
      <c r="BF130" s="34"/>
      <c r="BH130" s="103" t="s">
        <v>298</v>
      </c>
      <c r="BI130" s="103" t="s">
        <v>299</v>
      </c>
      <c r="BJ130" s="103" t="s">
        <v>300</v>
      </c>
      <c r="BK130" s="103" t="s">
        <v>301</v>
      </c>
      <c r="BL130" s="114"/>
      <c r="BN130" s="103" t="s">
        <v>302</v>
      </c>
      <c r="BO130" s="103" t="s">
        <v>303</v>
      </c>
      <c r="BP130" s="103" t="s">
        <v>304</v>
      </c>
      <c r="BT130" s="103" t="s">
        <v>298</v>
      </c>
      <c r="BU130" s="103" t="s">
        <v>299</v>
      </c>
      <c r="BV130" s="103" t="s">
        <v>300</v>
      </c>
      <c r="BW130" s="103" t="s">
        <v>301</v>
      </c>
      <c r="BX130" s="169"/>
      <c r="BY130" s="34"/>
      <c r="BZ130" s="34"/>
      <c r="CA130" s="34"/>
      <c r="CB130" s="34"/>
      <c r="CC130" s="34"/>
      <c r="CD130" s="34"/>
      <c r="CE130" s="34"/>
      <c r="CF130" s="34"/>
      <c r="CG130" s="34"/>
      <c r="CH130" s="34"/>
      <c r="CI130" s="34"/>
      <c r="CJ130" s="34"/>
      <c r="CK130" s="34"/>
      <c r="CL130" s="34"/>
      <c r="CM130" s="34"/>
      <c r="CN130" s="34"/>
      <c r="CO130" s="34"/>
      <c r="CP130" s="34"/>
      <c r="CQ130" s="34"/>
      <c r="CR130" s="34"/>
      <c r="CS130" s="34"/>
      <c r="CT130" s="34"/>
      <c r="CU130" s="34"/>
      <c r="CV130" s="34"/>
      <c r="CW130" s="34"/>
      <c r="CX130" s="34"/>
      <c r="CY130" s="34"/>
      <c r="CZ130" s="34"/>
      <c r="DA130" s="34"/>
      <c r="DB130" s="34"/>
      <c r="DC130" s="34"/>
      <c r="DD130" s="34"/>
      <c r="DE130" s="34"/>
      <c r="DF130" s="34"/>
      <c r="DG130" s="34"/>
      <c r="DH130" s="34"/>
      <c r="DI130" s="34"/>
      <c r="DJ130" s="34"/>
      <c r="DK130" s="34"/>
      <c r="DL130" s="34"/>
      <c r="DM130" s="34"/>
      <c r="DN130" s="34"/>
      <c r="DO130" s="34"/>
      <c r="DP130" s="34"/>
      <c r="DQ130" s="34"/>
      <c r="DR130" s="34"/>
      <c r="DS130" s="34"/>
      <c r="DT130" s="34"/>
      <c r="DU130" s="34"/>
      <c r="DV130" s="34"/>
      <c r="DW130" s="34"/>
      <c r="DX130" s="34"/>
      <c r="DY130" s="34"/>
      <c r="DZ130" s="34"/>
      <c r="EA130" s="34"/>
      <c r="EB130" s="34"/>
      <c r="EC130" s="34"/>
      <c r="ED130" s="34"/>
      <c r="EE130" s="34"/>
      <c r="EF130" s="34"/>
      <c r="EG130" s="34"/>
      <c r="EH130" s="34"/>
      <c r="EI130" s="34"/>
      <c r="EJ130" s="34"/>
      <c r="EK130" s="34"/>
      <c r="EL130" s="34"/>
      <c r="FE130" s="34"/>
    </row>
    <row r="131" spans="1:161" s="34" customFormat="1" ht="34" customHeight="1">
      <c r="A131" s="127" t="s">
        <v>359</v>
      </c>
      <c r="B131" s="127" t="s">
        <v>244</v>
      </c>
      <c r="C131" s="127" t="s">
        <v>306</v>
      </c>
      <c r="D131" s="127" t="str">
        <f>IFERROR(INDEX([2]!Table1RM[#Data],MATCH($M$56,[2]!Table1RM[Athlete],0),MATCH($L131,[2]!Table1RM[#Headers],0)),"")</f>
        <v/>
      </c>
      <c r="E131" s="127" t="str">
        <f>IF($B131="PE",INDEX([2]ExerciseInventory!$J$2:$L$276,MATCH($L131,[2]ExerciseInventory!$J$2:$J$287,0),2),"")</f>
        <v/>
      </c>
      <c r="F131" s="127" t="str">
        <f>IF($B131="PE",INDEX([2]ExerciseInventory!$J$2:$L$276,MATCH($L131,[2]ExerciseInventory!$J$2:$J$287,0),3),"")</f>
        <v/>
      </c>
      <c r="G131" s="127"/>
      <c r="H131" s="127"/>
      <c r="J131" s="36"/>
      <c r="K131" s="170" t="s">
        <v>107</v>
      </c>
      <c r="L131" s="171" t="s">
        <v>194</v>
      </c>
      <c r="M131" s="171"/>
      <c r="N131" s="171"/>
      <c r="O131" s="171"/>
      <c r="P131" s="172"/>
      <c r="Q131" s="173"/>
      <c r="R131" s="174"/>
      <c r="S131" s="175" t="str">
        <f>CLEAN(IFERROR(INDEX(TableSetRepSchemes,MATCH(#REF!,ListSetRepSchemes,0),COLUMNS($R131:S131)),""))</f>
        <v/>
      </c>
      <c r="T131" s="111"/>
      <c r="U131" s="176" t="s">
        <v>360</v>
      </c>
      <c r="V131" s="176"/>
      <c r="W131" s="176"/>
      <c r="X131" s="176"/>
      <c r="Y131" s="176"/>
      <c r="Z131" s="176"/>
      <c r="AA131" s="178"/>
      <c r="AB131" s="179" t="str">
        <f>CLEAN(IFERROR(INDEX(TableSetRepSchemes,MATCH('[2]4L-WU1-9P'!$C131,ListSetRepSchemes,0),COLUMNS($R131:AB131)),""))</f>
        <v/>
      </c>
      <c r="AC131" s="178"/>
      <c r="AD131" s="178">
        <f>IFERROR(INDEX(TableSetRepSchemes,MATCH('1'!$C131,ListSetRepSchemes,0),COLUMNS($R131:AD131)),"")</f>
        <v>8</v>
      </c>
      <c r="AE131" s="178">
        <f>IFERROR(INDEX(TableSetRepSchemes,MATCH('1'!$C131,ListSetRepSchemes,0),COLUMNS($R131:AE131)),"")</f>
        <v>8</v>
      </c>
      <c r="AF131" s="178">
        <f>IFERROR(INDEX(TableSetRepSchemes,MATCH('1'!$C131,ListSetRepSchemes,0),COLUMNS($R131:AF131)),"")</f>
        <v>8</v>
      </c>
      <c r="AG131" s="178">
        <f>IFERROR(INDEX(TableSetRepSchemes,MATCH('1'!$C131,ListSetRepSchemes,0),COLUMNS($R131:AG131)),"")</f>
        <v>0</v>
      </c>
      <c r="AH131" s="178">
        <f>IFERROR(INDEX(TableSetRepSchemes,MATCH('1'!$C131,ListSetRepSchemes,0),COLUMNS($R131:AH131)),"")</f>
        <v>0</v>
      </c>
      <c r="AI131" s="178">
        <f>IFERROR(INDEX(TableSetRepSchemes,MATCH('1'!$C131,ListSetRepSchemes,0),COLUMNS($R131:AI131)),"")</f>
        <v>0</v>
      </c>
      <c r="AJ131" s="178"/>
      <c r="AK131" s="179" t="str">
        <f>CLEAN(IFERROR(INDEX(TableSetRepSchemes,MATCH('1'!$C131,ListSetRepSchemes,0),COLUMNS($R131:AK131)),""))</f>
        <v/>
      </c>
      <c r="AL131" s="178"/>
      <c r="AM131" s="178">
        <f>IFERROR(INDEX(TableSetRepSchemes,MATCH('1'!$C131,ListSetRepSchemes,0),COLUMNS($R131:AM131)),"")</f>
        <v>8</v>
      </c>
      <c r="AN131" s="178">
        <f>IFERROR(INDEX(TableSetRepSchemes,MATCH('1'!$C131,ListSetRepSchemes,0),COLUMNS($R131:AN131)),"")</f>
        <v>8</v>
      </c>
      <c r="AO131" s="178">
        <f>IFERROR(INDEX(TableSetRepSchemes,MATCH('1'!$C131,ListSetRepSchemes,0),COLUMNS($R131:AO131)),"")</f>
        <v>8</v>
      </c>
      <c r="AP131" s="178">
        <f>IFERROR(INDEX(TableSetRepSchemes,MATCH('1'!$C131,ListSetRepSchemes,0),COLUMNS($R131:AP131)),"")</f>
        <v>0</v>
      </c>
      <c r="AQ131" s="178">
        <f>IFERROR(INDEX(TableSetRepSchemes,MATCH('1'!$C131,ListSetRepSchemes,0),COLUMNS($R131:AQ131)),"")</f>
        <v>0</v>
      </c>
      <c r="AR131" s="178">
        <f>IFERROR(INDEX(TableSetRepSchemes,MATCH('1'!$C131,ListSetRepSchemes,0),COLUMNS($R131:AR131)),"")</f>
        <v>0</v>
      </c>
      <c r="AS131" s="178"/>
      <c r="AT131" s="179" t="str">
        <f>CLEAN(IFERROR(INDEX(TableSetRepSchemes,MATCH('1'!$C131,ListSetRepSchemes,0),COLUMNS($R131:AT131)),""))</f>
        <v/>
      </c>
      <c r="AU131" s="178"/>
      <c r="AV131" s="178">
        <f>IFERROR(INDEX(TableSetRepSchemes,MATCH('1'!$C131,ListSetRepSchemes,0),COLUMNS($R131:AV131)),"")</f>
        <v>8</v>
      </c>
      <c r="AW131" s="178">
        <f>IFERROR(INDEX(TableSetRepSchemes,MATCH('1'!$C131,ListSetRepSchemes,0),COLUMNS($R131:AW131)),"")</f>
        <v>8</v>
      </c>
      <c r="AX131" s="178">
        <f>IFERROR(INDEX(TableSetRepSchemes,MATCH('1'!$C131,ListSetRepSchemes,0),COLUMNS($R131:AX131)),"")</f>
        <v>8</v>
      </c>
      <c r="AY131" s="178">
        <f>IFERROR(INDEX(TableSetRepSchemes,MATCH('1'!$C131,ListSetRepSchemes,0),COLUMNS($R131:AY131)),"")</f>
        <v>0</v>
      </c>
      <c r="AZ131" s="178">
        <f>IFERROR(INDEX(TableSetRepSchemes,MATCH('1'!$C131,ListSetRepSchemes,0),COLUMNS($R131:AZ131)),"")</f>
        <v>0</v>
      </c>
      <c r="BA131" s="178">
        <f>IFERROR(INDEX(TableSetRepSchemes,MATCH('1'!$C131,ListSetRepSchemes,0),COLUMNS($R131:BA131)),"")</f>
        <v>0</v>
      </c>
      <c r="BB131" s="180"/>
      <c r="BC131" s="36"/>
      <c r="BG131" s="181" t="s">
        <v>308</v>
      </c>
      <c r="BH131" s="182">
        <f>IFERROR(SUM(SUBSTITUTE(U131,"/s",""),V131:Z131),0)</f>
        <v>0</v>
      </c>
      <c r="BI131" s="182">
        <f>SUM(SUBSTITUTE(AD131,"/s",""),AE131:AI131)</f>
        <v>24</v>
      </c>
      <c r="BJ131" s="182">
        <f>SUM(AM131:AR131)</f>
        <v>24</v>
      </c>
      <c r="BK131" s="182">
        <f>SUM(AV131:BA131)</f>
        <v>24</v>
      </c>
      <c r="BL131" s="183"/>
      <c r="BM131" s="184"/>
      <c r="BN131" s="182" t="s">
        <v>309</v>
      </c>
      <c r="BO131" s="182">
        <f>IF($B$65="PE",(BL132),0)+IF($B$67="PE",(BL134),0)+IF($B$69="PE",(BL136),0)+IF($B$71="PE",(BL138),0)+IF($B$73="PE",(BL140),0)+IF($B$75="PE",(BL142),0)+IF($B$77="PE",(BL144),0)+IF($B$79="PE",(BL146),0)</f>
        <v>0</v>
      </c>
      <c r="BP131" s="185" t="e">
        <f>(BO131/$BO$69)*100</f>
        <v>#DIV/0!</v>
      </c>
      <c r="BQ131" s="184"/>
      <c r="BS131" s="181" t="s">
        <v>308</v>
      </c>
      <c r="BT131" s="50" t="str">
        <f>IF($B131="PE",BH131,"")</f>
        <v/>
      </c>
      <c r="BU131" s="186" t="str">
        <f>IF($B131="PE",BI131,"")</f>
        <v/>
      </c>
      <c r="BV131" s="186" t="str">
        <f>IF($B131="PE",BJ131,"")</f>
        <v/>
      </c>
      <c r="BW131" s="186" t="str">
        <f>IF($B131="PE",BK131,"")</f>
        <v/>
      </c>
      <c r="BX131" s="187"/>
    </row>
    <row r="132" spans="1:161" s="34" customFormat="1" ht="34" customHeight="1">
      <c r="A132" s="129"/>
      <c r="B132" s="129"/>
      <c r="C132" s="129"/>
      <c r="D132" s="129"/>
      <c r="E132" s="129"/>
      <c r="F132" s="129"/>
      <c r="G132" s="129"/>
      <c r="H132" s="129"/>
      <c r="J132" s="36"/>
      <c r="K132" s="188"/>
      <c r="L132" s="189"/>
      <c r="M132" s="189"/>
      <c r="N132" s="189"/>
      <c r="O132" s="189"/>
      <c r="P132" s="190"/>
      <c r="Q132" s="191"/>
      <c r="R132" s="192"/>
      <c r="S132" s="193"/>
      <c r="T132" s="111"/>
      <c r="U132" s="176"/>
      <c r="V132" s="176"/>
      <c r="W132" s="176"/>
      <c r="X132" s="176"/>
      <c r="Y132" s="176"/>
      <c r="Z132" s="176"/>
      <c r="AA132" s="178"/>
      <c r="AB132" s="194"/>
      <c r="AC132" s="178"/>
      <c r="AD132" s="178"/>
      <c r="AE132" s="178"/>
      <c r="AF132" s="178"/>
      <c r="AG132" s="178"/>
      <c r="AH132" s="178"/>
      <c r="AI132" s="178"/>
      <c r="AJ132" s="178"/>
      <c r="AK132" s="194"/>
      <c r="AL132" s="178"/>
      <c r="AM132" s="178"/>
      <c r="AN132" s="178"/>
      <c r="AO132" s="178"/>
      <c r="AP132" s="178"/>
      <c r="AQ132" s="178"/>
      <c r="AR132" s="178"/>
      <c r="AS132" s="178"/>
      <c r="AT132" s="194"/>
      <c r="AU132" s="178"/>
      <c r="AV132" s="178"/>
      <c r="AW132" s="178"/>
      <c r="AX132" s="178"/>
      <c r="AY132" s="178"/>
      <c r="AZ132" s="178"/>
      <c r="BA132" s="178"/>
      <c r="BB132" s="180"/>
      <c r="BC132" s="36"/>
      <c r="BG132" s="181" t="s">
        <v>310</v>
      </c>
      <c r="BH132" s="182">
        <f>IFERROR((SUBSTITUTE(U131,"/s","")*U132)+(V131*V132)+(W131*W132)+(X131*X132)+(Y131*Y132)+(Z131*Z132),0)</f>
        <v>0</v>
      </c>
      <c r="BI132" s="182">
        <f>IFERROR((SUBSTITUTE(AD131,"/s","")*AD132)+(AE131*AE132)+(AF131*AF132)+(AG131*AG132)+(AH131*AH132)+(AI131*AI132),0)</f>
        <v>0</v>
      </c>
      <c r="BJ132" s="182">
        <f>IFERROR((AM131*AM132)+(AN131*AN132)+(AO131*AO132)+(AP131*AP132)+(AQ131*AQ132)+(AR131*AR132),"")</f>
        <v>0</v>
      </c>
      <c r="BK132" s="182">
        <f>IFERROR((AV131*AV132)+(AW131*AW132)+(AX131*AX132)+(AY131*AY132)+(AZ131*AZ132)+(BA131*BA132),"")</f>
        <v>0</v>
      </c>
      <c r="BL132" s="195">
        <f>IFERROR(BH132+BI132+BJ132+BK132,NA())</f>
        <v>0</v>
      </c>
      <c r="BM132" s="184"/>
      <c r="BN132" s="182" t="s">
        <v>311</v>
      </c>
      <c r="BO132" s="182">
        <f>IF(B131="DE",(BL132),0)+IF(B133="DE",(BL134),0)+IF(B135="DE",(BL136),0)+IF(B137="DE",(BL138),0)+IF(B139="DE",(BL140),0)+IF(B141="DE",(BL142),0)+IF(B143="DE",(BL144),0)+IF(B145="DE",(BL146),0)</f>
        <v>0</v>
      </c>
      <c r="BP132" s="185" t="e">
        <f>(BO132/$BO$69)*100</f>
        <v>#DIV/0!</v>
      </c>
      <c r="BQ132" s="184"/>
      <c r="BS132" s="181" t="s">
        <v>310</v>
      </c>
      <c r="BT132" s="50">
        <f>IF($B131="PE",(BH132*$E131*$F131),0)</f>
        <v>0</v>
      </c>
      <c r="BU132" s="186">
        <f>IF($B131="PE",(BI132*$E131*$F131),0)</f>
        <v>0</v>
      </c>
      <c r="BV132" s="186">
        <f>IF($B131="PE",(BJ132*$E131*$F131),0)</f>
        <v>0</v>
      </c>
      <c r="BW132" s="186">
        <f>IF($B131="PE",(BK132*$E131*$F131),0)</f>
        <v>0</v>
      </c>
      <c r="BX132" s="187">
        <f>IFERROR(BT132+BU132+BV132+BW132,NA())</f>
        <v>0</v>
      </c>
    </row>
    <row r="133" spans="1:161" s="34" customFormat="1" ht="34" customHeight="1">
      <c r="A133" s="127" t="s">
        <v>323</v>
      </c>
      <c r="B133" s="127" t="s">
        <v>311</v>
      </c>
      <c r="C133" s="127" t="s">
        <v>306</v>
      </c>
      <c r="D133" s="127" t="str">
        <f>IFERROR(INDEX([2]!Table1RM[#Data],MATCH($M$56,[2]!Table1RM[Athlete],0),MATCH($L133,[2]!Table1RM[#Headers],0)),"")</f>
        <v/>
      </c>
      <c r="E133" s="127" t="str">
        <f>IF($B133="PE",INDEX([2]ExerciseInventory!$J$2:$L$276,MATCH($L133,[2]ExerciseInventory!$J$2:$J$287,0),2),"")</f>
        <v/>
      </c>
      <c r="F133" s="127" t="str">
        <f>IF($B133="PE",INDEX([2]ExerciseInventory!$J$2:$L$276,MATCH($L133,[2]ExerciseInventory!$J$2:$J$287,0),3),"")</f>
        <v/>
      </c>
      <c r="G133" s="127"/>
      <c r="H133" s="127"/>
      <c r="J133" s="36"/>
      <c r="K133" s="170" t="s">
        <v>108</v>
      </c>
      <c r="L133" s="171" t="s">
        <v>361</v>
      </c>
      <c r="M133" s="171"/>
      <c r="N133" s="171"/>
      <c r="O133" s="171"/>
      <c r="P133" s="172"/>
      <c r="Q133" s="173"/>
      <c r="R133" s="174"/>
      <c r="S133" s="175" t="str">
        <f>CLEAN(IFERROR(INDEX(TableSetRepSchemes,MATCH(#REF!,ListSetRepSchemes,0),COLUMNS($R133:S133)),""))</f>
        <v/>
      </c>
      <c r="T133" s="111"/>
      <c r="U133" s="176"/>
      <c r="V133" s="176"/>
      <c r="W133" s="176"/>
      <c r="X133" s="176"/>
      <c r="Y133" s="176"/>
      <c r="Z133" s="176"/>
      <c r="AA133" s="178"/>
      <c r="AB133" s="179" t="str">
        <f>CLEAN(IFERROR(INDEX(TableSetRepSchemes,MATCH('[2]4L-WU1-9P'!$C133,ListSetRepSchemes,0),COLUMNS($R133:AB133)),""))</f>
        <v/>
      </c>
      <c r="AC133" s="178"/>
      <c r="AD133" s="178" t="s">
        <v>263</v>
      </c>
      <c r="AE133" s="178">
        <f>IFERROR(INDEX(TableSetRepSchemes,MATCH('1'!$C133,ListSetRepSchemes,0),COLUMNS($R133:AE133)),"")</f>
        <v>8</v>
      </c>
      <c r="AF133" s="178">
        <f>IFERROR(INDEX(TableSetRepSchemes,MATCH('1'!$C133,ListSetRepSchemes,0),COLUMNS($R133:AF133)),"")</f>
        <v>8</v>
      </c>
      <c r="AG133" s="178">
        <f>IFERROR(INDEX(TableSetRepSchemes,MATCH('1'!$C133,ListSetRepSchemes,0),COLUMNS($R133:AG133)),"")</f>
        <v>0</v>
      </c>
      <c r="AH133" s="178">
        <f>IFERROR(INDEX(TableSetRepSchemes,MATCH('1'!$C133,ListSetRepSchemes,0),COLUMNS($R133:AH133)),"")</f>
        <v>0</v>
      </c>
      <c r="AI133" s="178">
        <f>IFERROR(INDEX(TableSetRepSchemes,MATCH('1'!$C133,ListSetRepSchemes,0),COLUMNS($R133:AI133)),"")</f>
        <v>0</v>
      </c>
      <c r="AJ133" s="178"/>
      <c r="AK133" s="179" t="str">
        <f>CLEAN(IFERROR(INDEX(TableSetRepSchemes,MATCH('1'!$C133,ListSetRepSchemes,0),COLUMNS($R133:AK133)),""))</f>
        <v/>
      </c>
      <c r="AL133" s="178"/>
      <c r="AM133" s="178">
        <f>IFERROR(INDEX(TableSetRepSchemes,MATCH('1'!$C133,ListSetRepSchemes,0),COLUMNS($R133:AM133)),"")</f>
        <v>8</v>
      </c>
      <c r="AN133" s="178">
        <f>IFERROR(INDEX(TableSetRepSchemes,MATCH('1'!$C133,ListSetRepSchemes,0),COLUMNS($R133:AN133)),"")</f>
        <v>8</v>
      </c>
      <c r="AO133" s="178">
        <f>IFERROR(INDEX(TableSetRepSchemes,MATCH('1'!$C133,ListSetRepSchemes,0),COLUMNS($R133:AO133)),"")</f>
        <v>8</v>
      </c>
      <c r="AP133" s="178">
        <f>IFERROR(INDEX(TableSetRepSchemes,MATCH('1'!$C133,ListSetRepSchemes,0),COLUMNS($R133:AP133)),"")</f>
        <v>0</v>
      </c>
      <c r="AQ133" s="178">
        <f>IFERROR(INDEX(TableSetRepSchemes,MATCH('1'!$C133,ListSetRepSchemes,0),COLUMNS($R133:AQ133)),"")</f>
        <v>0</v>
      </c>
      <c r="AR133" s="178">
        <f>IFERROR(INDEX(TableSetRepSchemes,MATCH('1'!$C133,ListSetRepSchemes,0),COLUMNS($R133:AR133)),"")</f>
        <v>0</v>
      </c>
      <c r="AS133" s="178"/>
      <c r="AT133" s="179" t="str">
        <f>CLEAN(IFERROR(INDEX(TableSetRepSchemes,MATCH('1'!$C133,ListSetRepSchemes,0),COLUMNS($R133:AT133)),""))</f>
        <v/>
      </c>
      <c r="AU133" s="178"/>
      <c r="AV133" s="178">
        <f>IFERROR(INDEX(TableSetRepSchemes,MATCH('1'!$C133,ListSetRepSchemes,0),COLUMNS($R133:AV133)),"")</f>
        <v>8</v>
      </c>
      <c r="AW133" s="178">
        <f>IFERROR(INDEX(TableSetRepSchemes,MATCH('1'!$C133,ListSetRepSchemes,0),COLUMNS($R133:AW133)),"")</f>
        <v>8</v>
      </c>
      <c r="AX133" s="178">
        <f>IFERROR(INDEX(TableSetRepSchemes,MATCH('1'!$C133,ListSetRepSchemes,0),COLUMNS($R133:AX133)),"")</f>
        <v>8</v>
      </c>
      <c r="AY133" s="178">
        <f>IFERROR(INDEX(TableSetRepSchemes,MATCH('1'!$C133,ListSetRepSchemes,0),COLUMNS($R133:AY133)),"")</f>
        <v>0</v>
      </c>
      <c r="AZ133" s="178">
        <f>IFERROR(INDEX(TableSetRepSchemes,MATCH('1'!$C133,ListSetRepSchemes,0),COLUMNS($R133:AZ133)),"")</f>
        <v>0</v>
      </c>
      <c r="BA133" s="178">
        <f>IFERROR(INDEX(TableSetRepSchemes,MATCH('1'!$C133,ListSetRepSchemes,0),COLUMNS($R133:BA133)),"")</f>
        <v>0</v>
      </c>
      <c r="BB133" s="180"/>
      <c r="BC133" s="36"/>
      <c r="BG133" s="181" t="s">
        <v>308</v>
      </c>
      <c r="BH133" s="182">
        <f>IFERROR(SUM(SUBSTITUTE(U133,"/s",""),V133:Z133),0)</f>
        <v>0</v>
      </c>
      <c r="BI133" s="182">
        <f>SUM(SUBSTITUTE(AD133,"/s",""),AE133:AI133)</f>
        <v>24</v>
      </c>
      <c r="BJ133" s="182">
        <f>SUM(AM133:AR133)</f>
        <v>24</v>
      </c>
      <c r="BK133" s="182">
        <f>SUM(AV133:BA133)</f>
        <v>24</v>
      </c>
      <c r="BL133" s="195"/>
      <c r="BM133" s="184"/>
      <c r="BN133" s="182" t="s">
        <v>317</v>
      </c>
      <c r="BO133" s="182" t="e">
        <f>IF(B131="ME",(BL132),0)+IF(B133="ME",(BL134),0)+IF(B135="ME",(BL136),0)+IF(B137="ME",(BL138),0)+IF(B139="ME",(BL140),0)+IF(B141="ME",(BL142),0)+IF(B143="ME",(BL144),0)+IF(B145="ME",(BL146),0)</f>
        <v>#N/A</v>
      </c>
      <c r="BP133" s="185" t="e">
        <f>(BO133/$BO$69)*100</f>
        <v>#N/A</v>
      </c>
      <c r="BQ133" s="184"/>
      <c r="BS133" s="181" t="s">
        <v>308</v>
      </c>
      <c r="BT133" s="50" t="str">
        <f>IF($B133="PE",BH133,"")</f>
        <v/>
      </c>
      <c r="BU133" s="186" t="str">
        <f>IF($B133="PE",BI133,"")</f>
        <v/>
      </c>
      <c r="BV133" s="186" t="str">
        <f>IF($B133="PE",BJ133,"")</f>
        <v/>
      </c>
      <c r="BW133" s="186" t="str">
        <f>IF($B133="PE",BK133,"")</f>
        <v/>
      </c>
      <c r="BX133" s="187" t="e">
        <f t="shared" ref="BX133:BX146" si="5">IFERROR(BT133+BU133+BV133+BW133,NA())</f>
        <v>#N/A</v>
      </c>
    </row>
    <row r="134" spans="1:161" s="34" customFormat="1" ht="34" customHeight="1">
      <c r="A134" s="129"/>
      <c r="B134" s="129"/>
      <c r="C134" s="129"/>
      <c r="D134" s="129"/>
      <c r="E134" s="129"/>
      <c r="F134" s="129"/>
      <c r="G134" s="129"/>
      <c r="H134" s="129"/>
      <c r="J134" s="36"/>
      <c r="K134" s="188"/>
      <c r="L134" s="189"/>
      <c r="M134" s="189"/>
      <c r="N134" s="189"/>
      <c r="O134" s="189"/>
      <c r="P134" s="190"/>
      <c r="Q134" s="191"/>
      <c r="R134" s="192"/>
      <c r="S134" s="193"/>
      <c r="T134" s="111"/>
      <c r="U134" s="176"/>
      <c r="V134" s="176"/>
      <c r="W134" s="176"/>
      <c r="X134" s="176"/>
      <c r="Y134" s="176"/>
      <c r="Z134" s="176"/>
      <c r="AA134" s="178"/>
      <c r="AB134" s="194"/>
      <c r="AC134" s="178"/>
      <c r="AD134" s="178"/>
      <c r="AE134" s="178"/>
      <c r="AF134" s="178"/>
      <c r="AG134" s="178"/>
      <c r="AH134" s="178"/>
      <c r="AI134" s="178"/>
      <c r="AJ134" s="178"/>
      <c r="AK134" s="194"/>
      <c r="AL134" s="178"/>
      <c r="AM134" s="178"/>
      <c r="AN134" s="178"/>
      <c r="AO134" s="178"/>
      <c r="AP134" s="178"/>
      <c r="AQ134" s="178"/>
      <c r="AR134" s="178"/>
      <c r="AS134" s="178"/>
      <c r="AT134" s="194"/>
      <c r="AU134" s="178"/>
      <c r="AV134" s="178"/>
      <c r="AW134" s="178"/>
      <c r="AX134" s="178"/>
      <c r="AY134" s="178"/>
      <c r="AZ134" s="178"/>
      <c r="BA134" s="178"/>
      <c r="BB134" s="180"/>
      <c r="BC134" s="36"/>
      <c r="BG134" s="181" t="s">
        <v>310</v>
      </c>
      <c r="BH134" s="182">
        <f>IFERROR((SUBSTITUTE(U133,"/s","")*U134)+(V133*V134)+(W133*W134)+(X133*X134)+(Y133*Y134)+(Z133*Z134),0)</f>
        <v>0</v>
      </c>
      <c r="BI134" s="182">
        <f>IFERROR((SUBSTITUTE(AD133,"/s","")*AD134)+(AE133*AE134)+(AF133*AF134)+(AG133*AG134)+(AH133*AH134)+(AI133*AI134),0)</f>
        <v>0</v>
      </c>
      <c r="BJ134" s="182">
        <f>IFERROR((AM133*AM134)+(AN133*AN134)+(AO133*AO134)+(AP133*AP134)+(AQ133*AQ134)+(AR133*AR134),"")</f>
        <v>0</v>
      </c>
      <c r="BK134" s="182">
        <f>IFERROR((AV133*AV134)+(AW133*AW134)+(AX133*AX134)+(AY133*AY134)+(AZ133*AZ134)+(BA133*BA134),"")</f>
        <v>0</v>
      </c>
      <c r="BL134" s="195">
        <f>IFERROR(BH134+BI134+BJ134+BK134,NA())</f>
        <v>0</v>
      </c>
      <c r="BM134" s="184"/>
      <c r="BN134" s="182" t="s">
        <v>244</v>
      </c>
      <c r="BO134" s="182">
        <f>IF(B131="RE",(BL132),0)+IF(B133="RE",(BL134),0)+IF(B135="RE",(BL136),0)+IF(B137="RE",(BL138),0)+IF(B139="RE",(BL140),0)+IF(B141="RE",(BL142),0)+IF(B143="RE",(BL144),0)+IF(B145="RE",(BL146),0)</f>
        <v>0</v>
      </c>
      <c r="BP134" s="185" t="e">
        <f>(BO134/$BO$69)*100</f>
        <v>#DIV/0!</v>
      </c>
      <c r="BQ134" s="184"/>
      <c r="BS134" s="181" t="s">
        <v>310</v>
      </c>
      <c r="BT134" s="50">
        <f>IF($B133="PE",(BH134*$E133*$F133),0)</f>
        <v>0</v>
      </c>
      <c r="BU134" s="186">
        <f>IF($B133="PE",(BI134*$E133*$F133),0)</f>
        <v>0</v>
      </c>
      <c r="BV134" s="186">
        <f>IF($B133="PE",(BJ134*$E133*$F133),0)</f>
        <v>0</v>
      </c>
      <c r="BW134" s="186">
        <f>IF($B133="PE",(BK134*$E133*$F133),0)</f>
        <v>0</v>
      </c>
      <c r="BX134" s="187">
        <f t="shared" si="5"/>
        <v>0</v>
      </c>
    </row>
    <row r="135" spans="1:161" s="34" customFormat="1" ht="34" customHeight="1">
      <c r="A135" s="127" t="s">
        <v>362</v>
      </c>
      <c r="B135" s="127" t="s">
        <v>317</v>
      </c>
      <c r="C135" s="127" t="s">
        <v>313</v>
      </c>
      <c r="D135" s="127" t="str">
        <f>IFERROR(INDEX([2]!Table1RM[#Data],MATCH($M$56,[2]!Table1RM[Athlete],0),MATCH($L135,[2]!Table1RM[#Headers],0)),"")</f>
        <v/>
      </c>
      <c r="E135" s="127" t="str">
        <f>IF($B135="PE",INDEX([2]ExerciseInventory!$J$2:$L$276,MATCH($L135,[2]ExerciseInventory!$J$2:$J$287,0),2),"")</f>
        <v/>
      </c>
      <c r="F135" s="127" t="str">
        <f>IF($B135="PE",INDEX([2]ExerciseInventory!$J$2:$L$276,MATCH($L135,[2]ExerciseInventory!$J$2:$J$287,0),3),"")</f>
        <v/>
      </c>
      <c r="G135" s="127"/>
      <c r="H135" s="127"/>
      <c r="J135" s="36"/>
      <c r="K135" s="170" t="s">
        <v>109</v>
      </c>
      <c r="L135" s="171" t="s">
        <v>363</v>
      </c>
      <c r="M135" s="171"/>
      <c r="N135" s="171"/>
      <c r="O135" s="171"/>
      <c r="P135" s="172"/>
      <c r="Q135" s="173"/>
      <c r="R135" s="174"/>
      <c r="S135" s="175" t="str">
        <f>CLEAN(IFERROR(INDEX(TableSetRepSchemes,MATCH(#REF!,ListSetRepSchemes,0),COLUMNS($R135:S135)),""))</f>
        <v/>
      </c>
      <c r="T135" s="111"/>
      <c r="U135" s="176"/>
      <c r="V135" s="176"/>
      <c r="W135" s="176"/>
      <c r="X135" s="176"/>
      <c r="Y135" s="176"/>
      <c r="Z135" s="176"/>
      <c r="AA135" s="178"/>
      <c r="AB135" s="179" t="str">
        <f>CLEAN(IFERROR(INDEX(TableSetRepSchemes,MATCH('[2]4L-WU1-9P'!$C135,ListSetRepSchemes,0),COLUMNS($R135:AB135)),""))</f>
        <v/>
      </c>
      <c r="AC135" s="178"/>
      <c r="AD135" s="178" t="s">
        <v>269</v>
      </c>
      <c r="AE135" s="178">
        <f>IFERROR(INDEX(TableSetRepSchemes,MATCH('1'!$C135,ListSetRepSchemes,0),COLUMNS($R135:AE135)),"")</f>
        <v>6</v>
      </c>
      <c r="AF135" s="178">
        <f>IFERROR(INDEX(TableSetRepSchemes,MATCH('1'!$C135,ListSetRepSchemes,0),COLUMNS($R135:AF135)),"")</f>
        <v>6</v>
      </c>
      <c r="AG135" s="178">
        <f>IFERROR(INDEX(TableSetRepSchemes,MATCH('1'!$C135,ListSetRepSchemes,0),COLUMNS($R135:AG135)),"")</f>
        <v>0</v>
      </c>
      <c r="AH135" s="178">
        <f>IFERROR(INDEX(TableSetRepSchemes,MATCH('1'!$C135,ListSetRepSchemes,0),COLUMNS($R135:AH135)),"")</f>
        <v>0</v>
      </c>
      <c r="AI135" s="178">
        <f>IFERROR(INDEX(TableSetRepSchemes,MATCH('1'!$C135,ListSetRepSchemes,0),COLUMNS($R135:AI135)),"")</f>
        <v>0</v>
      </c>
      <c r="AJ135" s="178"/>
      <c r="AK135" s="179" t="str">
        <f>CLEAN(IFERROR(INDEX(TableSetRepSchemes,MATCH('1'!$C135,ListSetRepSchemes,0),COLUMNS($R135:AK135)),""))</f>
        <v/>
      </c>
      <c r="AL135" s="178"/>
      <c r="AM135" s="178">
        <f>IFERROR(INDEX(TableSetRepSchemes,MATCH('1'!$C135,ListSetRepSchemes,0),COLUMNS($R135:AM135)),"")</f>
        <v>7</v>
      </c>
      <c r="AN135" s="178">
        <f>IFERROR(INDEX(TableSetRepSchemes,MATCH('1'!$C135,ListSetRepSchemes,0),COLUMNS($R135:AN135)),"")</f>
        <v>7</v>
      </c>
      <c r="AO135" s="178">
        <f>IFERROR(INDEX(TableSetRepSchemes,MATCH('1'!$C135,ListSetRepSchemes,0),COLUMNS($R135:AO135)),"")</f>
        <v>7</v>
      </c>
      <c r="AP135" s="178">
        <f>IFERROR(INDEX(TableSetRepSchemes,MATCH('1'!$C135,ListSetRepSchemes,0),COLUMNS($R135:AP135)),"")</f>
        <v>0</v>
      </c>
      <c r="AQ135" s="178">
        <f>IFERROR(INDEX(TableSetRepSchemes,MATCH('1'!$C135,ListSetRepSchemes,0),COLUMNS($R135:AQ135)),"")</f>
        <v>0</v>
      </c>
      <c r="AR135" s="178">
        <f>IFERROR(INDEX(TableSetRepSchemes,MATCH('1'!$C135,ListSetRepSchemes,0),COLUMNS($R135:AR135)),"")</f>
        <v>0</v>
      </c>
      <c r="AS135" s="178"/>
      <c r="AT135" s="179" t="str">
        <f>CLEAN(IFERROR(INDEX(TableSetRepSchemes,MATCH('1'!$C135,ListSetRepSchemes,0),COLUMNS($R135:AT135)),""))</f>
        <v/>
      </c>
      <c r="AU135" s="178"/>
      <c r="AV135" s="178">
        <f>IFERROR(INDEX(TableSetRepSchemes,MATCH('1'!$C135,ListSetRepSchemes,0),COLUMNS($R135:AV135)),"")</f>
        <v>8</v>
      </c>
      <c r="AW135" s="178">
        <f>IFERROR(INDEX(TableSetRepSchemes,MATCH('1'!$C135,ListSetRepSchemes,0),COLUMNS($R135:AW135)),"")</f>
        <v>8</v>
      </c>
      <c r="AX135" s="178">
        <f>IFERROR(INDEX(TableSetRepSchemes,MATCH('1'!$C135,ListSetRepSchemes,0),COLUMNS($R135:AX135)),"")</f>
        <v>8</v>
      </c>
      <c r="AY135" s="178">
        <f>IFERROR(INDEX(TableSetRepSchemes,MATCH('1'!$C135,ListSetRepSchemes,0),COLUMNS($R135:AY135)),"")</f>
        <v>0</v>
      </c>
      <c r="AZ135" s="178">
        <f>IFERROR(INDEX(TableSetRepSchemes,MATCH('1'!$C135,ListSetRepSchemes,0),COLUMNS($R135:AZ135)),"")</f>
        <v>0</v>
      </c>
      <c r="BA135" s="178">
        <f>IFERROR(INDEX(TableSetRepSchemes,MATCH('1'!$C135,ListSetRepSchemes,0),COLUMNS($R135:BA135)),"")</f>
        <v>0</v>
      </c>
      <c r="BB135" s="180"/>
      <c r="BC135" s="36"/>
      <c r="BG135" s="181" t="s">
        <v>308</v>
      </c>
      <c r="BH135" s="182">
        <f>IFERROR(SUM(SUBSTITUTE(U135,"/s",""),V135:Z135),0)</f>
        <v>0</v>
      </c>
      <c r="BI135" s="182">
        <f>SUM(SUBSTITUTE(AD135,"/s",""),AE135:AI135)</f>
        <v>18</v>
      </c>
      <c r="BJ135" s="182">
        <f>SUM(AM135:AR135)</f>
        <v>21</v>
      </c>
      <c r="BK135" s="182">
        <f>SUM(AV135:BA135)</f>
        <v>24</v>
      </c>
      <c r="BL135" s="195"/>
      <c r="BM135" s="184"/>
      <c r="BN135" s="182" t="s">
        <v>321</v>
      </c>
      <c r="BO135" s="182" t="e">
        <f>SUM(BO131:BO134)</f>
        <v>#N/A</v>
      </c>
      <c r="BP135" s="182"/>
      <c r="BQ135" s="184"/>
      <c r="BS135" s="181" t="s">
        <v>308</v>
      </c>
      <c r="BT135" s="50" t="str">
        <f>IF($B135="PE",BH135,"")</f>
        <v/>
      </c>
      <c r="BU135" s="186" t="str">
        <f>IF($B135="PE",BI135,"")</f>
        <v/>
      </c>
      <c r="BV135" s="186" t="str">
        <f>IF($B135="PE",BJ135,"")</f>
        <v/>
      </c>
      <c r="BW135" s="186" t="str">
        <f>IF($B135="PE",BK135,"")</f>
        <v/>
      </c>
      <c r="BX135" s="187" t="e">
        <f t="shared" si="5"/>
        <v>#N/A</v>
      </c>
    </row>
    <row r="136" spans="1:161" s="34" customFormat="1" ht="34" customHeight="1">
      <c r="A136" s="129"/>
      <c r="B136" s="129"/>
      <c r="C136" s="129"/>
      <c r="D136" s="129"/>
      <c r="E136" s="129"/>
      <c r="F136" s="129"/>
      <c r="G136" s="129"/>
      <c r="H136" s="129"/>
      <c r="J136" s="36"/>
      <c r="K136" s="188"/>
      <c r="L136" s="189"/>
      <c r="M136" s="189"/>
      <c r="N136" s="189"/>
      <c r="O136" s="189"/>
      <c r="P136" s="190"/>
      <c r="Q136" s="191"/>
      <c r="R136" s="192"/>
      <c r="S136" s="193"/>
      <c r="T136" s="111"/>
      <c r="U136" s="176"/>
      <c r="V136" s="176"/>
      <c r="W136" s="176"/>
      <c r="X136" s="176"/>
      <c r="Y136" s="176"/>
      <c r="Z136" s="176"/>
      <c r="AA136" s="178"/>
      <c r="AB136" s="194"/>
      <c r="AC136" s="178"/>
      <c r="AD136" s="178"/>
      <c r="AE136" s="178"/>
      <c r="AF136" s="178"/>
      <c r="AG136" s="178"/>
      <c r="AH136" s="178"/>
      <c r="AI136" s="178"/>
      <c r="AJ136" s="178"/>
      <c r="AK136" s="194"/>
      <c r="AL136" s="178"/>
      <c r="AM136" s="178"/>
      <c r="AN136" s="178"/>
      <c r="AO136" s="178"/>
      <c r="AP136" s="178"/>
      <c r="AQ136" s="178"/>
      <c r="AR136" s="178"/>
      <c r="AS136" s="178"/>
      <c r="AT136" s="194"/>
      <c r="AU136" s="178"/>
      <c r="AV136" s="178"/>
      <c r="AW136" s="178"/>
      <c r="AX136" s="178"/>
      <c r="AY136" s="178"/>
      <c r="AZ136" s="178"/>
      <c r="BA136" s="178"/>
      <c r="BB136" s="180"/>
      <c r="BC136" s="36"/>
      <c r="BG136" s="181" t="s">
        <v>310</v>
      </c>
      <c r="BH136" s="182">
        <f>IFERROR((SUBSTITUTE(U135,"/s","")*U136)+(V135*V136)+(W135*W136)+(X135*X136)+(Y135*Y136)+(Z135*Z136),0)</f>
        <v>0</v>
      </c>
      <c r="BI136" s="182">
        <f>IFERROR((SUBSTITUTE(AD135,"/s","")*AD136)+(AE135*AE136)+(AF135*AF136)+(AG135*AG136)+(AH135*AH136)+(AI135*AI136),0)</f>
        <v>0</v>
      </c>
      <c r="BJ136" s="182">
        <f>IFERROR((AM135*AM136)+(AN135*AN136)+(AO135*AO136)+(AP135*AP136)+(AQ135*AQ136)+(AR135*AR136),"")</f>
        <v>0</v>
      </c>
      <c r="BK136" s="182">
        <f>IFERROR((AV135*AV136)+(AW135*AW136)+(AX135*AX136)+(AY135*AY136)+(AZ135*AZ136)+(BA135*BA136),"")</f>
        <v>0</v>
      </c>
      <c r="BL136" s="195">
        <f>IFERROR(BH136+BI136+BJ136+BK136,NA())</f>
        <v>0</v>
      </c>
      <c r="BM136" s="184"/>
      <c r="BN136" s="184"/>
      <c r="BO136" s="184"/>
      <c r="BP136" s="184"/>
      <c r="BQ136" s="184"/>
      <c r="BS136" s="181" t="s">
        <v>310</v>
      </c>
      <c r="BT136" s="50">
        <f>IF($B135="PE",(BH136*$E135*$F135),0)</f>
        <v>0</v>
      </c>
      <c r="BU136" s="186">
        <f>IF($B135="PE",(BI136*$E135*$F135),0)</f>
        <v>0</v>
      </c>
      <c r="BV136" s="186">
        <f>IF($B135="PE",(BJ136*$E135*$F135),0)</f>
        <v>0</v>
      </c>
      <c r="BW136" s="186">
        <f>IF($B135="PE",(BK136*$E135*$F135),0)</f>
        <v>0</v>
      </c>
      <c r="BX136" s="187">
        <f t="shared" si="5"/>
        <v>0</v>
      </c>
    </row>
    <row r="137" spans="1:161" s="34" customFormat="1" ht="34" customHeight="1">
      <c r="A137" s="127"/>
      <c r="B137" s="127"/>
      <c r="C137" s="127" t="s">
        <v>245</v>
      </c>
      <c r="D137" s="127" t="str">
        <f>IFERROR(INDEX([2]!Table1RM[#Data],MATCH($M$56,[2]!Table1RM[Athlete],0),MATCH($L137,[2]!Table1RM[#Headers],0)),"")</f>
        <v/>
      </c>
      <c r="E137" s="127" t="str">
        <f>IF($B137="PE",INDEX([2]ExerciseInventory!$J$2:$L$276,MATCH($L137,[2]ExerciseInventory!$J$2:$J$287,0),2),"")</f>
        <v/>
      </c>
      <c r="F137" s="127" t="str">
        <f>IF($B137="PE",INDEX([2]ExerciseInventory!$J$2:$L$276,MATCH($L137,[2]ExerciseInventory!$J$2:$J$287,0),3),"")</f>
        <v/>
      </c>
      <c r="G137" s="127"/>
      <c r="H137" s="127"/>
      <c r="J137" s="36"/>
      <c r="K137" s="170"/>
      <c r="L137" s="171"/>
      <c r="M137" s="171"/>
      <c r="N137" s="171"/>
      <c r="O137" s="171"/>
      <c r="P137" s="172"/>
      <c r="Q137" s="173"/>
      <c r="R137" s="174"/>
      <c r="S137" s="175" t="str">
        <f>CLEAN(IFERROR(INDEX(TableSetRepSchemes,MATCH(#REF!,ListSetRepSchemes,0),COLUMNS($R137:S137)),""))</f>
        <v/>
      </c>
      <c r="T137" s="111"/>
      <c r="U137" s="176"/>
      <c r="V137" s="176"/>
      <c r="W137" s="176"/>
      <c r="X137" s="176"/>
      <c r="Y137" s="176"/>
      <c r="Z137" s="176"/>
      <c r="AA137" s="178"/>
      <c r="AB137" s="179" t="str">
        <f>CLEAN(IFERROR(INDEX(TableSetRepSchemes,MATCH('[2]4L-WU1-9P'!$C137,ListSetRepSchemes,0),COLUMNS($R137:AB137)),""))</f>
        <v/>
      </c>
      <c r="AC137" s="178"/>
      <c r="AD137" s="178">
        <f>IFERROR(INDEX(TableSetRepSchemes,MATCH('1'!$C137,ListSetRepSchemes,0),COLUMNS($R137:AD137)),"")</f>
        <v>0</v>
      </c>
      <c r="AE137" s="178">
        <f>IFERROR(INDEX(TableSetRepSchemes,MATCH('1'!$C137,ListSetRepSchemes,0),COLUMNS($R137:AE137)),"")</f>
        <v>0</v>
      </c>
      <c r="AF137" s="178">
        <f>IFERROR(INDEX(TableSetRepSchemes,MATCH('1'!$C137,ListSetRepSchemes,0),COLUMNS($R137:AF137)),"")</f>
        <v>0</v>
      </c>
      <c r="AG137" s="178">
        <f>IFERROR(INDEX(TableSetRepSchemes,MATCH('1'!$C137,ListSetRepSchemes,0),COLUMNS($R137:AG137)),"")</f>
        <v>0</v>
      </c>
      <c r="AH137" s="178">
        <f>IFERROR(INDEX(TableSetRepSchemes,MATCH('1'!$C137,ListSetRepSchemes,0),COLUMNS($R137:AH137)),"")</f>
        <v>0</v>
      </c>
      <c r="AI137" s="178">
        <f>IFERROR(INDEX(TableSetRepSchemes,MATCH('1'!$C137,ListSetRepSchemes,0),COLUMNS($R137:AI137)),"")</f>
        <v>0</v>
      </c>
      <c r="AJ137" s="178"/>
      <c r="AK137" s="179" t="str">
        <f>CLEAN(IFERROR(INDEX(TableSetRepSchemes,MATCH('1'!$C137,ListSetRepSchemes,0),COLUMNS($R137:AK137)),""))</f>
        <v/>
      </c>
      <c r="AL137" s="178"/>
      <c r="AM137" s="178">
        <f>IFERROR(INDEX(TableSetRepSchemes,MATCH('1'!$C137,ListSetRepSchemes,0),COLUMNS($R137:AM137)),"")</f>
        <v>0</v>
      </c>
      <c r="AN137" s="178">
        <f>IFERROR(INDEX(TableSetRepSchemes,MATCH('1'!$C137,ListSetRepSchemes,0),COLUMNS($R137:AN137)),"")</f>
        <v>0</v>
      </c>
      <c r="AO137" s="178">
        <f>IFERROR(INDEX(TableSetRepSchemes,MATCH('1'!$C137,ListSetRepSchemes,0),COLUMNS($R137:AO137)),"")</f>
        <v>0</v>
      </c>
      <c r="AP137" s="178">
        <f>IFERROR(INDEX(TableSetRepSchemes,MATCH('1'!$C137,ListSetRepSchemes,0),COLUMNS($R137:AP137)),"")</f>
        <v>0</v>
      </c>
      <c r="AQ137" s="178">
        <f>IFERROR(INDEX(TableSetRepSchemes,MATCH('1'!$C137,ListSetRepSchemes,0),COLUMNS($R137:AQ137)),"")</f>
        <v>0</v>
      </c>
      <c r="AR137" s="178">
        <f>IFERROR(INDEX(TableSetRepSchemes,MATCH('1'!$C137,ListSetRepSchemes,0),COLUMNS($R137:AR137)),"")</f>
        <v>0</v>
      </c>
      <c r="AS137" s="178"/>
      <c r="AT137" s="179" t="str">
        <f>CLEAN(IFERROR(INDEX(TableSetRepSchemes,MATCH('1'!$C137,ListSetRepSchemes,0),COLUMNS($R137:AT137)),""))</f>
        <v/>
      </c>
      <c r="AU137" s="178"/>
      <c r="AV137" s="178">
        <f>IFERROR(INDEX(TableSetRepSchemes,MATCH('1'!$C137,ListSetRepSchemes,0),COLUMNS($R137:AV137)),"")</f>
        <v>0</v>
      </c>
      <c r="AW137" s="178">
        <f>IFERROR(INDEX(TableSetRepSchemes,MATCH('1'!$C137,ListSetRepSchemes,0),COLUMNS($R137:AW137)),"")</f>
        <v>0</v>
      </c>
      <c r="AX137" s="178">
        <f>IFERROR(INDEX(TableSetRepSchemes,MATCH('1'!$C137,ListSetRepSchemes,0),COLUMNS($R137:AX137)),"")</f>
        <v>0</v>
      </c>
      <c r="AY137" s="178">
        <f>IFERROR(INDEX(TableSetRepSchemes,MATCH('1'!$C137,ListSetRepSchemes,0),COLUMNS($R137:AY137)),"")</f>
        <v>0</v>
      </c>
      <c r="AZ137" s="178">
        <f>IFERROR(INDEX(TableSetRepSchemes,MATCH('1'!$C137,ListSetRepSchemes,0),COLUMNS($R137:AZ137)),"")</f>
        <v>0</v>
      </c>
      <c r="BA137" s="178">
        <f>IFERROR(INDEX(TableSetRepSchemes,MATCH('1'!$C137,ListSetRepSchemes,0),COLUMNS($R137:BA137)),"")</f>
        <v>0</v>
      </c>
      <c r="BB137" s="180"/>
      <c r="BC137" s="36"/>
      <c r="BG137" s="181" t="s">
        <v>308</v>
      </c>
      <c r="BH137" s="182">
        <f>IFERROR(SUM(SUBSTITUTE(U137,"/s",""),V137:Z137),0)</f>
        <v>0</v>
      </c>
      <c r="BI137" s="182">
        <f>SUM(SUBSTITUTE(AD137,"/s",""),AE137:AI137)</f>
        <v>0</v>
      </c>
      <c r="BJ137" s="182">
        <f>SUM(AM137:AR137)</f>
        <v>0</v>
      </c>
      <c r="BK137" s="182">
        <f>SUM(AV137:BA137)</f>
        <v>0</v>
      </c>
      <c r="BL137" s="195"/>
      <c r="BM137" s="184"/>
      <c r="BN137" s="184"/>
      <c r="BO137" s="184"/>
      <c r="BP137" s="184"/>
      <c r="BQ137" s="184"/>
      <c r="BS137" s="181" t="s">
        <v>308</v>
      </c>
      <c r="BT137" s="50" t="str">
        <f>IF($B137="PE",BH137,"")</f>
        <v/>
      </c>
      <c r="BU137" s="186" t="str">
        <f>IF($B137="PE",BI137,"")</f>
        <v/>
      </c>
      <c r="BV137" s="186" t="str">
        <f>IF($B137="PE",BJ137,"")</f>
        <v/>
      </c>
      <c r="BW137" s="186" t="str">
        <f>IF($B137="PE",BK137,"")</f>
        <v/>
      </c>
      <c r="BX137" s="187" t="e">
        <f t="shared" si="5"/>
        <v>#N/A</v>
      </c>
    </row>
    <row r="138" spans="1:161" s="34" customFormat="1" ht="34" customHeight="1">
      <c r="A138" s="129"/>
      <c r="B138" s="129"/>
      <c r="C138" s="129"/>
      <c r="D138" s="129"/>
      <c r="E138" s="129"/>
      <c r="F138" s="129"/>
      <c r="G138" s="129"/>
      <c r="H138" s="129"/>
      <c r="J138" s="36"/>
      <c r="K138" s="188"/>
      <c r="L138" s="189"/>
      <c r="M138" s="189"/>
      <c r="N138" s="189"/>
      <c r="O138" s="189"/>
      <c r="P138" s="190"/>
      <c r="Q138" s="191"/>
      <c r="R138" s="192"/>
      <c r="S138" s="193"/>
      <c r="T138" s="111"/>
      <c r="U138" s="176"/>
      <c r="V138" s="176"/>
      <c r="W138" s="176"/>
      <c r="X138" s="176"/>
      <c r="Y138" s="176"/>
      <c r="Z138" s="176"/>
      <c r="AA138" s="178"/>
      <c r="AB138" s="194"/>
      <c r="AC138" s="178"/>
      <c r="AD138" s="178"/>
      <c r="AE138" s="178"/>
      <c r="AF138" s="178"/>
      <c r="AG138" s="178"/>
      <c r="AH138" s="178"/>
      <c r="AI138" s="178"/>
      <c r="AJ138" s="178"/>
      <c r="AK138" s="194"/>
      <c r="AL138" s="178"/>
      <c r="AM138" s="178"/>
      <c r="AN138" s="178"/>
      <c r="AO138" s="178"/>
      <c r="AP138" s="178"/>
      <c r="AQ138" s="178"/>
      <c r="AR138" s="178"/>
      <c r="AS138" s="178"/>
      <c r="AT138" s="194"/>
      <c r="AU138" s="178"/>
      <c r="AV138" s="178"/>
      <c r="AW138" s="178"/>
      <c r="AX138" s="178"/>
      <c r="AY138" s="178"/>
      <c r="AZ138" s="178"/>
      <c r="BA138" s="178"/>
      <c r="BB138" s="180"/>
      <c r="BC138" s="36"/>
      <c r="BG138" s="181" t="s">
        <v>310</v>
      </c>
      <c r="BH138" s="182">
        <f>IFERROR((SUBSTITUTE(U137,"/s","")*U138)+(V137*V138)+(W137*W138)+(X137*X138)+(Y137*Y138)+(Z137*Z138),0)</f>
        <v>0</v>
      </c>
      <c r="BI138" s="182">
        <f>IFERROR((SUBSTITUTE(AD137,"/s","")*AD138)+(AE137*AE138)+(AF137*AF138)+(AG137*AG138)+(AH137*AH138)+(AI137*AI138),0)</f>
        <v>0</v>
      </c>
      <c r="BJ138" s="182">
        <f>IFERROR((AM137*AM138)+(AN137*AN138)+(AO137*AO138)+(AP137*AP138)+(AQ137*AQ138)+(AR137*AR138),"")</f>
        <v>0</v>
      </c>
      <c r="BK138" s="182">
        <f>IFERROR((AV137*AV138)+(AW137*AW138)+(AX137*AX138)+(AY137*AY138)+(AZ137*AZ138)+(BA137*BA138),"")</f>
        <v>0</v>
      </c>
      <c r="BL138" s="195">
        <f>IFERROR(BH138+BI138+BJ138+BK138,NA())</f>
        <v>0</v>
      </c>
      <c r="BM138" s="184"/>
      <c r="BN138" s="184"/>
      <c r="BO138" s="184"/>
      <c r="BP138" s="184"/>
      <c r="BQ138" s="184"/>
      <c r="BS138" s="181" t="s">
        <v>310</v>
      </c>
      <c r="BT138" s="50">
        <f>IF($B137="PE",(BH138*$E137*$F137),0)</f>
        <v>0</v>
      </c>
      <c r="BU138" s="186">
        <f>IF($B137="PE",(BI138*$E137*$F137),0)</f>
        <v>0</v>
      </c>
      <c r="BV138" s="186">
        <f>IF($B137="PE",(BJ138*$E137*$F137),0)</f>
        <v>0</v>
      </c>
      <c r="BW138" s="186">
        <f>IF($B137="PE",(BK138*$E137*$F137),0)</f>
        <v>0</v>
      </c>
      <c r="BX138" s="187">
        <f t="shared" si="5"/>
        <v>0</v>
      </c>
    </row>
    <row r="139" spans="1:161" s="34" customFormat="1" ht="34" customHeight="1">
      <c r="A139" s="127" t="s">
        <v>323</v>
      </c>
      <c r="B139" s="127" t="s">
        <v>244</v>
      </c>
      <c r="C139" s="127" t="s">
        <v>364</v>
      </c>
      <c r="D139" s="127" t="str">
        <f>IFERROR(INDEX([2]!Table1RM[#Data],MATCH($M$56,[2]!Table1RM[Athlete],0),MATCH($L139,[2]!Table1RM[#Headers],0)),"")</f>
        <v/>
      </c>
      <c r="E139" s="127" t="str">
        <f>IF($B139="PE",INDEX([2]ExerciseInventory!$J$2:$L$276,MATCH($L139,[2]ExerciseInventory!$J$2:$J$287,0),2),"")</f>
        <v/>
      </c>
      <c r="F139" s="127" t="str">
        <f>IF($B139="PE",INDEX([2]ExerciseInventory!$J$2:$L$276,MATCH($L139,[2]ExerciseInventory!$J$2:$J$287,0),3),"")</f>
        <v/>
      </c>
      <c r="G139" s="127"/>
      <c r="H139" s="127"/>
      <c r="J139" s="36"/>
      <c r="K139" s="170" t="s">
        <v>110</v>
      </c>
      <c r="L139" s="171" t="s">
        <v>197</v>
      </c>
      <c r="M139" s="171"/>
      <c r="N139" s="171"/>
      <c r="O139" s="171"/>
      <c r="P139" s="172"/>
      <c r="Q139" s="173"/>
      <c r="R139" s="174"/>
      <c r="S139" s="175" t="str">
        <f>CLEAN(IFERROR(INDEX(TableSetRepSchemes,MATCH(#REF!,ListSetRepSchemes,0),COLUMNS($R139:S139)),""))</f>
        <v/>
      </c>
      <c r="T139" s="111"/>
      <c r="U139" s="176"/>
      <c r="V139" s="176"/>
      <c r="W139" s="176"/>
      <c r="X139" s="176"/>
      <c r="Y139" s="176"/>
      <c r="Z139" s="176"/>
      <c r="AA139" s="178"/>
      <c r="AB139" s="179" t="str">
        <f>CLEAN(IFERROR(INDEX(TableSetRepSchemes,MATCH('[2]4L-WU1-9P'!$C139,ListSetRepSchemes,0),COLUMNS($R139:AB139)),""))</f>
        <v/>
      </c>
      <c r="AC139" s="178"/>
      <c r="AD139" s="178">
        <f>IFERROR(INDEX(TableSetRepSchemes,MATCH('1'!$C139,ListSetRepSchemes,0),COLUMNS($R139:AD139)),"")</f>
        <v>8</v>
      </c>
      <c r="AE139" s="178">
        <f>IFERROR(INDEX(TableSetRepSchemes,MATCH('1'!$C139,ListSetRepSchemes,0),COLUMNS($R139:AE139)),"")</f>
        <v>8</v>
      </c>
      <c r="AF139" s="178">
        <f>IFERROR(INDEX(TableSetRepSchemes,MATCH('1'!$C139,ListSetRepSchemes,0),COLUMNS($R139:AF139)),"")</f>
        <v>8</v>
      </c>
      <c r="AG139" s="178">
        <f>IFERROR(INDEX(TableSetRepSchemes,MATCH('1'!$C139,ListSetRepSchemes,0),COLUMNS($R139:AG139)),"")</f>
        <v>0</v>
      </c>
      <c r="AH139" s="178">
        <f>IFERROR(INDEX(TableSetRepSchemes,MATCH('1'!$C139,ListSetRepSchemes,0),COLUMNS($R139:AH139)),"")</f>
        <v>0</v>
      </c>
      <c r="AI139" s="178">
        <f>IFERROR(INDEX(TableSetRepSchemes,MATCH('1'!$C139,ListSetRepSchemes,0),COLUMNS($R139:AI139)),"")</f>
        <v>0</v>
      </c>
      <c r="AJ139" s="178"/>
      <c r="AK139" s="179" t="str">
        <f>CLEAN(IFERROR(INDEX(TableSetRepSchemes,MATCH('1'!$C139,ListSetRepSchemes,0),COLUMNS($R139:AK139)),""))</f>
        <v/>
      </c>
      <c r="AL139" s="178"/>
      <c r="AM139" s="178">
        <f>IFERROR(INDEX(TableSetRepSchemes,MATCH('1'!$C139,ListSetRepSchemes,0),COLUMNS($R139:AM139)),"")</f>
        <v>7</v>
      </c>
      <c r="AN139" s="178">
        <f>IFERROR(INDEX(TableSetRepSchemes,MATCH('1'!$C139,ListSetRepSchemes,0),COLUMNS($R139:AN139)),"")</f>
        <v>7</v>
      </c>
      <c r="AO139" s="178">
        <f>IFERROR(INDEX(TableSetRepSchemes,MATCH('1'!$C139,ListSetRepSchemes,0),COLUMNS($R139:AO139)),"")</f>
        <v>7</v>
      </c>
      <c r="AP139" s="178">
        <f>IFERROR(INDEX(TableSetRepSchemes,MATCH('1'!$C139,ListSetRepSchemes,0),COLUMNS($R139:AP139)),"")</f>
        <v>0</v>
      </c>
      <c r="AQ139" s="178">
        <f>IFERROR(INDEX(TableSetRepSchemes,MATCH('1'!$C139,ListSetRepSchemes,0),COLUMNS($R139:AQ139)),"")</f>
        <v>0</v>
      </c>
      <c r="AR139" s="178">
        <f>IFERROR(INDEX(TableSetRepSchemes,MATCH('1'!$C139,ListSetRepSchemes,0),COLUMNS($R139:AR139)),"")</f>
        <v>0</v>
      </c>
      <c r="AS139" s="178"/>
      <c r="AT139" s="179" t="str">
        <f>CLEAN(IFERROR(INDEX(TableSetRepSchemes,MATCH('1'!$C139,ListSetRepSchemes,0),COLUMNS($R139:AT139)),""))</f>
        <v/>
      </c>
      <c r="AU139" s="178"/>
      <c r="AV139" s="178">
        <f>IFERROR(INDEX(TableSetRepSchemes,MATCH('1'!$C139,ListSetRepSchemes,0),COLUMNS($R139:AV139)),"")</f>
        <v>6</v>
      </c>
      <c r="AW139" s="178">
        <f>IFERROR(INDEX(TableSetRepSchemes,MATCH('1'!$C139,ListSetRepSchemes,0),COLUMNS($R139:AW139)),"")</f>
        <v>6</v>
      </c>
      <c r="AX139" s="178">
        <f>IFERROR(INDEX(TableSetRepSchemes,MATCH('1'!$C139,ListSetRepSchemes,0),COLUMNS($R139:AX139)),"")</f>
        <v>6</v>
      </c>
      <c r="AY139" s="178">
        <f>IFERROR(INDEX(TableSetRepSchemes,MATCH('1'!$C139,ListSetRepSchemes,0),COLUMNS($R139:AY139)),"")</f>
        <v>0</v>
      </c>
      <c r="AZ139" s="178">
        <f>IFERROR(INDEX(TableSetRepSchemes,MATCH('1'!$C139,ListSetRepSchemes,0),COLUMNS($R139:AZ139)),"")</f>
        <v>0</v>
      </c>
      <c r="BA139" s="178">
        <f>IFERROR(INDEX(TableSetRepSchemes,MATCH('1'!$C139,ListSetRepSchemes,0),COLUMNS($R139:BA139)),"")</f>
        <v>0</v>
      </c>
      <c r="BB139" s="180"/>
      <c r="BC139" s="36"/>
      <c r="BG139" s="181" t="s">
        <v>308</v>
      </c>
      <c r="BH139" s="182">
        <f>IFERROR(SUM(SUBSTITUTE(U139,"/s",""),V139:Z139),0)</f>
        <v>0</v>
      </c>
      <c r="BI139" s="182">
        <f>SUM(SUBSTITUTE(AD139,"/s",""),AE139:AI139)</f>
        <v>24</v>
      </c>
      <c r="BJ139" s="182">
        <f>SUM(AM139:AR139)</f>
        <v>21</v>
      </c>
      <c r="BK139" s="182">
        <f>SUM(AV139:BA139)</f>
        <v>18</v>
      </c>
      <c r="BL139" s="195"/>
      <c r="BM139" s="184"/>
      <c r="BN139" s="184"/>
      <c r="BO139" s="184"/>
      <c r="BP139" s="184"/>
      <c r="BQ139" s="184"/>
      <c r="BS139" s="181" t="s">
        <v>308</v>
      </c>
      <c r="BT139" s="50" t="str">
        <f>IF($B139="PE",BH139,"")</f>
        <v/>
      </c>
      <c r="BU139" s="186" t="str">
        <f>IF($B139="PE",BI139,"")</f>
        <v/>
      </c>
      <c r="BV139" s="186" t="str">
        <f>IF($B139="PE",BJ139,"")</f>
        <v/>
      </c>
      <c r="BW139" s="186" t="str">
        <f>IF($B139="PE",BK139,"")</f>
        <v/>
      </c>
      <c r="BX139" s="187" t="e">
        <f t="shared" si="5"/>
        <v>#N/A</v>
      </c>
    </row>
    <row r="140" spans="1:161" s="34" customFormat="1" ht="34" customHeight="1">
      <c r="A140" s="129"/>
      <c r="B140" s="129"/>
      <c r="C140" s="129"/>
      <c r="D140" s="129"/>
      <c r="E140" s="129"/>
      <c r="F140" s="129"/>
      <c r="G140" s="129"/>
      <c r="H140" s="129"/>
      <c r="J140" s="36"/>
      <c r="K140" s="188"/>
      <c r="L140" s="189"/>
      <c r="M140" s="189"/>
      <c r="N140" s="189"/>
      <c r="O140" s="189"/>
      <c r="P140" s="190"/>
      <c r="Q140" s="191"/>
      <c r="R140" s="192"/>
      <c r="S140" s="193"/>
      <c r="T140" s="111"/>
      <c r="U140" s="176"/>
      <c r="V140" s="176"/>
      <c r="W140" s="176"/>
      <c r="X140" s="176"/>
      <c r="Y140" s="176"/>
      <c r="Z140" s="176"/>
      <c r="AA140" s="178"/>
      <c r="AB140" s="194"/>
      <c r="AC140" s="178"/>
      <c r="AD140" s="178"/>
      <c r="AE140" s="178"/>
      <c r="AF140" s="178"/>
      <c r="AG140" s="178"/>
      <c r="AH140" s="178"/>
      <c r="AI140" s="178"/>
      <c r="AJ140" s="178"/>
      <c r="AK140" s="194"/>
      <c r="AL140" s="178"/>
      <c r="AM140" s="178"/>
      <c r="AN140" s="178"/>
      <c r="AO140" s="178"/>
      <c r="AP140" s="178"/>
      <c r="AQ140" s="178"/>
      <c r="AR140" s="178"/>
      <c r="AS140" s="178"/>
      <c r="AT140" s="194"/>
      <c r="AU140" s="178"/>
      <c r="AV140" s="178"/>
      <c r="AW140" s="178"/>
      <c r="AX140" s="178"/>
      <c r="AY140" s="178"/>
      <c r="AZ140" s="178"/>
      <c r="BA140" s="178"/>
      <c r="BB140" s="180"/>
      <c r="BC140" s="36"/>
      <c r="BG140" s="181" t="s">
        <v>310</v>
      </c>
      <c r="BH140" s="182">
        <f>IFERROR((SUBSTITUTE(U139,"/s","")*U140)+(V139*V140)+(W139*W140)+(X139*X140)+(Y139*Y140)+(Z139*Z140),0)</f>
        <v>0</v>
      </c>
      <c r="BI140" s="182">
        <f>IFERROR((SUBSTITUTE(AD139,"/s","")*AD140)+(AE139*AE140)+(AF139*AF140)+(AG139*AG140)+(AH139*AH140)+(AI139*AI140),0)</f>
        <v>0</v>
      </c>
      <c r="BJ140" s="182">
        <f>IFERROR((AM139*AM140)+(AN139*AN140)+(AO139*AO140)+(AP139*AP140)+(AQ139*AQ140)+(AR139*AR140),"")</f>
        <v>0</v>
      </c>
      <c r="BK140" s="182">
        <f>IFERROR((AV139*AV140)+(AW139*AW140)+(AX139*AX140)+(AY139*AY140)+(AZ139*AZ140)+(BA139*BA140),"")</f>
        <v>0</v>
      </c>
      <c r="BL140" s="195">
        <f>IFERROR(BH140+BI140+BJ140+BK140,NA())</f>
        <v>0</v>
      </c>
      <c r="BM140" s="184"/>
      <c r="BN140" s="184"/>
      <c r="BO140" s="184"/>
      <c r="BP140" s="184"/>
      <c r="BQ140" s="184"/>
      <c r="BS140" s="181" t="s">
        <v>310</v>
      </c>
      <c r="BT140" s="50">
        <f>IF($B139="PE",(BH140*$E139*$F139),0)</f>
        <v>0</v>
      </c>
      <c r="BU140" s="186">
        <f>IF($B139="PE",(BI140*$E139*$F139),0)</f>
        <v>0</v>
      </c>
      <c r="BV140" s="186">
        <f>IF($B139="PE",(BJ140*$E139*$F139),0)</f>
        <v>0</v>
      </c>
      <c r="BW140" s="186">
        <f>IF($B139="PE",(BK140*$E139*$F139),0)</f>
        <v>0</v>
      </c>
      <c r="BX140" s="187">
        <f t="shared" si="5"/>
        <v>0</v>
      </c>
    </row>
    <row r="141" spans="1:161" s="34" customFormat="1" ht="34" customHeight="1">
      <c r="A141" s="127" t="s">
        <v>362</v>
      </c>
      <c r="B141" s="127" t="s">
        <v>244</v>
      </c>
      <c r="C141" s="127" t="s">
        <v>306</v>
      </c>
      <c r="D141" s="127" t="str">
        <f>IFERROR(INDEX([2]!Table1RM[#Data],MATCH($M$56,[2]!Table1RM[Athlete],0),MATCH($L141,[2]!Table1RM[#Headers],0)),"")</f>
        <v/>
      </c>
      <c r="E141" s="127" t="str">
        <f>IF($B141="PE",INDEX([2]ExerciseInventory!$J$2:$L$276,MATCH($L141,[2]ExerciseInventory!$J$2:$J$287,0),2),"")</f>
        <v/>
      </c>
      <c r="F141" s="127" t="str">
        <f>IF($B141="PE",INDEX([2]ExerciseInventory!$J$2:$L$276,MATCH($L141,[2]ExerciseInventory!$J$2:$J$287,0),3),"")</f>
        <v/>
      </c>
      <c r="G141" s="127"/>
      <c r="H141" s="127"/>
      <c r="J141" s="36"/>
      <c r="K141" s="170" t="s">
        <v>111</v>
      </c>
      <c r="L141" s="171" t="s">
        <v>365</v>
      </c>
      <c r="M141" s="171"/>
      <c r="N141" s="171"/>
      <c r="O141" s="171"/>
      <c r="P141" s="172"/>
      <c r="Q141" s="173"/>
      <c r="R141" s="174"/>
      <c r="S141" s="175" t="str">
        <f>CLEAN(IFERROR(INDEX(TableSetRepSchemes,MATCH(#REF!,ListSetRepSchemes,0),COLUMNS($R141:S141)),""))</f>
        <v/>
      </c>
      <c r="T141" s="111"/>
      <c r="U141" s="176" t="s">
        <v>366</v>
      </c>
      <c r="V141" s="176"/>
      <c r="W141" s="176"/>
      <c r="X141" s="176"/>
      <c r="Y141" s="176"/>
      <c r="Z141" s="176"/>
      <c r="AA141" s="178"/>
      <c r="AB141" s="179" t="str">
        <f>CLEAN(IFERROR(INDEX(TableSetRepSchemes,MATCH('[2]4L-WU1-9P'!$C141,ListSetRepSchemes,0),COLUMNS($R141:AB141)),""))</f>
        <v/>
      </c>
      <c r="AC141" s="178"/>
      <c r="AD141" s="178" t="s">
        <v>263</v>
      </c>
      <c r="AE141" s="178">
        <f>IFERROR(INDEX(TableSetRepSchemes,MATCH('1'!$C141,ListSetRepSchemes,0),COLUMNS($R141:AE141)),"")</f>
        <v>8</v>
      </c>
      <c r="AF141" s="178">
        <f>IFERROR(INDEX(TableSetRepSchemes,MATCH('1'!$C141,ListSetRepSchemes,0),COLUMNS($R141:AF141)),"")</f>
        <v>8</v>
      </c>
      <c r="AG141" s="178">
        <f>IFERROR(INDEX(TableSetRepSchemes,MATCH('1'!$C141,ListSetRepSchemes,0),COLUMNS($R141:AG141)),"")</f>
        <v>0</v>
      </c>
      <c r="AH141" s="178">
        <f>IFERROR(INDEX(TableSetRepSchemes,MATCH('1'!$C141,ListSetRepSchemes,0),COLUMNS($R141:AH141)),"")</f>
        <v>0</v>
      </c>
      <c r="AI141" s="178">
        <f>IFERROR(INDEX(TableSetRepSchemes,MATCH('1'!$C141,ListSetRepSchemes,0),COLUMNS($R141:AI141)),"")</f>
        <v>0</v>
      </c>
      <c r="AJ141" s="178"/>
      <c r="AK141" s="179" t="str">
        <f>CLEAN(IFERROR(INDEX(TableSetRepSchemes,MATCH('1'!$C141,ListSetRepSchemes,0),COLUMNS($R141:AK141)),""))</f>
        <v/>
      </c>
      <c r="AL141" s="178"/>
      <c r="AM141" s="178">
        <f>IFERROR(INDEX(TableSetRepSchemes,MATCH('1'!$C141,ListSetRepSchemes,0),COLUMNS($R141:AM141)),"")</f>
        <v>8</v>
      </c>
      <c r="AN141" s="178">
        <f>IFERROR(INDEX(TableSetRepSchemes,MATCH('1'!$C141,ListSetRepSchemes,0),COLUMNS($R141:AN141)),"")</f>
        <v>8</v>
      </c>
      <c r="AO141" s="178">
        <f>IFERROR(INDEX(TableSetRepSchemes,MATCH('1'!$C141,ListSetRepSchemes,0),COLUMNS($R141:AO141)),"")</f>
        <v>8</v>
      </c>
      <c r="AP141" s="178">
        <f>IFERROR(INDEX(TableSetRepSchemes,MATCH('1'!$C141,ListSetRepSchemes,0),COLUMNS($R141:AP141)),"")</f>
        <v>0</v>
      </c>
      <c r="AQ141" s="178">
        <f>IFERROR(INDEX(TableSetRepSchemes,MATCH('1'!$C141,ListSetRepSchemes,0),COLUMNS($R141:AQ141)),"")</f>
        <v>0</v>
      </c>
      <c r="AR141" s="178">
        <f>IFERROR(INDEX(TableSetRepSchemes,MATCH('1'!$C141,ListSetRepSchemes,0),COLUMNS($R141:AR141)),"")</f>
        <v>0</v>
      </c>
      <c r="AS141" s="178"/>
      <c r="AT141" s="179" t="str">
        <f>CLEAN(IFERROR(INDEX(TableSetRepSchemes,MATCH('1'!$C141,ListSetRepSchemes,0),COLUMNS($R141:AT141)),""))</f>
        <v/>
      </c>
      <c r="AU141" s="178"/>
      <c r="AV141" s="178">
        <f>IFERROR(INDEX(TableSetRepSchemes,MATCH('1'!$C141,ListSetRepSchemes,0),COLUMNS($R141:AV141)),"")</f>
        <v>8</v>
      </c>
      <c r="AW141" s="178">
        <f>IFERROR(INDEX(TableSetRepSchemes,MATCH('1'!$C141,ListSetRepSchemes,0),COLUMNS($R141:AW141)),"")</f>
        <v>8</v>
      </c>
      <c r="AX141" s="178">
        <f>IFERROR(INDEX(TableSetRepSchemes,MATCH('1'!$C141,ListSetRepSchemes,0),COLUMNS($R141:AX141)),"")</f>
        <v>8</v>
      </c>
      <c r="AY141" s="178">
        <f>IFERROR(INDEX(TableSetRepSchemes,MATCH('1'!$C141,ListSetRepSchemes,0),COLUMNS($R141:AY141)),"")</f>
        <v>0</v>
      </c>
      <c r="AZ141" s="178">
        <f>IFERROR(INDEX(TableSetRepSchemes,MATCH('1'!$C141,ListSetRepSchemes,0),COLUMNS($R141:AZ141)),"")</f>
        <v>0</v>
      </c>
      <c r="BA141" s="178">
        <f>IFERROR(INDEX(TableSetRepSchemes,MATCH('1'!$C141,ListSetRepSchemes,0),COLUMNS($R141:BA141)),"")</f>
        <v>0</v>
      </c>
      <c r="BB141" s="180"/>
      <c r="BC141" s="36"/>
      <c r="BG141" s="181" t="s">
        <v>308</v>
      </c>
      <c r="BH141" s="182">
        <f>IFERROR(SUM(SUBSTITUTE(U141,"/s",""),V141:Z141),0)</f>
        <v>0</v>
      </c>
      <c r="BI141" s="182">
        <f>SUM(SUBSTITUTE(AD141,"/s",""),AE141:AI141)</f>
        <v>24</v>
      </c>
      <c r="BJ141" s="182">
        <f>SUM(AM141:AR141)</f>
        <v>24</v>
      </c>
      <c r="BK141" s="182">
        <f>SUM(AV141:BA141)</f>
        <v>24</v>
      </c>
      <c r="BL141" s="195"/>
      <c r="BM141" s="184"/>
      <c r="BN141" s="184"/>
      <c r="BO141" s="184"/>
      <c r="BP141" s="184"/>
      <c r="BQ141" s="184"/>
      <c r="BS141" s="181" t="s">
        <v>308</v>
      </c>
      <c r="BT141" s="50" t="str">
        <f>IF($B141="PE",BH141,"")</f>
        <v/>
      </c>
      <c r="BU141" s="186" t="str">
        <f>IF($B141="PE",BI141,"")</f>
        <v/>
      </c>
      <c r="BV141" s="186" t="str">
        <f>IF($B141="PE",BJ141,"")</f>
        <v/>
      </c>
      <c r="BW141" s="186" t="str">
        <f>IF($B141="PE",BK141,"")</f>
        <v/>
      </c>
      <c r="BX141" s="187" t="e">
        <f t="shared" si="5"/>
        <v>#N/A</v>
      </c>
    </row>
    <row r="142" spans="1:161" s="34" customFormat="1" ht="34" customHeight="1">
      <c r="A142" s="129"/>
      <c r="B142" s="129"/>
      <c r="C142" s="129"/>
      <c r="D142" s="129"/>
      <c r="E142" s="129"/>
      <c r="F142" s="129"/>
      <c r="G142" s="129"/>
      <c r="H142" s="129"/>
      <c r="J142" s="36"/>
      <c r="K142" s="188"/>
      <c r="L142" s="189"/>
      <c r="M142" s="189"/>
      <c r="N142" s="189"/>
      <c r="O142" s="189"/>
      <c r="P142" s="190"/>
      <c r="Q142" s="191"/>
      <c r="R142" s="192"/>
      <c r="S142" s="193"/>
      <c r="T142" s="111"/>
      <c r="U142" s="176"/>
      <c r="V142" s="176"/>
      <c r="W142" s="176"/>
      <c r="X142" s="176"/>
      <c r="Y142" s="176"/>
      <c r="Z142" s="176"/>
      <c r="AA142" s="178"/>
      <c r="AB142" s="194"/>
      <c r="AC142" s="178"/>
      <c r="AD142" s="178"/>
      <c r="AE142" s="178"/>
      <c r="AF142" s="178"/>
      <c r="AG142" s="178"/>
      <c r="AH142" s="178"/>
      <c r="AI142" s="178"/>
      <c r="AJ142" s="178"/>
      <c r="AK142" s="194"/>
      <c r="AL142" s="178"/>
      <c r="AM142" s="178"/>
      <c r="AN142" s="178"/>
      <c r="AO142" s="178"/>
      <c r="AP142" s="178"/>
      <c r="AQ142" s="178"/>
      <c r="AR142" s="178"/>
      <c r="AS142" s="178"/>
      <c r="AT142" s="194"/>
      <c r="AU142" s="178"/>
      <c r="AV142" s="178"/>
      <c r="AW142" s="178"/>
      <c r="AX142" s="178"/>
      <c r="AY142" s="178"/>
      <c r="AZ142" s="178"/>
      <c r="BA142" s="178"/>
      <c r="BB142" s="180"/>
      <c r="BC142" s="36"/>
      <c r="BG142" s="181" t="s">
        <v>310</v>
      </c>
      <c r="BH142" s="182">
        <f>IFERROR((SUBSTITUTE(U141,"/s","")*U142)+(V141*V142)+(W141*W142)+(X141*X142)+(Y141*Y142)+(Z141*Z142),0)</f>
        <v>0</v>
      </c>
      <c r="BI142" s="182">
        <f>IFERROR((SUBSTITUTE(AD141,"/s","")*AD142)+(AE141*AE142)+(AF141*AF142)+(AG141*AG142)+(AH141*AH142)+(AI141*AI142),0)</f>
        <v>0</v>
      </c>
      <c r="BJ142" s="182">
        <f>IFERROR((AM141*AM142)+(AN141*AN142)+(AO141*AO142)+(AP141*AP142)+(AQ141*AQ142)+(AR141*AR142),"")</f>
        <v>0</v>
      </c>
      <c r="BK142" s="182">
        <f>IFERROR((AV141*AV142)+(AW141*AW142)+(AX141*AX142)+(AY141*AY142)+(AZ141*AZ142)+(BA141*BA142),"")</f>
        <v>0</v>
      </c>
      <c r="BL142" s="195">
        <f>IFERROR(BH142+BI142+BJ142+BK142,NA())</f>
        <v>0</v>
      </c>
      <c r="BM142" s="184"/>
      <c r="BN142" s="184"/>
      <c r="BO142" s="184"/>
      <c r="BP142" s="184"/>
      <c r="BQ142" s="184"/>
      <c r="BS142" s="181" t="s">
        <v>310</v>
      </c>
      <c r="BT142" s="50">
        <f>IF($B141="PE",(BH142*$E141*$F141),0)</f>
        <v>0</v>
      </c>
      <c r="BU142" s="186">
        <f>IF($B141="PE",(BI142*$E141*$F141),0)</f>
        <v>0</v>
      </c>
      <c r="BV142" s="186">
        <f>IF($B141="PE",(BJ142*$E141*$F141),0)</f>
        <v>0</v>
      </c>
      <c r="BW142" s="186">
        <f>IF($B141="PE",(BK142*$E141*$F141),0)</f>
        <v>0</v>
      </c>
      <c r="BX142" s="187">
        <f t="shared" si="5"/>
        <v>0</v>
      </c>
    </row>
    <row r="143" spans="1:161" s="34" customFormat="1" ht="34" customHeight="1">
      <c r="A143" s="127" t="s">
        <v>362</v>
      </c>
      <c r="B143" s="127" t="s">
        <v>317</v>
      </c>
      <c r="C143" s="127" t="s">
        <v>347</v>
      </c>
      <c r="D143" s="127" t="str">
        <f>IFERROR(INDEX([2]!Table1RM[#Data],MATCH($M$56,[2]!Table1RM[Athlete],0),MATCH($L143,[2]!Table1RM[#Headers],0)),"")</f>
        <v/>
      </c>
      <c r="E143" s="127" t="str">
        <f>IF($B143="PE",INDEX([2]ExerciseInventory!$J$2:$L$276,MATCH($L143,[2]ExerciseInventory!$J$2:$J$287,0),2),"")</f>
        <v/>
      </c>
      <c r="F143" s="127" t="str">
        <f>IF($B143="PE",INDEX([2]ExerciseInventory!$J$2:$L$276,MATCH($L143,[2]ExerciseInventory!$J$2:$J$287,0),3),"")</f>
        <v/>
      </c>
      <c r="G143" s="127"/>
      <c r="H143" s="127"/>
      <c r="J143" s="36"/>
      <c r="K143" s="170" t="s">
        <v>112</v>
      </c>
      <c r="L143" s="171" t="s">
        <v>199</v>
      </c>
      <c r="M143" s="171"/>
      <c r="N143" s="171"/>
      <c r="O143" s="171"/>
      <c r="P143" s="172"/>
      <c r="Q143" s="173"/>
      <c r="R143" s="174"/>
      <c r="S143" s="175" t="str">
        <f>CLEAN(IFERROR(INDEX(TableSetRepSchemes,MATCH(#REF!,ListSetRepSchemes,0),COLUMNS($R143:S143)),""))</f>
        <v/>
      </c>
      <c r="T143" s="111"/>
      <c r="U143" s="176"/>
      <c r="V143" s="176"/>
      <c r="W143" s="176"/>
      <c r="X143" s="176"/>
      <c r="Y143" s="176"/>
      <c r="Z143" s="176"/>
      <c r="AA143" s="178"/>
      <c r="AB143" s="179" t="str">
        <f>CLEAN(IFERROR(INDEX(TableSetRepSchemes,MATCH('[2]4L-WU1-9P'!$C143,ListSetRepSchemes,0),COLUMNS($R143:AB143)),""))</f>
        <v/>
      </c>
      <c r="AC143" s="178"/>
      <c r="AD143" s="178" t="str">
        <f>IFERROR(INDEX(TableSetRepSchemes,MATCH('1'!$C143,ListSetRepSchemes,0),COLUMNS($R143:AD143)),"")</f>
        <v>:30</v>
      </c>
      <c r="AE143" s="178" t="str">
        <f>IFERROR(INDEX(TableSetRepSchemes,MATCH('1'!$C143,ListSetRepSchemes,0),COLUMNS($R143:AE143)),"")</f>
        <v>:30</v>
      </c>
      <c r="AF143" s="178" t="str">
        <f>IFERROR(INDEX(TableSetRepSchemes,MATCH('1'!$C143,ListSetRepSchemes,0),COLUMNS($R143:AF143)),"")</f>
        <v>:30</v>
      </c>
      <c r="AG143" s="178">
        <f>IFERROR(INDEX(TableSetRepSchemes,MATCH('1'!$C143,ListSetRepSchemes,0),COLUMNS($R143:AG143)),"")</f>
        <v>0</v>
      </c>
      <c r="AH143" s="178">
        <f>IFERROR(INDEX(TableSetRepSchemes,MATCH('1'!$C143,ListSetRepSchemes,0),COLUMNS($R143:AH143)),"")</f>
        <v>0</v>
      </c>
      <c r="AI143" s="178">
        <f>IFERROR(INDEX(TableSetRepSchemes,MATCH('1'!$C143,ListSetRepSchemes,0),COLUMNS($R143:AI143)),"")</f>
        <v>0</v>
      </c>
      <c r="AJ143" s="178"/>
      <c r="AK143" s="179" t="str">
        <f>CLEAN(IFERROR(INDEX(TableSetRepSchemes,MATCH('1'!$C143,ListSetRepSchemes,0),COLUMNS($R143:AK143)),""))</f>
        <v/>
      </c>
      <c r="AL143" s="178"/>
      <c r="AM143" s="178" t="str">
        <f>IFERROR(INDEX(TableSetRepSchemes,MATCH('1'!$C143,ListSetRepSchemes,0),COLUMNS($R143:AM143)),"")</f>
        <v>:30</v>
      </c>
      <c r="AN143" s="178" t="str">
        <f>IFERROR(INDEX(TableSetRepSchemes,MATCH('1'!$C143,ListSetRepSchemes,0),COLUMNS($R143:AN143)),"")</f>
        <v>:30</v>
      </c>
      <c r="AO143" s="178" t="str">
        <f>IFERROR(INDEX(TableSetRepSchemes,MATCH('1'!$C143,ListSetRepSchemes,0),COLUMNS($R143:AO143)),"")</f>
        <v>:30</v>
      </c>
      <c r="AP143" s="178">
        <f>IFERROR(INDEX(TableSetRepSchemes,MATCH('1'!$C143,ListSetRepSchemes,0),COLUMNS($R143:AP143)),"")</f>
        <v>0</v>
      </c>
      <c r="AQ143" s="178">
        <f>IFERROR(INDEX(TableSetRepSchemes,MATCH('1'!$C143,ListSetRepSchemes,0),COLUMNS($R143:AQ143)),"")</f>
        <v>0</v>
      </c>
      <c r="AR143" s="178">
        <f>IFERROR(INDEX(TableSetRepSchemes,MATCH('1'!$C143,ListSetRepSchemes,0),COLUMNS($R143:AR143)),"")</f>
        <v>0</v>
      </c>
      <c r="AS143" s="178"/>
      <c r="AT143" s="179" t="str">
        <f>CLEAN(IFERROR(INDEX(TableSetRepSchemes,MATCH('1'!$C143,ListSetRepSchemes,0),COLUMNS($R143:AT143)),""))</f>
        <v/>
      </c>
      <c r="AU143" s="178"/>
      <c r="AV143" s="178" t="str">
        <f>IFERROR(INDEX(TableSetRepSchemes,MATCH('1'!$C143,ListSetRepSchemes,0),COLUMNS($R143:AV143)),"")</f>
        <v>:30</v>
      </c>
      <c r="AW143" s="178" t="str">
        <f>IFERROR(INDEX(TableSetRepSchemes,MATCH('1'!$C143,ListSetRepSchemes,0),COLUMNS($R143:AW143)),"")</f>
        <v>:30</v>
      </c>
      <c r="AX143" s="178" t="str">
        <f>IFERROR(INDEX(TableSetRepSchemes,MATCH('1'!$C143,ListSetRepSchemes,0),COLUMNS($R143:AX143)),"")</f>
        <v>:30</v>
      </c>
      <c r="AY143" s="178">
        <f>IFERROR(INDEX(TableSetRepSchemes,MATCH('1'!$C143,ListSetRepSchemes,0),COLUMNS($R143:AY143)),"")</f>
        <v>0</v>
      </c>
      <c r="AZ143" s="178">
        <f>IFERROR(INDEX(TableSetRepSchemes,MATCH('1'!$C143,ListSetRepSchemes,0),COLUMNS($R143:AZ143)),"")</f>
        <v>0</v>
      </c>
      <c r="BA143" s="178">
        <f>IFERROR(INDEX(TableSetRepSchemes,MATCH('1'!$C143,ListSetRepSchemes,0),COLUMNS($R143:BA143)),"")</f>
        <v>0</v>
      </c>
      <c r="BB143" s="180"/>
      <c r="BC143" s="36"/>
      <c r="BG143" s="181" t="s">
        <v>308</v>
      </c>
      <c r="BH143" s="182">
        <f>IFERROR(SUM(SUBSTITUTE(U143,"/s",""),V143:Z143),0)</f>
        <v>0</v>
      </c>
      <c r="BI143" s="182" t="e">
        <f>SUM(SUBSTITUTE(AD143,"/s",""),AE143:AI143)</f>
        <v>#VALUE!</v>
      </c>
      <c r="BJ143" s="182">
        <f>SUM(AM143:AR143)</f>
        <v>0</v>
      </c>
      <c r="BK143" s="182">
        <f>SUM(AV143:BA143)</f>
        <v>0</v>
      </c>
      <c r="BL143" s="195"/>
      <c r="BM143" s="184"/>
      <c r="BN143" s="184"/>
      <c r="BO143" s="184"/>
      <c r="BP143" s="184"/>
      <c r="BQ143" s="184"/>
      <c r="BS143" s="181" t="s">
        <v>308</v>
      </c>
      <c r="BT143" s="50" t="str">
        <f>IF($B143="PE",BH143,"")</f>
        <v/>
      </c>
      <c r="BU143" s="186" t="str">
        <f>IF($B143="PE",BI143,"")</f>
        <v/>
      </c>
      <c r="BV143" s="186" t="str">
        <f>IF($B143="PE",BJ143,"")</f>
        <v/>
      </c>
      <c r="BW143" s="186" t="str">
        <f>IF($B143="PE",BK143,"")</f>
        <v/>
      </c>
      <c r="BX143" s="187" t="e">
        <f t="shared" si="5"/>
        <v>#N/A</v>
      </c>
    </row>
    <row r="144" spans="1:161" s="34" customFormat="1" ht="34" customHeight="1">
      <c r="A144" s="129"/>
      <c r="B144" s="129"/>
      <c r="C144" s="129"/>
      <c r="D144" s="129"/>
      <c r="E144" s="129"/>
      <c r="F144" s="129"/>
      <c r="G144" s="129"/>
      <c r="H144" s="129"/>
      <c r="J144" s="36"/>
      <c r="K144" s="188"/>
      <c r="L144" s="189"/>
      <c r="M144" s="189"/>
      <c r="N144" s="189"/>
      <c r="O144" s="189"/>
      <c r="P144" s="190"/>
      <c r="Q144" s="191"/>
      <c r="R144" s="192"/>
      <c r="S144" s="193"/>
      <c r="T144" s="111"/>
      <c r="U144" s="176"/>
      <c r="V144" s="176"/>
      <c r="W144" s="176"/>
      <c r="X144" s="176"/>
      <c r="Y144" s="176"/>
      <c r="Z144" s="176"/>
      <c r="AA144" s="178"/>
      <c r="AB144" s="194"/>
      <c r="AC144" s="178"/>
      <c r="AD144" s="178"/>
      <c r="AE144" s="178"/>
      <c r="AF144" s="178"/>
      <c r="AG144" s="178"/>
      <c r="AH144" s="178"/>
      <c r="AI144" s="178"/>
      <c r="AJ144" s="178"/>
      <c r="AK144" s="194"/>
      <c r="AL144" s="178"/>
      <c r="AM144" s="178"/>
      <c r="AN144" s="178"/>
      <c r="AO144" s="178"/>
      <c r="AP144" s="178"/>
      <c r="AQ144" s="178"/>
      <c r="AR144" s="178"/>
      <c r="AS144" s="178"/>
      <c r="AT144" s="194"/>
      <c r="AU144" s="178"/>
      <c r="AV144" s="178"/>
      <c r="AW144" s="178"/>
      <c r="AX144" s="178"/>
      <c r="AY144" s="178"/>
      <c r="AZ144" s="178"/>
      <c r="BA144" s="178"/>
      <c r="BB144" s="180"/>
      <c r="BC144" s="36"/>
      <c r="BG144" s="181" t="s">
        <v>310</v>
      </c>
      <c r="BH144" s="182">
        <f>IFERROR((SUBSTITUTE(U143,"/s","")*U144)+(V143*V144)+(W143*W144)+(X143*X144)+(Y143*Y144)+(Z143*Z144),0)</f>
        <v>0</v>
      </c>
      <c r="BI144" s="182">
        <f>IFERROR((SUBSTITUTE(AD143,"/s","")*AD144)+(AE143*AE144)+(AF143*AF144)+(AG143*AG144)+(AH143*AH144)+(AI143*AI144),0)</f>
        <v>0</v>
      </c>
      <c r="BJ144" s="182" t="str">
        <f>IFERROR((AM143*AM144)+(AN143*AN144)+(AO143*AO144)+(AP143*AP144)+(AQ143*AQ144)+(AR143*AR144),"")</f>
        <v/>
      </c>
      <c r="BK144" s="182" t="str">
        <f>IFERROR((AV143*AV144)+(AW143*AW144)+(AX143*AX144)+(AY143*AY144)+(AZ143*AZ144)+(BA143*BA144),"")</f>
        <v/>
      </c>
      <c r="BL144" s="195" t="e">
        <f>IFERROR(BH144+BI144+BJ144+BK144,NA())</f>
        <v>#N/A</v>
      </c>
      <c r="BM144" s="184"/>
      <c r="BN144" s="184"/>
      <c r="BO144" s="184"/>
      <c r="BP144" s="184"/>
      <c r="BQ144" s="184"/>
      <c r="BS144" s="181" t="s">
        <v>310</v>
      </c>
      <c r="BT144" s="50">
        <f>IF($B143="PE",(BH144*$E143*$F143),0)</f>
        <v>0</v>
      </c>
      <c r="BU144" s="186">
        <f>IF($B143="PE",(BI144*$E143*$F143),0)</f>
        <v>0</v>
      </c>
      <c r="BV144" s="186">
        <f>IF($B143="PE",(BJ144*$E143*$F143),0)</f>
        <v>0</v>
      </c>
      <c r="BW144" s="186">
        <f>IF($B143="PE",(BK144*$E143*$F143),0)</f>
        <v>0</v>
      </c>
      <c r="BX144" s="187">
        <f t="shared" si="5"/>
        <v>0</v>
      </c>
    </row>
    <row r="145" spans="1:161" s="34" customFormat="1" ht="34" customHeight="1">
      <c r="A145" s="127"/>
      <c r="B145" s="127"/>
      <c r="C145" s="127" t="s">
        <v>245</v>
      </c>
      <c r="D145" s="127" t="str">
        <f>IFERROR(INDEX([2]!Table1RM[#Data],MATCH($M$56,[2]!Table1RM[Athlete],0),MATCH($L145,[2]!Table1RM[#Headers],0)),"")</f>
        <v/>
      </c>
      <c r="E145" s="127" t="str">
        <f>IF($B145="PE",INDEX([2]ExerciseInventory!$J$2:$L$276,MATCH($L145,[2]ExerciseInventory!$J$2:$J$287,0),2),"")</f>
        <v/>
      </c>
      <c r="F145" s="127" t="str">
        <f>IF($B145="PE",INDEX([2]ExerciseInventory!$J$2:$L$276,MATCH($L145,[2]ExerciseInventory!$J$2:$J$287,0),3),"")</f>
        <v/>
      </c>
      <c r="G145" s="127"/>
      <c r="H145" s="127"/>
      <c r="J145" s="36"/>
      <c r="K145" s="170"/>
      <c r="L145" s="171"/>
      <c r="M145" s="171"/>
      <c r="N145" s="171"/>
      <c r="O145" s="171"/>
      <c r="P145" s="172"/>
      <c r="Q145" s="173"/>
      <c r="R145" s="174"/>
      <c r="S145" s="175" t="str">
        <f>CLEAN(IFERROR(INDEX(TableSetRepSchemes,MATCH(#REF!,ListSetRepSchemes,0),COLUMNS($R145:S145)),""))</f>
        <v/>
      </c>
      <c r="T145" s="111"/>
      <c r="U145" s="176"/>
      <c r="V145" s="176"/>
      <c r="W145" s="176"/>
      <c r="X145" s="176"/>
      <c r="Y145" s="176"/>
      <c r="Z145" s="176"/>
      <c r="AA145" s="178"/>
      <c r="AB145" s="179" t="str">
        <f>CLEAN(IFERROR(INDEX(TableSetRepSchemes,MATCH('[2]4L-WU1-9P'!$C145,ListSetRepSchemes,0),COLUMNS($R145:AB145)),""))</f>
        <v/>
      </c>
      <c r="AC145" s="178"/>
      <c r="AD145" s="178">
        <f>IFERROR(INDEX(TableSetRepSchemes,MATCH('1'!$C145,ListSetRepSchemes,0),COLUMNS($R145:AD145)),"")</f>
        <v>0</v>
      </c>
      <c r="AE145" s="178">
        <f>IFERROR(INDEX(TableSetRepSchemes,MATCH('1'!$C145,ListSetRepSchemes,0),COLUMNS($R145:AE145)),"")</f>
        <v>0</v>
      </c>
      <c r="AF145" s="178">
        <f>IFERROR(INDEX(TableSetRepSchemes,MATCH('1'!$C145,ListSetRepSchemes,0),COLUMNS($R145:AF145)),"")</f>
        <v>0</v>
      </c>
      <c r="AG145" s="178">
        <f>IFERROR(INDEX(TableSetRepSchemes,MATCH('1'!$C145,ListSetRepSchemes,0),COLUMNS($R145:AG145)),"")</f>
        <v>0</v>
      </c>
      <c r="AH145" s="178">
        <f>IFERROR(INDEX(TableSetRepSchemes,MATCH('1'!$C145,ListSetRepSchemes,0),COLUMNS($R145:AH145)),"")</f>
        <v>0</v>
      </c>
      <c r="AI145" s="178">
        <f>IFERROR(INDEX(TableSetRepSchemes,MATCH('1'!$C145,ListSetRepSchemes,0),COLUMNS($R145:AI145)),"")</f>
        <v>0</v>
      </c>
      <c r="AJ145" s="178"/>
      <c r="AK145" s="179" t="str">
        <f>CLEAN(IFERROR(INDEX(TableSetRepSchemes,MATCH('1'!$C145,ListSetRepSchemes,0),COLUMNS($R145:AK145)),""))</f>
        <v/>
      </c>
      <c r="AL145" s="178"/>
      <c r="AM145" s="178">
        <f>IFERROR(INDEX(TableSetRepSchemes,MATCH('1'!$C145,ListSetRepSchemes,0),COLUMNS($R145:AM145)),"")</f>
        <v>0</v>
      </c>
      <c r="AN145" s="178">
        <f>IFERROR(INDEX(TableSetRepSchemes,MATCH('1'!$C145,ListSetRepSchemes,0),COLUMNS($R145:AN145)),"")</f>
        <v>0</v>
      </c>
      <c r="AO145" s="178">
        <f>IFERROR(INDEX(TableSetRepSchemes,MATCH('1'!$C145,ListSetRepSchemes,0),COLUMNS($R145:AO145)),"")</f>
        <v>0</v>
      </c>
      <c r="AP145" s="178">
        <f>IFERROR(INDEX(TableSetRepSchemes,MATCH('1'!$C145,ListSetRepSchemes,0),COLUMNS($R145:AP145)),"")</f>
        <v>0</v>
      </c>
      <c r="AQ145" s="178">
        <f>IFERROR(INDEX(TableSetRepSchemes,MATCH('1'!$C145,ListSetRepSchemes,0),COLUMNS($R145:AQ145)),"")</f>
        <v>0</v>
      </c>
      <c r="AR145" s="178">
        <f>IFERROR(INDEX(TableSetRepSchemes,MATCH('1'!$C145,ListSetRepSchemes,0),COLUMNS($R145:AR145)),"")</f>
        <v>0</v>
      </c>
      <c r="AS145" s="178"/>
      <c r="AT145" s="179" t="str">
        <f>CLEAN(IFERROR(INDEX(TableSetRepSchemes,MATCH('1'!$C145,ListSetRepSchemes,0),COLUMNS($R145:AT145)),""))</f>
        <v/>
      </c>
      <c r="AU145" s="178"/>
      <c r="AV145" s="178">
        <f>IFERROR(INDEX(TableSetRepSchemes,MATCH('1'!$C145,ListSetRepSchemes,0),COLUMNS($R145:AV145)),"")</f>
        <v>0</v>
      </c>
      <c r="AW145" s="178">
        <f>IFERROR(INDEX(TableSetRepSchemes,MATCH('1'!$C145,ListSetRepSchemes,0),COLUMNS($R145:AW145)),"")</f>
        <v>0</v>
      </c>
      <c r="AX145" s="178">
        <f>IFERROR(INDEX(TableSetRepSchemes,MATCH('1'!$C145,ListSetRepSchemes,0),COLUMNS($R145:AX145)),"")</f>
        <v>0</v>
      </c>
      <c r="AY145" s="178">
        <f>IFERROR(INDEX(TableSetRepSchemes,MATCH('1'!$C145,ListSetRepSchemes,0),COLUMNS($R145:AY145)),"")</f>
        <v>0</v>
      </c>
      <c r="AZ145" s="178">
        <f>IFERROR(INDEX(TableSetRepSchemes,MATCH('1'!$C145,ListSetRepSchemes,0),COLUMNS($R145:AZ145)),"")</f>
        <v>0</v>
      </c>
      <c r="BA145" s="178">
        <f>IFERROR(INDEX(TableSetRepSchemes,MATCH('1'!$C145,ListSetRepSchemes,0),COLUMNS($R145:BA145)),"")</f>
        <v>0</v>
      </c>
      <c r="BB145" s="180"/>
      <c r="BC145" s="36"/>
      <c r="BG145" s="181" t="s">
        <v>308</v>
      </c>
      <c r="BH145" s="182">
        <f>IFERROR(SUM(SUBSTITUTE(U145,"/s",""),V145:Z145),0)</f>
        <v>0</v>
      </c>
      <c r="BI145" s="182">
        <f>SUM(SUBSTITUTE(AD145,"/s",""),AE145:AI145)</f>
        <v>0</v>
      </c>
      <c r="BJ145" s="182">
        <f>SUM(AM145:AR145)</f>
        <v>0</v>
      </c>
      <c r="BK145" s="182">
        <f>SUM(AV145:BA145)</f>
        <v>0</v>
      </c>
      <c r="BL145" s="195"/>
      <c r="BM145" s="184"/>
      <c r="BN145" s="184"/>
      <c r="BO145" s="184"/>
      <c r="BP145" s="184"/>
      <c r="BQ145" s="184"/>
      <c r="BS145" s="181" t="s">
        <v>308</v>
      </c>
      <c r="BT145" s="50" t="str">
        <f>IF($B145="PE",BH145,"")</f>
        <v/>
      </c>
      <c r="BU145" s="186" t="str">
        <f>IF($B145="PE",BI145,"")</f>
        <v/>
      </c>
      <c r="BV145" s="186" t="str">
        <f>IF($B145="PE",BJ145,"")</f>
        <v/>
      </c>
      <c r="BW145" s="186" t="str">
        <f>IF($B145="PE",BK145,"")</f>
        <v/>
      </c>
      <c r="BX145" s="187" t="e">
        <f t="shared" si="5"/>
        <v>#N/A</v>
      </c>
    </row>
    <row r="146" spans="1:161" s="34" customFormat="1" ht="34" customHeight="1">
      <c r="A146" s="129"/>
      <c r="B146" s="129"/>
      <c r="C146" s="129"/>
      <c r="D146" s="129"/>
      <c r="E146" s="129"/>
      <c r="F146" s="129"/>
      <c r="G146" s="129"/>
      <c r="H146" s="129"/>
      <c r="J146" s="36"/>
      <c r="K146" s="188"/>
      <c r="L146" s="189"/>
      <c r="M146" s="189"/>
      <c r="N146" s="189"/>
      <c r="O146" s="189"/>
      <c r="P146" s="190"/>
      <c r="Q146" s="191"/>
      <c r="R146" s="192"/>
      <c r="S146" s="193"/>
      <c r="T146" s="111"/>
      <c r="U146" s="176"/>
      <c r="V146" s="176"/>
      <c r="W146" s="176"/>
      <c r="X146" s="176"/>
      <c r="Y146" s="176"/>
      <c r="Z146" s="176"/>
      <c r="AA146" s="178"/>
      <c r="AB146" s="194"/>
      <c r="AC146" s="178"/>
      <c r="AD146" s="178"/>
      <c r="AE146" s="178"/>
      <c r="AF146" s="178"/>
      <c r="AG146" s="178"/>
      <c r="AH146" s="178"/>
      <c r="AI146" s="178"/>
      <c r="AJ146" s="178"/>
      <c r="AK146" s="194"/>
      <c r="AL146" s="178"/>
      <c r="AM146" s="178"/>
      <c r="AN146" s="178"/>
      <c r="AO146" s="178"/>
      <c r="AP146" s="178"/>
      <c r="AQ146" s="178"/>
      <c r="AR146" s="178"/>
      <c r="AS146" s="178"/>
      <c r="AT146" s="194"/>
      <c r="AU146" s="178"/>
      <c r="AV146" s="178"/>
      <c r="AW146" s="178"/>
      <c r="AX146" s="178"/>
      <c r="AY146" s="178"/>
      <c r="AZ146" s="178"/>
      <c r="BA146" s="178"/>
      <c r="BB146" s="180"/>
      <c r="BC146" s="36"/>
      <c r="BG146" s="181" t="s">
        <v>310</v>
      </c>
      <c r="BH146" s="182">
        <f>IFERROR((SUBSTITUTE(U145,"/s","")*U146)+(V145*V146)+(W145*W146)+(X145*X146)+(Y145*Y146)+(Z145*Z146),0)</f>
        <v>0</v>
      </c>
      <c r="BI146" s="182">
        <f>IFERROR((SUBSTITUTE(AD145,"/s","")*AD146)+(AE145*AE146)+(AF145*AF146)+(AG145*AG146)+(AH145*AH146)+(AI145*AI146),0)</f>
        <v>0</v>
      </c>
      <c r="BJ146" s="182">
        <f>IFERROR((AM145*AM146)+(AN145*AN146)+(AO145*AO146)+(AP145*AP146)+(AQ145*AQ146)+(AR145*AR146),"")</f>
        <v>0</v>
      </c>
      <c r="BK146" s="182">
        <f>IFERROR((AV145*AV146)+(AW145*AW146)+(AX145*AX146)+(AY145*AY146)+(AZ145*AZ146)+(BA145*BA146),"")</f>
        <v>0</v>
      </c>
      <c r="BL146" s="195">
        <f>IFERROR(BH146+BI146+BJ146+BK146,NA())</f>
        <v>0</v>
      </c>
      <c r="BM146" s="184"/>
      <c r="BN146" s="184"/>
      <c r="BO146" s="184"/>
      <c r="BP146" s="184"/>
      <c r="BQ146" s="184"/>
      <c r="BS146" s="181" t="s">
        <v>310</v>
      </c>
      <c r="BT146" s="50">
        <f>IF($B145="PE",(BH146*$E145*$F145),0)</f>
        <v>0</v>
      </c>
      <c r="BU146" s="186">
        <f>IF($B145="PE",(BI146*$E145*$F145),0)</f>
        <v>0</v>
      </c>
      <c r="BV146" s="186">
        <f>IF($B145="PE",(BJ146*$E145*$F145),0)</f>
        <v>0</v>
      </c>
      <c r="BW146" s="186">
        <f>IF($B145="PE",(BK146*$E145*$F145),0)</f>
        <v>0</v>
      </c>
      <c r="BX146" s="187">
        <f t="shared" si="5"/>
        <v>0</v>
      </c>
    </row>
    <row r="147" spans="1:161" s="34" customFormat="1" ht="4" customHeight="1" thickBot="1">
      <c r="A147" s="35"/>
      <c r="B147" s="35"/>
      <c r="C147" s="35"/>
      <c r="J147" s="36"/>
      <c r="K147" s="206"/>
      <c r="L147" s="207"/>
      <c r="M147" s="207"/>
      <c r="N147" s="207"/>
      <c r="O147" s="207"/>
      <c r="P147" s="207"/>
      <c r="Q147" s="207"/>
      <c r="R147" s="207"/>
      <c r="S147" s="208"/>
      <c r="T147" s="209"/>
      <c r="U147" s="209"/>
      <c r="V147" s="209"/>
      <c r="W147" s="209"/>
      <c r="X147" s="209"/>
      <c r="Y147" s="209"/>
      <c r="Z147" s="209"/>
      <c r="AA147" s="209"/>
      <c r="AB147" s="208"/>
      <c r="AC147" s="209"/>
      <c r="AD147" s="209"/>
      <c r="AE147" s="209"/>
      <c r="AF147" s="209"/>
      <c r="AG147" s="209"/>
      <c r="AH147" s="209"/>
      <c r="AI147" s="209"/>
      <c r="AJ147" s="209"/>
      <c r="AK147" s="208"/>
      <c r="AL147" s="209"/>
      <c r="AM147" s="209"/>
      <c r="AN147" s="209"/>
      <c r="AO147" s="209"/>
      <c r="AP147" s="209"/>
      <c r="AQ147" s="209"/>
      <c r="AR147" s="209"/>
      <c r="AS147" s="209"/>
      <c r="AT147" s="208"/>
      <c r="AU147" s="209"/>
      <c r="AV147" s="209"/>
      <c r="AW147" s="209"/>
      <c r="AX147" s="209"/>
      <c r="AY147" s="209"/>
      <c r="AZ147" s="209"/>
      <c r="BA147" s="209"/>
      <c r="BB147" s="210"/>
      <c r="BC147" s="36"/>
      <c r="BH147" s="211">
        <f>BH132+BH134+BH136+BH138+BH140+BH142+BH144+BH146</f>
        <v>0</v>
      </c>
      <c r="BI147" s="211">
        <f>BI132+BI134+BI136+BI138+BI140+BI142+BI144+BI146</f>
        <v>0</v>
      </c>
      <c r="BJ147" s="211" t="e">
        <f>BJ132+BJ134+BJ136+BJ138+BJ140+BJ142+BJ144+BJ146</f>
        <v>#VALUE!</v>
      </c>
      <c r="BK147" s="211" t="e">
        <f>BK132+BK134+BK136+BK138+BK140+BK142+BK144+BK146</f>
        <v>#VALUE!</v>
      </c>
      <c r="BL147" s="183"/>
      <c r="BM147" s="184"/>
      <c r="BN147" s="184"/>
      <c r="BO147" s="184"/>
      <c r="BP147" s="184"/>
      <c r="BQ147" s="184"/>
      <c r="BT147" s="212">
        <f>BT132+BT134+BT136+BT138+BT140+BT142+BT144+BT146</f>
        <v>0</v>
      </c>
      <c r="BU147" s="212">
        <f>BU132+BU134+BU136+BU138+BU140+BU142+BU144+BU146</f>
        <v>0</v>
      </c>
      <c r="BV147" s="212">
        <f>BV132+BV134+BV136+BV138+BV140+BV142+BV144+BV146</f>
        <v>0</v>
      </c>
      <c r="BW147" s="212">
        <f>BW132+BW134+BW136+BW138+BW140+BW142+BW144+BW146</f>
        <v>0</v>
      </c>
      <c r="BX147" s="212">
        <f>BX132+BX134+BX136+BX138+BX140+BX142+BX144+BX146</f>
        <v>0</v>
      </c>
    </row>
    <row r="148" spans="1:161" s="34" customFormat="1" ht="34" customHeight="1" thickBot="1">
      <c r="A148" s="35"/>
      <c r="B148" s="35"/>
      <c r="C148" s="35"/>
      <c r="J148" s="36"/>
      <c r="K148" s="111"/>
      <c r="L148" s="111"/>
      <c r="M148" s="111"/>
      <c r="N148" s="111"/>
      <c r="O148" s="111"/>
      <c r="P148" s="111"/>
      <c r="Q148" s="111"/>
      <c r="R148" s="111"/>
      <c r="S148" s="36"/>
      <c r="T148" s="213"/>
      <c r="U148" s="36"/>
      <c r="V148" s="36"/>
      <c r="W148" s="36"/>
      <c r="X148" s="36"/>
      <c r="Y148" s="36"/>
      <c r="Z148" s="36"/>
      <c r="AA148" s="213"/>
      <c r="AB148" s="36"/>
      <c r="AC148" s="213"/>
      <c r="AD148" s="36"/>
      <c r="AE148" s="36"/>
      <c r="AF148" s="36"/>
      <c r="AG148" s="36"/>
      <c r="AH148" s="36"/>
      <c r="AI148" s="36"/>
      <c r="AJ148" s="213"/>
      <c r="AK148" s="36"/>
      <c r="AL148" s="213"/>
      <c r="AM148" s="36"/>
      <c r="AN148" s="36"/>
      <c r="AO148" s="36"/>
      <c r="AP148" s="36"/>
      <c r="AQ148" s="36"/>
      <c r="AR148" s="36"/>
      <c r="AS148" s="36"/>
      <c r="AT148" s="36"/>
      <c r="AU148" s="213"/>
      <c r="AV148" s="36"/>
      <c r="AW148" s="36"/>
      <c r="AX148" s="36"/>
      <c r="AY148" s="36"/>
      <c r="AZ148" s="36"/>
      <c r="BA148" s="36"/>
      <c r="BB148" s="213"/>
      <c r="BC148" s="36"/>
      <c r="BH148" s="214"/>
      <c r="BI148" s="214"/>
      <c r="BJ148" s="214"/>
      <c r="BK148" s="214"/>
      <c r="BL148" s="183"/>
      <c r="BM148" s="184"/>
      <c r="BN148" s="184"/>
      <c r="BO148" s="184"/>
      <c r="BP148" s="184"/>
      <c r="BQ148" s="184"/>
      <c r="BT148" s="215"/>
      <c r="BU148" s="215"/>
      <c r="BV148" s="215"/>
      <c r="BW148" s="215"/>
      <c r="BX148" s="215"/>
    </row>
    <row r="149" spans="1:161" s="86" customFormat="1" ht="34" customHeight="1">
      <c r="A149" s="114"/>
      <c r="B149" s="114"/>
      <c r="C149" s="216"/>
      <c r="E149" s="87" t="s">
        <v>234</v>
      </c>
      <c r="F149" s="87" t="s">
        <v>235</v>
      </c>
      <c r="J149" s="118"/>
      <c r="K149" s="153" t="s">
        <v>367</v>
      </c>
      <c r="L149" s="154"/>
      <c r="M149" s="154"/>
      <c r="N149" s="154"/>
      <c r="O149" s="154"/>
      <c r="P149" s="154"/>
      <c r="Q149" s="154"/>
      <c r="R149" s="154"/>
      <c r="S149" s="155"/>
      <c r="T149" s="156"/>
      <c r="U149" s="157" t="s">
        <v>221</v>
      </c>
      <c r="V149" s="158"/>
      <c r="W149" s="158"/>
      <c r="X149" s="156"/>
      <c r="Y149" s="159"/>
      <c r="Z149" s="160"/>
      <c r="AA149" s="156"/>
      <c r="AB149" s="155"/>
      <c r="AC149" s="156"/>
      <c r="AD149" s="157" t="s">
        <v>221</v>
      </c>
      <c r="AE149" s="158"/>
      <c r="AF149" s="158"/>
      <c r="AG149" s="156"/>
      <c r="AH149" s="159"/>
      <c r="AI149" s="160"/>
      <c r="AJ149" s="156"/>
      <c r="AK149" s="155"/>
      <c r="AL149" s="156"/>
      <c r="AM149" s="157" t="s">
        <v>221</v>
      </c>
      <c r="AN149" s="158"/>
      <c r="AO149" s="158"/>
      <c r="AP149" s="156"/>
      <c r="AQ149" s="159"/>
      <c r="AR149" s="160"/>
      <c r="AS149" s="160"/>
      <c r="AT149" s="155"/>
      <c r="AU149" s="156"/>
      <c r="AV149" s="157" t="s">
        <v>221</v>
      </c>
      <c r="AW149" s="158"/>
      <c r="AX149" s="158"/>
      <c r="AY149" s="217"/>
      <c r="AZ149" s="218"/>
      <c r="BA149" s="218"/>
      <c r="BB149" s="161"/>
      <c r="BC149" s="118"/>
      <c r="BD149" s="34"/>
      <c r="BE149" s="34"/>
      <c r="BF149" s="34"/>
      <c r="BL149" s="114"/>
      <c r="BT149" s="219">
        <f>SUM(BT131,BT133,BT135,BT137,BT139,BT141,BT143,BT145)</f>
        <v>0</v>
      </c>
      <c r="BU149" s="219">
        <f>SUM(BU131,BU133,BU135,BU137,BU139,BU141,BU143,BU145)</f>
        <v>0</v>
      </c>
      <c r="BV149" s="219">
        <f>SUM(BV131,BV133,BV135,BV137,BV139,BV141,BV143,BV145)</f>
        <v>0</v>
      </c>
      <c r="BW149" s="219">
        <f>SUM(BW131,BW133,BW135,BW137,BW139,BW141,BW143,BW145)</f>
        <v>0</v>
      </c>
      <c r="BX149" s="219"/>
      <c r="BY149" s="34"/>
      <c r="BZ149" s="34"/>
      <c r="CA149" s="34"/>
      <c r="CB149" s="34"/>
      <c r="CC149" s="34"/>
      <c r="CD149" s="34"/>
      <c r="CE149" s="34"/>
      <c r="CF149" s="34"/>
      <c r="CG149" s="34"/>
      <c r="CH149" s="34"/>
      <c r="CI149" s="34"/>
      <c r="CJ149" s="34"/>
      <c r="CK149" s="34"/>
      <c r="CL149" s="34"/>
      <c r="CM149" s="34"/>
      <c r="CN149" s="34"/>
      <c r="CO149" s="34"/>
      <c r="CP149" s="34"/>
      <c r="CQ149" s="34"/>
      <c r="CR149" s="34"/>
      <c r="CS149" s="34"/>
      <c r="CT149" s="34"/>
      <c r="CU149" s="34"/>
      <c r="CV149" s="34"/>
      <c r="CW149" s="34"/>
      <c r="CX149" s="34"/>
      <c r="CY149" s="34"/>
      <c r="CZ149" s="34"/>
      <c r="DA149" s="34"/>
      <c r="DB149" s="34"/>
      <c r="DC149" s="34"/>
      <c r="DD149" s="34"/>
      <c r="DE149" s="34"/>
      <c r="DF149" s="34"/>
      <c r="DG149" s="34"/>
      <c r="DH149" s="34"/>
      <c r="DI149" s="34"/>
      <c r="DJ149" s="34"/>
      <c r="DK149" s="34"/>
      <c r="DL149" s="34"/>
      <c r="DM149" s="34"/>
      <c r="DN149" s="34"/>
      <c r="DO149" s="34"/>
      <c r="DP149" s="34"/>
      <c r="DQ149" s="34"/>
      <c r="DR149" s="34"/>
      <c r="DS149" s="34"/>
      <c r="DT149" s="34"/>
      <c r="DU149" s="34"/>
      <c r="DV149" s="34"/>
      <c r="DW149" s="34"/>
      <c r="DX149" s="34"/>
      <c r="DY149" s="34"/>
      <c r="DZ149" s="34"/>
      <c r="EA149" s="34"/>
      <c r="EB149" s="34"/>
      <c r="EC149" s="34"/>
      <c r="ED149" s="34"/>
      <c r="EE149" s="34"/>
      <c r="EF149" s="34"/>
      <c r="EG149" s="34"/>
      <c r="EH149" s="34"/>
      <c r="EI149" s="34"/>
      <c r="EJ149" s="34"/>
      <c r="EK149" s="34"/>
      <c r="EL149" s="34"/>
      <c r="FE149" s="34"/>
    </row>
    <row r="150" spans="1:161" s="114" customFormat="1" ht="34" customHeight="1">
      <c r="A150" s="101" t="s">
        <v>237</v>
      </c>
      <c r="B150" s="102"/>
      <c r="C150" s="103" t="s">
        <v>238</v>
      </c>
      <c r="D150" s="103" t="s">
        <v>239</v>
      </c>
      <c r="E150" s="104"/>
      <c r="F150" s="104"/>
      <c r="G150" s="103" t="s">
        <v>240</v>
      </c>
      <c r="H150" s="103" t="s">
        <v>241</v>
      </c>
      <c r="J150" s="220"/>
      <c r="K150" s="243"/>
      <c r="L150" s="244"/>
      <c r="M150" s="244"/>
      <c r="N150" s="244"/>
      <c r="O150" s="244"/>
      <c r="P150" s="244"/>
      <c r="Q150" s="244"/>
      <c r="R150" s="244"/>
      <c r="S150" s="165"/>
      <c r="T150" s="165"/>
      <c r="U150" s="221" t="s">
        <v>297</v>
      </c>
      <c r="V150" s="221"/>
      <c r="W150" s="221"/>
      <c r="X150" s="221"/>
      <c r="Y150" s="221"/>
      <c r="Z150" s="221"/>
      <c r="AA150" s="222"/>
      <c r="AB150" s="222"/>
      <c r="AC150" s="222"/>
      <c r="AD150" s="221" t="s">
        <v>297</v>
      </c>
      <c r="AE150" s="221"/>
      <c r="AF150" s="221"/>
      <c r="AG150" s="221"/>
      <c r="AH150" s="221"/>
      <c r="AI150" s="221"/>
      <c r="AJ150" s="222"/>
      <c r="AK150" s="222"/>
      <c r="AL150" s="222"/>
      <c r="AM150" s="221" t="s">
        <v>297</v>
      </c>
      <c r="AN150" s="221"/>
      <c r="AO150" s="221"/>
      <c r="AP150" s="221"/>
      <c r="AQ150" s="221"/>
      <c r="AR150" s="221"/>
      <c r="AS150" s="223"/>
      <c r="AT150" s="222"/>
      <c r="AU150" s="222"/>
      <c r="AV150" s="221" t="s">
        <v>297</v>
      </c>
      <c r="AW150" s="221"/>
      <c r="AX150" s="221"/>
      <c r="AY150" s="221"/>
      <c r="AZ150" s="221"/>
      <c r="BA150" s="221"/>
      <c r="BB150" s="168"/>
      <c r="BC150" s="220"/>
      <c r="BD150" s="34"/>
      <c r="BE150" s="34"/>
      <c r="BF150" s="34"/>
      <c r="BH150" s="103" t="s">
        <v>298</v>
      </c>
      <c r="BI150" s="103" t="s">
        <v>299</v>
      </c>
      <c r="BJ150" s="103" t="s">
        <v>300</v>
      </c>
      <c r="BK150" s="103" t="s">
        <v>301</v>
      </c>
      <c r="BN150" s="103" t="s">
        <v>302</v>
      </c>
      <c r="BO150" s="103" t="s">
        <v>303</v>
      </c>
      <c r="BP150" s="103" t="s">
        <v>304</v>
      </c>
      <c r="BT150" s="103" t="s">
        <v>298</v>
      </c>
      <c r="BU150" s="103" t="s">
        <v>299</v>
      </c>
      <c r="BV150" s="103" t="s">
        <v>300</v>
      </c>
      <c r="BW150" s="103" t="s">
        <v>301</v>
      </c>
      <c r="BX150" s="169"/>
      <c r="BY150" s="34"/>
      <c r="BZ150" s="34"/>
      <c r="CA150" s="34"/>
      <c r="CB150" s="34"/>
      <c r="CC150" s="34"/>
      <c r="CD150" s="34"/>
      <c r="CE150" s="34"/>
      <c r="CF150" s="34"/>
      <c r="CG150" s="34"/>
      <c r="CH150" s="34"/>
      <c r="CI150" s="34"/>
      <c r="CJ150" s="34"/>
      <c r="CK150" s="34"/>
      <c r="CL150" s="34"/>
      <c r="CM150" s="34"/>
      <c r="CN150" s="34"/>
      <c r="CO150" s="34"/>
      <c r="CP150" s="34"/>
      <c r="CQ150" s="34"/>
      <c r="CR150" s="34"/>
      <c r="CS150" s="34"/>
      <c r="CT150" s="34"/>
      <c r="CU150" s="34"/>
      <c r="CV150" s="34"/>
      <c r="CW150" s="34"/>
      <c r="CX150" s="34"/>
      <c r="CY150" s="34"/>
      <c r="CZ150" s="34"/>
      <c r="DA150" s="34"/>
      <c r="DB150" s="34"/>
      <c r="DC150" s="34"/>
      <c r="DD150" s="34"/>
      <c r="DE150" s="34"/>
      <c r="DF150" s="34"/>
      <c r="DG150" s="34"/>
      <c r="DH150" s="34"/>
      <c r="DI150" s="34"/>
      <c r="DJ150" s="34"/>
      <c r="DK150" s="34"/>
      <c r="DL150" s="34"/>
      <c r="DM150" s="34"/>
      <c r="DN150" s="34"/>
      <c r="DO150" s="34"/>
      <c r="DP150" s="34"/>
      <c r="DQ150" s="34"/>
      <c r="DR150" s="34"/>
      <c r="DS150" s="34"/>
      <c r="DT150" s="34"/>
      <c r="DU150" s="34"/>
      <c r="DV150" s="34"/>
      <c r="DW150" s="34"/>
      <c r="DX150" s="34"/>
      <c r="DY150" s="34"/>
      <c r="DZ150" s="34"/>
      <c r="EA150" s="34"/>
      <c r="EB150" s="34"/>
      <c r="EC150" s="34"/>
      <c r="ED150" s="34"/>
      <c r="EE150" s="34"/>
      <c r="EF150" s="34"/>
      <c r="EG150" s="34"/>
      <c r="EH150" s="34"/>
      <c r="EI150" s="34"/>
      <c r="EJ150" s="34"/>
      <c r="EK150" s="34"/>
      <c r="EL150" s="34"/>
      <c r="FE150" s="34"/>
    </row>
    <row r="151" spans="1:161" s="34" customFormat="1" ht="34" customHeight="1">
      <c r="A151" s="127"/>
      <c r="B151" s="127" t="s">
        <v>244</v>
      </c>
      <c r="C151" s="127" t="s">
        <v>337</v>
      </c>
      <c r="D151" s="127" t="str">
        <f>IFERROR(INDEX([2]!Table1RM[#Data],MATCH($M$56,[2]!Table1RM[Athlete],0),MATCH($L151,[2]!Table1RM[#Headers],0)),"")</f>
        <v/>
      </c>
      <c r="E151" s="127" t="str">
        <f>IF($B151="PE",INDEX([2]ExerciseInventory!$J$2:$L$276,MATCH($L151,[2]ExerciseInventory!$J$2:$J$287,0),2),"")</f>
        <v/>
      </c>
      <c r="F151" s="127" t="str">
        <f>IF($B151="PE",INDEX([2]ExerciseInventory!$J$2:$L$276,MATCH($L151,[2]ExerciseInventory!$J$2:$J$287,0),3),"")</f>
        <v/>
      </c>
      <c r="G151" s="127"/>
      <c r="H151" s="127"/>
      <c r="J151" s="36"/>
      <c r="K151" s="170" t="s">
        <v>107</v>
      </c>
      <c r="L151" s="171" t="s">
        <v>55</v>
      </c>
      <c r="M151" s="171"/>
      <c r="N151" s="171"/>
      <c r="O151" s="171"/>
      <c r="P151" s="172"/>
      <c r="Q151" s="173"/>
      <c r="R151" s="174"/>
      <c r="S151" s="175" t="str">
        <f>CLEAN(IFERROR(INDEX(TableSetRepSchemes,MATCH(#REF!,ListSetRepSchemes,0),COLUMNS($R151:S151)),""))</f>
        <v/>
      </c>
      <c r="T151" s="111"/>
      <c r="U151" s="176"/>
      <c r="V151" s="176"/>
      <c r="W151" s="176"/>
      <c r="X151" s="176"/>
      <c r="Y151" s="176"/>
      <c r="Z151" s="176"/>
      <c r="AA151" s="178"/>
      <c r="AB151" s="179" t="str">
        <f>CLEAN(IFERROR(INDEX(TableSetRepSchemes,MATCH('[2]4L-WU1-9P'!$C151,ListSetRepSchemes,0),COLUMNS($R151:AB151)),""))</f>
        <v/>
      </c>
      <c r="AC151" s="178"/>
      <c r="AD151" s="178">
        <f>IFERROR(INDEX(TableSetRepSchemes,MATCH('1'!$C151,ListSetRepSchemes,0),COLUMNS($R151:AD151)),"")</f>
        <v>6</v>
      </c>
      <c r="AE151" s="178">
        <f>IFERROR(INDEX(TableSetRepSchemes,MATCH('1'!$C151,ListSetRepSchemes,0),COLUMNS($R151:AE151)),"")</f>
        <v>6</v>
      </c>
      <c r="AF151" s="178">
        <f>IFERROR(INDEX(TableSetRepSchemes,MATCH('1'!$C151,ListSetRepSchemes,0),COLUMNS($R151:AF151)),"")</f>
        <v>6</v>
      </c>
      <c r="AG151" s="178">
        <f>IFERROR(INDEX(TableSetRepSchemes,MATCH('1'!$C151,ListSetRepSchemes,0),COLUMNS($R151:AG151)),"")</f>
        <v>0</v>
      </c>
      <c r="AH151" s="178">
        <f>IFERROR(INDEX(TableSetRepSchemes,MATCH('1'!$C151,ListSetRepSchemes,0),COLUMNS($R151:AH151)),"")</f>
        <v>0</v>
      </c>
      <c r="AI151" s="178">
        <f>IFERROR(INDEX(TableSetRepSchemes,MATCH('1'!$C151,ListSetRepSchemes,0),COLUMNS($R151:AI151)),"")</f>
        <v>0</v>
      </c>
      <c r="AJ151" s="178"/>
      <c r="AK151" s="179" t="str">
        <f>CLEAN(IFERROR(INDEX(TableSetRepSchemes,MATCH('1'!$C151,ListSetRepSchemes,0),COLUMNS($R151:AK151)),""))</f>
        <v/>
      </c>
      <c r="AL151" s="178"/>
      <c r="AM151" s="178">
        <f>IFERROR(INDEX(TableSetRepSchemes,MATCH('1'!$C151,ListSetRepSchemes,0),COLUMNS($R151:AM151)),"")</f>
        <v>6</v>
      </c>
      <c r="AN151" s="178">
        <f>IFERROR(INDEX(TableSetRepSchemes,MATCH('1'!$C151,ListSetRepSchemes,0),COLUMNS($R151:AN151)),"")</f>
        <v>6</v>
      </c>
      <c r="AO151" s="178">
        <f>IFERROR(INDEX(TableSetRepSchemes,MATCH('1'!$C151,ListSetRepSchemes,0),COLUMNS($R151:AO151)),"")</f>
        <v>6</v>
      </c>
      <c r="AP151" s="178">
        <f>IFERROR(INDEX(TableSetRepSchemes,MATCH('1'!$C151,ListSetRepSchemes,0),COLUMNS($R151:AP151)),"")</f>
        <v>0</v>
      </c>
      <c r="AQ151" s="178">
        <f>IFERROR(INDEX(TableSetRepSchemes,MATCH('1'!$C151,ListSetRepSchemes,0),COLUMNS($R151:AQ151)),"")</f>
        <v>0</v>
      </c>
      <c r="AR151" s="178">
        <f>IFERROR(INDEX(TableSetRepSchemes,MATCH('1'!$C151,ListSetRepSchemes,0),COLUMNS($R151:AR151)),"")</f>
        <v>0</v>
      </c>
      <c r="AS151" s="178"/>
      <c r="AT151" s="179" t="str">
        <f>CLEAN(IFERROR(INDEX(TableSetRepSchemes,MATCH('1'!$C151,ListSetRepSchemes,0),COLUMNS($R151:AT151)),""))</f>
        <v/>
      </c>
      <c r="AU151" s="178"/>
      <c r="AV151" s="178">
        <f>IFERROR(INDEX(TableSetRepSchemes,MATCH('1'!$C151,ListSetRepSchemes,0),COLUMNS($R151:AV151)),"")</f>
        <v>6</v>
      </c>
      <c r="AW151" s="178">
        <f>IFERROR(INDEX(TableSetRepSchemes,MATCH('1'!$C151,ListSetRepSchemes,0),COLUMNS($R151:AW151)),"")</f>
        <v>6</v>
      </c>
      <c r="AX151" s="178">
        <f>IFERROR(INDEX(TableSetRepSchemes,MATCH('1'!$C151,ListSetRepSchemes,0),COLUMNS($R151:AX151)),"")</f>
        <v>6</v>
      </c>
      <c r="AY151" s="178">
        <f>IFERROR(INDEX(TableSetRepSchemes,MATCH('1'!$C151,ListSetRepSchemes,0),COLUMNS($R151:AY151)),"")</f>
        <v>0</v>
      </c>
      <c r="AZ151" s="178">
        <f>IFERROR(INDEX(TableSetRepSchemes,MATCH('1'!$C151,ListSetRepSchemes,0),COLUMNS($R151:AZ151)),"")</f>
        <v>0</v>
      </c>
      <c r="BA151" s="178">
        <f>IFERROR(INDEX(TableSetRepSchemes,MATCH('1'!$C151,ListSetRepSchemes,0),COLUMNS($R151:BA151)),"")</f>
        <v>0</v>
      </c>
      <c r="BB151" s="180"/>
      <c r="BC151" s="36"/>
      <c r="BG151" s="181" t="s">
        <v>308</v>
      </c>
      <c r="BH151" s="182">
        <f>IFERROR(SUM(SUBSTITUTE(U151,"/s",""),V151:Z151),0)</f>
        <v>0</v>
      </c>
      <c r="BI151" s="182">
        <f>SUM(SUBSTITUTE(AD151,"/s",""),AE151:AI151)</f>
        <v>18</v>
      </c>
      <c r="BJ151" s="182">
        <f>SUM(AM151:AR151)</f>
        <v>18</v>
      </c>
      <c r="BK151" s="182">
        <f>SUM(AV151:BA151)</f>
        <v>18</v>
      </c>
      <c r="BL151" s="183"/>
      <c r="BM151" s="184"/>
      <c r="BN151" s="182" t="s">
        <v>309</v>
      </c>
      <c r="BO151" s="182">
        <f>IF(B151="PE",(BL152),0)+IF(B153="PE",(BL154),0)+IF(B155="PE",(BL156),0)+IF(B157="PE",(BL158),0)+IF(B159="PE",(BL160),0)+IF(B161="PE",(BL162),0)+IF(B163="PE",(BL164),0)+IF(B165="PE",(BL166),0)</f>
        <v>0</v>
      </c>
      <c r="BP151" s="185" t="e">
        <f>(BO151/$BO$89)*100</f>
        <v>#DIV/0!</v>
      </c>
      <c r="BS151" s="181" t="s">
        <v>308</v>
      </c>
      <c r="BT151" s="50" t="str">
        <f>IF($B151="PE",BH151,"")</f>
        <v/>
      </c>
      <c r="BU151" s="186" t="str">
        <f>IF($B151="PE",BI151,"")</f>
        <v/>
      </c>
      <c r="BV151" s="186" t="str">
        <f>IF($B151="PE",BJ151,"")</f>
        <v/>
      </c>
      <c r="BW151" s="186" t="str">
        <f>IF($B151="PE",BK151,"")</f>
        <v/>
      </c>
      <c r="BX151" s="187"/>
    </row>
    <row r="152" spans="1:161" s="34" customFormat="1" ht="34" customHeight="1">
      <c r="A152" s="129"/>
      <c r="B152" s="129"/>
      <c r="C152" s="129"/>
      <c r="D152" s="129"/>
      <c r="E152" s="129"/>
      <c r="F152" s="129"/>
      <c r="G152" s="129"/>
      <c r="H152" s="129"/>
      <c r="J152" s="36"/>
      <c r="K152" s="188"/>
      <c r="L152" s="189"/>
      <c r="M152" s="189"/>
      <c r="N152" s="189"/>
      <c r="O152" s="189"/>
      <c r="P152" s="190"/>
      <c r="Q152" s="191"/>
      <c r="R152" s="192"/>
      <c r="S152" s="193"/>
      <c r="T152" s="111"/>
      <c r="U152" s="176"/>
      <c r="V152" s="176"/>
      <c r="W152" s="176"/>
      <c r="X152" s="176"/>
      <c r="Y152" s="176"/>
      <c r="Z152" s="176"/>
      <c r="AA152" s="178"/>
      <c r="AB152" s="194"/>
      <c r="AC152" s="178"/>
      <c r="AD152" s="178"/>
      <c r="AE152" s="178"/>
      <c r="AF152" s="178"/>
      <c r="AG152" s="178"/>
      <c r="AH152" s="178"/>
      <c r="AI152" s="178"/>
      <c r="AJ152" s="178"/>
      <c r="AK152" s="194"/>
      <c r="AL152" s="178"/>
      <c r="AM152" s="178"/>
      <c r="AN152" s="178"/>
      <c r="AO152" s="178"/>
      <c r="AP152" s="178"/>
      <c r="AQ152" s="178"/>
      <c r="AR152" s="178"/>
      <c r="AS152" s="178"/>
      <c r="AT152" s="194"/>
      <c r="AU152" s="178"/>
      <c r="AV152" s="178"/>
      <c r="AW152" s="178"/>
      <c r="AX152" s="178"/>
      <c r="AY152" s="178"/>
      <c r="AZ152" s="178"/>
      <c r="BA152" s="178"/>
      <c r="BB152" s="180"/>
      <c r="BC152" s="36"/>
      <c r="BG152" s="181" t="s">
        <v>310</v>
      </c>
      <c r="BH152" s="182">
        <f>IFERROR((SUBSTITUTE(U151,"/s","")*U152)+(V151*V152)+(W151*W152)+(X151*X152)+(Y151*Y152)+(Z151*Z152),0)</f>
        <v>0</v>
      </c>
      <c r="BI152" s="182">
        <f>IFERROR((SUBSTITUTE(AD151,"/s","")*AD152)+(AE151*AE152)+(AF151*AF152)+(AG151*AG152)+(AH151*AH152)+(AI151*AI152),0)</f>
        <v>0</v>
      </c>
      <c r="BJ152" s="182">
        <f>IFERROR((AM151*AM152)+(AN151*AN152)+(AO151*AO152)+(AP151*AP152)+(AQ151*AQ152)+(AR151*AR152),"")</f>
        <v>0</v>
      </c>
      <c r="BK152" s="182">
        <f>IFERROR((AV151*AV152)+(AW151*AW152)+(AX151*AX152)+(AY151*AY152)+(AZ151*AZ152)+(BA151*BA152),"")</f>
        <v>0</v>
      </c>
      <c r="BL152" s="195">
        <f>IFERROR(BH152+BI152+BJ152+BK152,NA())</f>
        <v>0</v>
      </c>
      <c r="BM152" s="184"/>
      <c r="BN152" s="182" t="s">
        <v>311</v>
      </c>
      <c r="BO152" s="182">
        <f>IF(B151="DE",(BL152),0)+IF(B153="DE",(BL154),0)+IF(B155="DE",(BL156),0)+IF(B157="DE",(BL158),0)+IF(B159="DE",(BL160),0)+IF(B161="DE",(BL162),0)+IF(B163="DE",(BL164),0)+IF(B165="DE",(BL166),0)</f>
        <v>0</v>
      </c>
      <c r="BP152" s="185" t="e">
        <f>(BO152/$BO$89)*100</f>
        <v>#DIV/0!</v>
      </c>
      <c r="BS152" s="181" t="s">
        <v>310</v>
      </c>
      <c r="BT152" s="50">
        <f>IF($B151="PE",(BH152*$E151*$F151),0)</f>
        <v>0</v>
      </c>
      <c r="BU152" s="186">
        <f>IF($B151="PE",(BI152*$E151*$F151),0)</f>
        <v>0</v>
      </c>
      <c r="BV152" s="186">
        <f>IF($B151="PE",(BJ152*$E151*$F151),0)</f>
        <v>0</v>
      </c>
      <c r="BW152" s="186">
        <f>IF($B151="PE",(BK152*$E151*$F151),0)</f>
        <v>0</v>
      </c>
      <c r="BX152" s="187">
        <f>IFERROR(BT152+BU152+BV152+BW152,NA())</f>
        <v>0</v>
      </c>
    </row>
    <row r="153" spans="1:161" s="34" customFormat="1" ht="34" customHeight="1">
      <c r="A153" s="127" t="s">
        <v>323</v>
      </c>
      <c r="B153" s="127" t="s">
        <v>309</v>
      </c>
      <c r="C153" s="127" t="s">
        <v>368</v>
      </c>
      <c r="D153" s="127" t="str">
        <f>IFERROR(INDEX([2]!Table1RM[#Data],MATCH($M$56,[2]!Table1RM[Athlete],0),MATCH($L153,[2]!Table1RM[#Headers],0)),"")</f>
        <v/>
      </c>
      <c r="E153" s="127" t="e">
        <f>IF($B153="PE",INDEX([2]ExerciseInventory!$J$2:$L$276,MATCH($L153,[2]ExerciseInventory!$J$2:$J$287,0),2),"")</f>
        <v>#N/A</v>
      </c>
      <c r="F153" s="127" t="e">
        <f>IF($B153="PE",INDEX([2]ExerciseInventory!$J$2:$L$276,MATCH($L153,[2]ExerciseInventory!$J$2:$J$287,0),3),"")</f>
        <v>#N/A</v>
      </c>
      <c r="G153" s="127"/>
      <c r="H153" s="127"/>
      <c r="J153" s="36"/>
      <c r="K153" s="170" t="s">
        <v>108</v>
      </c>
      <c r="L153" s="171" t="s">
        <v>369</v>
      </c>
      <c r="M153" s="171"/>
      <c r="N153" s="171"/>
      <c r="O153" s="171"/>
      <c r="P153" s="172"/>
      <c r="Q153" s="173"/>
      <c r="R153" s="174"/>
      <c r="S153" s="175" t="str">
        <f>CLEAN(IFERROR(INDEX(TableSetRepSchemes,MATCH(#REF!,ListSetRepSchemes,0),COLUMNS($R153:S153)),""))</f>
        <v/>
      </c>
      <c r="T153" s="111"/>
      <c r="U153" s="176"/>
      <c r="V153" s="176"/>
      <c r="W153" s="176"/>
      <c r="X153" s="176"/>
      <c r="Y153" s="176"/>
      <c r="Z153" s="176"/>
      <c r="AA153" s="178"/>
      <c r="AB153" s="179" t="str">
        <f>CLEAN(IFERROR(INDEX(TableSetRepSchemes,MATCH('[2]4L-WU1-9P'!$C153,ListSetRepSchemes,0),COLUMNS($R153:AB153)),""))</f>
        <v/>
      </c>
      <c r="AC153" s="178"/>
      <c r="AD153" s="178" t="s">
        <v>263</v>
      </c>
      <c r="AE153" s="178">
        <f>IFERROR(INDEX(TableSetRepSchemes,MATCH('1'!$C153,ListSetRepSchemes,0),COLUMNS($R153:AE153)),"")</f>
        <v>7</v>
      </c>
      <c r="AF153" s="178">
        <f>IFERROR(INDEX(TableSetRepSchemes,MATCH('1'!$C153,ListSetRepSchemes,0),COLUMNS($R153:AF153)),"")</f>
        <v>6</v>
      </c>
      <c r="AG153" s="178">
        <f>IFERROR(INDEX(TableSetRepSchemes,MATCH('1'!$C153,ListSetRepSchemes,0),COLUMNS($R153:AG153)),"")</f>
        <v>0</v>
      </c>
      <c r="AH153" s="178">
        <f>IFERROR(INDEX(TableSetRepSchemes,MATCH('1'!$C153,ListSetRepSchemes,0),COLUMNS($R153:AH153)),"")</f>
        <v>0</v>
      </c>
      <c r="AI153" s="178">
        <f>IFERROR(INDEX(TableSetRepSchemes,MATCH('1'!$C153,ListSetRepSchemes,0),COLUMNS($R153:AI153)),"")</f>
        <v>0</v>
      </c>
      <c r="AJ153" s="178"/>
      <c r="AK153" s="179" t="str">
        <f>CLEAN(IFERROR(INDEX(TableSetRepSchemes,MATCH('1'!$C153,ListSetRepSchemes,0),COLUMNS($R153:AK153)),""))</f>
        <v/>
      </c>
      <c r="AL153" s="178"/>
      <c r="AM153" s="178">
        <f>IFERROR(INDEX(TableSetRepSchemes,MATCH('1'!$C153,ListSetRepSchemes,0),COLUMNS($R153:AM153)),"")</f>
        <v>8</v>
      </c>
      <c r="AN153" s="178">
        <f>IFERROR(INDEX(TableSetRepSchemes,MATCH('1'!$C153,ListSetRepSchemes,0),COLUMNS($R153:AN153)),"")</f>
        <v>7</v>
      </c>
      <c r="AO153" s="178">
        <f>IFERROR(INDEX(TableSetRepSchemes,MATCH('1'!$C153,ListSetRepSchemes,0),COLUMNS($R153:AO153)),"")</f>
        <v>6</v>
      </c>
      <c r="AP153" s="178">
        <f>IFERROR(INDEX(TableSetRepSchemes,MATCH('1'!$C153,ListSetRepSchemes,0),COLUMNS($R153:AP153)),"")</f>
        <v>0</v>
      </c>
      <c r="AQ153" s="178">
        <f>IFERROR(INDEX(TableSetRepSchemes,MATCH('1'!$C153,ListSetRepSchemes,0),COLUMNS($R153:AQ153)),"")</f>
        <v>0</v>
      </c>
      <c r="AR153" s="178">
        <f>IFERROR(INDEX(TableSetRepSchemes,MATCH('1'!$C153,ListSetRepSchemes,0),COLUMNS($R153:AR153)),"")</f>
        <v>0</v>
      </c>
      <c r="AS153" s="178"/>
      <c r="AT153" s="179" t="str">
        <f>CLEAN(IFERROR(INDEX(TableSetRepSchemes,MATCH('1'!$C153,ListSetRepSchemes,0),COLUMNS($R153:AT153)),""))</f>
        <v/>
      </c>
      <c r="AU153" s="178"/>
      <c r="AV153" s="178">
        <f>IFERROR(INDEX(TableSetRepSchemes,MATCH('1'!$C153,ListSetRepSchemes,0),COLUMNS($R153:AV153)),"")</f>
        <v>8</v>
      </c>
      <c r="AW153" s="178">
        <f>IFERROR(INDEX(TableSetRepSchemes,MATCH('1'!$C153,ListSetRepSchemes,0),COLUMNS($R153:AW153)),"")</f>
        <v>7</v>
      </c>
      <c r="AX153" s="178">
        <f>IFERROR(INDEX(TableSetRepSchemes,MATCH('1'!$C153,ListSetRepSchemes,0),COLUMNS($R153:AX153)),"")</f>
        <v>6</v>
      </c>
      <c r="AY153" s="178">
        <f>IFERROR(INDEX(TableSetRepSchemes,MATCH('1'!$C153,ListSetRepSchemes,0),COLUMNS($R153:AY153)),"")</f>
        <v>0</v>
      </c>
      <c r="AZ153" s="178">
        <f>IFERROR(INDEX(TableSetRepSchemes,MATCH('1'!$C153,ListSetRepSchemes,0),COLUMNS($R153:AZ153)),"")</f>
        <v>0</v>
      </c>
      <c r="BA153" s="178">
        <f>IFERROR(INDEX(TableSetRepSchemes,MATCH('1'!$C153,ListSetRepSchemes,0),COLUMNS($R153:BA153)),"")</f>
        <v>0</v>
      </c>
      <c r="BB153" s="180"/>
      <c r="BC153" s="36"/>
      <c r="BG153" s="181" t="s">
        <v>308</v>
      </c>
      <c r="BH153" s="182">
        <f>IFERROR(SUM(SUBSTITUTE(U153,"/s",""),V153:Z153),0)</f>
        <v>0</v>
      </c>
      <c r="BI153" s="182">
        <f>SUM(SUBSTITUTE(AD153,"/s",""),AE153:AI153)</f>
        <v>21</v>
      </c>
      <c r="BJ153" s="182">
        <f>SUM(AM153:AR153)</f>
        <v>21</v>
      </c>
      <c r="BK153" s="182">
        <f>SUM(AV153:BA153)</f>
        <v>21</v>
      </c>
      <c r="BL153" s="195"/>
      <c r="BM153" s="184"/>
      <c r="BN153" s="182" t="s">
        <v>317</v>
      </c>
      <c r="BO153" s="182">
        <f>IF(B151="ME",(BL152),0)+IF(B153="ME",(BL154),0)+IF(B155="ME",(BL156),0)+IF(B157="ME",(BL158),0)+IF(B159="ME",(BL160),0)+IF(B161="ME",(BL162),0)+IF(B163="ME",(BL164),0)+IF(B165="ME",(BL166),0)</f>
        <v>0</v>
      </c>
      <c r="BP153" s="185" t="e">
        <f>(BO153/$BO$89)*100</f>
        <v>#DIV/0!</v>
      </c>
      <c r="BS153" s="181" t="s">
        <v>308</v>
      </c>
      <c r="BT153" s="50">
        <f>IF($B153="PE",BH153,"")</f>
        <v>0</v>
      </c>
      <c r="BU153" s="186">
        <f>IF($B153="PE",BI153,"")</f>
        <v>21</v>
      </c>
      <c r="BV153" s="186">
        <f>IF($B153="PE",BJ153,"")</f>
        <v>21</v>
      </c>
      <c r="BW153" s="186">
        <f>IF($B153="PE",BK153,"")</f>
        <v>21</v>
      </c>
      <c r="BX153" s="187">
        <f t="shared" ref="BX153:BX166" si="6">IFERROR(BT153+BU153+BV153+BW153,NA())</f>
        <v>63</v>
      </c>
    </row>
    <row r="154" spans="1:161" s="34" customFormat="1" ht="34" customHeight="1">
      <c r="A154" s="129"/>
      <c r="B154" s="129"/>
      <c r="C154" s="129"/>
      <c r="D154" s="129"/>
      <c r="E154" s="129"/>
      <c r="F154" s="129"/>
      <c r="G154" s="129"/>
      <c r="H154" s="129"/>
      <c r="J154" s="36"/>
      <c r="K154" s="188"/>
      <c r="L154" s="189"/>
      <c r="M154" s="189"/>
      <c r="N154" s="189"/>
      <c r="O154" s="189"/>
      <c r="P154" s="190"/>
      <c r="Q154" s="191"/>
      <c r="R154" s="192"/>
      <c r="S154" s="193"/>
      <c r="T154" s="111"/>
      <c r="U154" s="176"/>
      <c r="V154" s="176"/>
      <c r="W154" s="176"/>
      <c r="X154" s="176"/>
      <c r="Y154" s="176"/>
      <c r="Z154" s="176"/>
      <c r="AA154" s="178"/>
      <c r="AB154" s="194"/>
      <c r="AC154" s="178"/>
      <c r="AD154" s="178"/>
      <c r="AE154" s="178"/>
      <c r="AF154" s="178"/>
      <c r="AG154" s="178"/>
      <c r="AH154" s="178"/>
      <c r="AI154" s="178"/>
      <c r="AJ154" s="178"/>
      <c r="AK154" s="194"/>
      <c r="AL154" s="178"/>
      <c r="AM154" s="178"/>
      <c r="AN154" s="178"/>
      <c r="AO154" s="178"/>
      <c r="AP154" s="178"/>
      <c r="AQ154" s="178"/>
      <c r="AR154" s="178"/>
      <c r="AS154" s="178"/>
      <c r="AT154" s="194"/>
      <c r="AU154" s="178"/>
      <c r="AV154" s="178"/>
      <c r="AW154" s="178"/>
      <c r="AX154" s="178"/>
      <c r="AY154" s="178"/>
      <c r="AZ154" s="178"/>
      <c r="BA154" s="178"/>
      <c r="BB154" s="180"/>
      <c r="BC154" s="36"/>
      <c r="BG154" s="181" t="s">
        <v>310</v>
      </c>
      <c r="BH154" s="182">
        <f>IFERROR((SUBSTITUTE(U153,"/s","")*U154)+(V153*V154)+(W153*W154)+(X153*X154)+(Y153*Y154)+(Z153*Z154),0)</f>
        <v>0</v>
      </c>
      <c r="BI154" s="182">
        <f>IFERROR((SUBSTITUTE(AD153,"/s","")*AD154)+(AE153*AE154)+(AF153*AF154)+(AG153*AG154)+(AH153*AH154)+(AI153*AI154),0)</f>
        <v>0</v>
      </c>
      <c r="BJ154" s="182">
        <f>IFERROR((AM153*AM154)+(AN153*AN154)+(AO153*AO154)+(AP153*AP154)+(AQ153*AQ154)+(AR153*AR154),"")</f>
        <v>0</v>
      </c>
      <c r="BK154" s="182">
        <f>IFERROR((AV153*AV154)+(AW153*AW154)+(AX153*AX154)+(AY153*AY154)+(AZ153*AZ154)+(BA153*BA154),"")</f>
        <v>0</v>
      </c>
      <c r="BL154" s="195">
        <f>IFERROR(BH154+BI154+BJ154+BK154,NA())</f>
        <v>0</v>
      </c>
      <c r="BM154" s="184"/>
      <c r="BN154" s="182" t="s">
        <v>244</v>
      </c>
      <c r="BO154" s="182">
        <f>IF(B151="RE",(BL152),0)+IF(B153="RE",(BL154),0)+IF(B155="RE",(BL156),0)+IF(B157="RE",(BL158),0)+IF(B159="RE",(BL160),0)+IF(B161="RE",(BL162),0)+IF(B163="RE",(BL164),0)+IF(B165="RE",(BL166),0)</f>
        <v>0</v>
      </c>
      <c r="BP154" s="185" t="e">
        <f>(BO154/$BO$89)*100</f>
        <v>#DIV/0!</v>
      </c>
      <c r="BS154" s="181" t="s">
        <v>310</v>
      </c>
      <c r="BT154" s="50" t="e">
        <f>IF($B153="PE",(BH154*$E153*$F153),0)</f>
        <v>#N/A</v>
      </c>
      <c r="BU154" s="186" t="e">
        <f>IF($B153="PE",(BI154*$E153*$F153),0)</f>
        <v>#N/A</v>
      </c>
      <c r="BV154" s="186" t="e">
        <f>IF($B153="PE",(BJ154*$E153*$F153),0)</f>
        <v>#N/A</v>
      </c>
      <c r="BW154" s="186" t="e">
        <f>IF($B153="PE",(BK154*$E153*$F153),0)</f>
        <v>#N/A</v>
      </c>
      <c r="BX154" s="187" t="e">
        <f t="shared" si="6"/>
        <v>#N/A</v>
      </c>
    </row>
    <row r="155" spans="1:161" s="34" customFormat="1" ht="34" customHeight="1">
      <c r="A155" s="127" t="s">
        <v>362</v>
      </c>
      <c r="B155" s="127" t="s">
        <v>317</v>
      </c>
      <c r="C155" s="127" t="s">
        <v>370</v>
      </c>
      <c r="D155" s="127" t="str">
        <f>IFERROR(INDEX([2]!Table1RM[#Data],MATCH($M$56,[2]!Table1RM[Athlete],0),MATCH($L155,[2]!Table1RM[#Headers],0)),"")</f>
        <v/>
      </c>
      <c r="E155" s="127" t="str">
        <f>IF($B155="PE",INDEX([2]ExerciseInventory!$J$2:$L$276,MATCH($L155,[2]ExerciseInventory!$J$2:$J$287,0),2),"")</f>
        <v/>
      </c>
      <c r="F155" s="127" t="str">
        <f>IF($B155="PE",INDEX([2]ExerciseInventory!$J$2:$L$276,MATCH($L155,[2]ExerciseInventory!$J$2:$J$287,0),3),"")</f>
        <v/>
      </c>
      <c r="G155" s="127"/>
      <c r="H155" s="127"/>
      <c r="J155" s="36"/>
      <c r="K155" s="170" t="s">
        <v>109</v>
      </c>
      <c r="L155" s="171" t="s">
        <v>371</v>
      </c>
      <c r="M155" s="171"/>
      <c r="N155" s="171"/>
      <c r="O155" s="171"/>
      <c r="P155" s="172"/>
      <c r="Q155" s="173"/>
      <c r="R155" s="174"/>
      <c r="S155" s="175" t="str">
        <f>CLEAN(IFERROR(INDEX(TableSetRepSchemes,MATCH(#REF!,ListSetRepSchemes,0),COLUMNS($R155:S155)),""))</f>
        <v/>
      </c>
      <c r="T155" s="111"/>
      <c r="U155" s="176"/>
      <c r="V155" s="176"/>
      <c r="W155" s="176"/>
      <c r="X155" s="176"/>
      <c r="Y155" s="176"/>
      <c r="Z155" s="176"/>
      <c r="AA155" s="178"/>
      <c r="AB155" s="179" t="str">
        <f>CLEAN(IFERROR(INDEX(TableSetRepSchemes,MATCH('[2]4L-WU1-9P'!$C155,ListSetRepSchemes,0),COLUMNS($R155:AB155)),""))</f>
        <v/>
      </c>
      <c r="AC155" s="178"/>
      <c r="AD155" s="178">
        <f>IFERROR(INDEX(TableSetRepSchemes,MATCH('1'!$C155,ListSetRepSchemes,0),COLUMNS($R155:AD155)),"")</f>
        <v>10</v>
      </c>
      <c r="AE155" s="178">
        <f>IFERROR(INDEX(TableSetRepSchemes,MATCH('1'!$C155,ListSetRepSchemes,0),COLUMNS($R155:AE155)),"")</f>
        <v>10</v>
      </c>
      <c r="AF155" s="178">
        <f>IFERROR(INDEX(TableSetRepSchemes,MATCH('1'!$C155,ListSetRepSchemes,0),COLUMNS($R155:AF155)),"")</f>
        <v>10</v>
      </c>
      <c r="AG155" s="178">
        <f>IFERROR(INDEX(TableSetRepSchemes,MATCH('1'!$C155,ListSetRepSchemes,0),COLUMNS($R155:AG155)),"")</f>
        <v>0</v>
      </c>
      <c r="AH155" s="178">
        <f>IFERROR(INDEX(TableSetRepSchemes,MATCH('1'!$C155,ListSetRepSchemes,0),COLUMNS($R155:AH155)),"")</f>
        <v>0</v>
      </c>
      <c r="AI155" s="178">
        <f>IFERROR(INDEX(TableSetRepSchemes,MATCH('1'!$C155,ListSetRepSchemes,0),COLUMNS($R155:AI155)),"")</f>
        <v>0</v>
      </c>
      <c r="AJ155" s="178"/>
      <c r="AK155" s="179" t="str">
        <f>CLEAN(IFERROR(INDEX(TableSetRepSchemes,MATCH('1'!$C155,ListSetRepSchemes,0),COLUMNS($R155:AK155)),""))</f>
        <v/>
      </c>
      <c r="AL155" s="178"/>
      <c r="AM155" s="178">
        <f>IFERROR(INDEX(TableSetRepSchemes,MATCH('1'!$C155,ListSetRepSchemes,0),COLUMNS($R155:AM155)),"")</f>
        <v>10</v>
      </c>
      <c r="AN155" s="178">
        <f>IFERROR(INDEX(TableSetRepSchemes,MATCH('1'!$C155,ListSetRepSchemes,0),COLUMNS($R155:AN155)),"")</f>
        <v>10</v>
      </c>
      <c r="AO155" s="178">
        <f>IFERROR(INDEX(TableSetRepSchemes,MATCH('1'!$C155,ListSetRepSchemes,0),COLUMNS($R155:AO155)),"")</f>
        <v>10</v>
      </c>
      <c r="AP155" s="178">
        <f>IFERROR(INDEX(TableSetRepSchemes,MATCH('1'!$C155,ListSetRepSchemes,0),COLUMNS($R155:AP155)),"")</f>
        <v>0</v>
      </c>
      <c r="AQ155" s="178">
        <f>IFERROR(INDEX(TableSetRepSchemes,MATCH('1'!$C155,ListSetRepSchemes,0),COLUMNS($R155:AQ155)),"")</f>
        <v>0</v>
      </c>
      <c r="AR155" s="178">
        <f>IFERROR(INDEX(TableSetRepSchemes,MATCH('1'!$C155,ListSetRepSchemes,0),COLUMNS($R155:AR155)),"")</f>
        <v>0</v>
      </c>
      <c r="AS155" s="178"/>
      <c r="AT155" s="179" t="str">
        <f>CLEAN(IFERROR(INDEX(TableSetRepSchemes,MATCH('1'!$C155,ListSetRepSchemes,0),COLUMNS($R155:AT155)),""))</f>
        <v/>
      </c>
      <c r="AU155" s="178"/>
      <c r="AV155" s="178">
        <f>IFERROR(INDEX(TableSetRepSchemes,MATCH('1'!$C155,ListSetRepSchemes,0),COLUMNS($R155:AV155)),"")</f>
        <v>10</v>
      </c>
      <c r="AW155" s="178">
        <f>IFERROR(INDEX(TableSetRepSchemes,MATCH('1'!$C155,ListSetRepSchemes,0),COLUMNS($R155:AW155)),"")</f>
        <v>10</v>
      </c>
      <c r="AX155" s="178">
        <f>IFERROR(INDEX(TableSetRepSchemes,MATCH('1'!$C155,ListSetRepSchemes,0),COLUMNS($R155:AX155)),"")</f>
        <v>10</v>
      </c>
      <c r="AY155" s="178">
        <f>IFERROR(INDEX(TableSetRepSchemes,MATCH('1'!$C155,ListSetRepSchemes,0),COLUMNS($R155:AY155)),"")</f>
        <v>0</v>
      </c>
      <c r="AZ155" s="178">
        <f>IFERROR(INDEX(TableSetRepSchemes,MATCH('1'!$C155,ListSetRepSchemes,0),COLUMNS($R155:AZ155)),"")</f>
        <v>0</v>
      </c>
      <c r="BA155" s="178">
        <f>IFERROR(INDEX(TableSetRepSchemes,MATCH('1'!$C155,ListSetRepSchemes,0),COLUMNS($R155:BA155)),"")</f>
        <v>0</v>
      </c>
      <c r="BB155" s="180"/>
      <c r="BC155" s="36"/>
      <c r="BG155" s="181" t="s">
        <v>308</v>
      </c>
      <c r="BH155" s="182">
        <f>IFERROR(SUM(SUBSTITUTE(U155,"/s",""),V155:Z155),0)</f>
        <v>0</v>
      </c>
      <c r="BI155" s="182">
        <f>SUM(SUBSTITUTE(AD155,"/s",""),AE155:AI155)</f>
        <v>30</v>
      </c>
      <c r="BJ155" s="182">
        <f>SUM(AM155:AR155)</f>
        <v>30</v>
      </c>
      <c r="BK155" s="182">
        <f>SUM(AV155:BA155)</f>
        <v>30</v>
      </c>
      <c r="BL155" s="195"/>
      <c r="BM155" s="184"/>
      <c r="BN155" s="182" t="s">
        <v>321</v>
      </c>
      <c r="BO155" s="182">
        <f>SUM(BO151:BO154)</f>
        <v>0</v>
      </c>
      <c r="BP155" s="182"/>
      <c r="BS155" s="181" t="s">
        <v>308</v>
      </c>
      <c r="BT155" s="50" t="str">
        <f>IF($B155="PE",BH155,"")</f>
        <v/>
      </c>
      <c r="BU155" s="186" t="str">
        <f>IF($B155="PE",BI155,"")</f>
        <v/>
      </c>
      <c r="BV155" s="186" t="str">
        <f>IF($B155="PE",BJ155,"")</f>
        <v/>
      </c>
      <c r="BW155" s="186" t="str">
        <f>IF($B155="PE",BK155,"")</f>
        <v/>
      </c>
      <c r="BX155" s="187" t="e">
        <f t="shared" si="6"/>
        <v>#N/A</v>
      </c>
    </row>
    <row r="156" spans="1:161" s="34" customFormat="1" ht="34" customHeight="1">
      <c r="A156" s="129"/>
      <c r="B156" s="129"/>
      <c r="C156" s="129"/>
      <c r="D156" s="129"/>
      <c r="E156" s="129"/>
      <c r="F156" s="129"/>
      <c r="G156" s="129"/>
      <c r="H156" s="129"/>
      <c r="J156" s="36"/>
      <c r="K156" s="188"/>
      <c r="L156" s="189"/>
      <c r="M156" s="189"/>
      <c r="N156" s="189"/>
      <c r="O156" s="189"/>
      <c r="P156" s="190"/>
      <c r="Q156" s="191"/>
      <c r="R156" s="192"/>
      <c r="S156" s="193"/>
      <c r="T156" s="111"/>
      <c r="U156" s="176"/>
      <c r="V156" s="176"/>
      <c r="W156" s="176"/>
      <c r="X156" s="176"/>
      <c r="Y156" s="176"/>
      <c r="Z156" s="176"/>
      <c r="AA156" s="178"/>
      <c r="AB156" s="194"/>
      <c r="AC156" s="178"/>
      <c r="AD156" s="178"/>
      <c r="AE156" s="178"/>
      <c r="AF156" s="178"/>
      <c r="AG156" s="178"/>
      <c r="AH156" s="178"/>
      <c r="AI156" s="178"/>
      <c r="AJ156" s="178"/>
      <c r="AK156" s="194"/>
      <c r="AL156" s="178"/>
      <c r="AM156" s="178"/>
      <c r="AN156" s="178"/>
      <c r="AO156" s="178"/>
      <c r="AP156" s="178"/>
      <c r="AQ156" s="178"/>
      <c r="AR156" s="178"/>
      <c r="AS156" s="178"/>
      <c r="AT156" s="194"/>
      <c r="AU156" s="178"/>
      <c r="AV156" s="178"/>
      <c r="AW156" s="178"/>
      <c r="AX156" s="178"/>
      <c r="AY156" s="178"/>
      <c r="AZ156" s="178"/>
      <c r="BA156" s="178"/>
      <c r="BB156" s="180"/>
      <c r="BC156" s="36"/>
      <c r="BG156" s="181" t="s">
        <v>310</v>
      </c>
      <c r="BH156" s="182">
        <f>IFERROR((SUBSTITUTE(U155,"/s","")*U156)+(V155*V156)+(W155*W156)+(X155*X156)+(Y155*Y156)+(Z155*Z156),0)</f>
        <v>0</v>
      </c>
      <c r="BI156" s="182">
        <f>IFERROR((SUBSTITUTE(AD155,"/s","")*AD156)+(AE155*AE156)+(AF155*AF156)+(AG155*AG156)+(AH155*AH156)+(AI155*AI156),0)</f>
        <v>0</v>
      </c>
      <c r="BJ156" s="182">
        <f>IFERROR((AM155*AM156)+(AN155*AN156)+(AO155*AO156)+(AP155*AP156)+(AQ155*AQ156)+(AR155*AR156),"")</f>
        <v>0</v>
      </c>
      <c r="BK156" s="182">
        <f>IFERROR((AV155*AV156)+(AW155*AW156)+(AX155*AX156)+(AY155*AY156)+(AZ155*AZ156)+(BA155*BA156),"")</f>
        <v>0</v>
      </c>
      <c r="BL156" s="195">
        <f>IFERROR(BH156+BI156+BJ156+BK156,NA())</f>
        <v>0</v>
      </c>
      <c r="BM156" s="184"/>
      <c r="BN156" s="184"/>
      <c r="BO156" s="184"/>
      <c r="BP156" s="184"/>
      <c r="BS156" s="181" t="s">
        <v>310</v>
      </c>
      <c r="BT156" s="50">
        <f>IF($B155="PE",(BH156*$E155*$F155),0)</f>
        <v>0</v>
      </c>
      <c r="BU156" s="186">
        <f>IF($B155="PE",(BI156*$E155*$F155),0)</f>
        <v>0</v>
      </c>
      <c r="BV156" s="186">
        <f>IF($B155="PE",(BJ156*$E155*$F155),0)</f>
        <v>0</v>
      </c>
      <c r="BW156" s="186">
        <f>IF($B155="PE",(BK156*$E155*$F155),0)</f>
        <v>0</v>
      </c>
      <c r="BX156" s="187">
        <f t="shared" si="6"/>
        <v>0</v>
      </c>
    </row>
    <row r="157" spans="1:161" s="34" customFormat="1" ht="34" customHeight="1">
      <c r="A157" s="127"/>
      <c r="B157" s="127"/>
      <c r="C157" s="127" t="s">
        <v>245</v>
      </c>
      <c r="D157" s="127" t="str">
        <f>IFERROR(INDEX([2]!Table1RM[#Data],MATCH($M$56,[2]!Table1RM[Athlete],0),MATCH($L157,[2]!Table1RM[#Headers],0)),"")</f>
        <v/>
      </c>
      <c r="E157" s="127" t="str">
        <f>IF($B157="PE",INDEX([2]ExerciseInventory!$J$2:$L$276,MATCH($L157,[2]ExerciseInventory!$J$2:$J$287,0),2),"")</f>
        <v/>
      </c>
      <c r="F157" s="127" t="str">
        <f>IF($B157="PE",INDEX([2]ExerciseInventory!$J$2:$L$276,MATCH($L157,[2]ExerciseInventory!$J$2:$J$287,0),3),"")</f>
        <v/>
      </c>
      <c r="G157" s="127"/>
      <c r="H157" s="127"/>
      <c r="J157" s="36"/>
      <c r="K157" s="170"/>
      <c r="L157" s="171"/>
      <c r="M157" s="171"/>
      <c r="N157" s="171"/>
      <c r="O157" s="171"/>
      <c r="P157" s="172"/>
      <c r="Q157" s="173"/>
      <c r="R157" s="174"/>
      <c r="S157" s="175" t="str">
        <f>CLEAN(IFERROR(INDEX(TableSetRepSchemes,MATCH(#REF!,ListSetRepSchemes,0),COLUMNS($R157:S157)),""))</f>
        <v/>
      </c>
      <c r="T157" s="111"/>
      <c r="U157" s="176"/>
      <c r="V157" s="176"/>
      <c r="W157" s="176"/>
      <c r="X157" s="176"/>
      <c r="Y157" s="176"/>
      <c r="Z157" s="176"/>
      <c r="AA157" s="178"/>
      <c r="AB157" s="179" t="str">
        <f>CLEAN(IFERROR(INDEX(TableSetRepSchemes,MATCH('[2]4L-WU1-9P'!$C157,ListSetRepSchemes,0),COLUMNS($R157:AB157)),""))</f>
        <v/>
      </c>
      <c r="AC157" s="178"/>
      <c r="AD157" s="178">
        <f>IFERROR(INDEX(TableSetRepSchemes,MATCH('1'!$C157,ListSetRepSchemes,0),COLUMNS($R157:AD157)),"")</f>
        <v>0</v>
      </c>
      <c r="AE157" s="178">
        <f>IFERROR(INDEX(TableSetRepSchemes,MATCH('1'!$C157,ListSetRepSchemes,0),COLUMNS($R157:AE157)),"")</f>
        <v>0</v>
      </c>
      <c r="AF157" s="178">
        <f>IFERROR(INDEX(TableSetRepSchemes,MATCH('1'!$C157,ListSetRepSchemes,0),COLUMNS($R157:AF157)),"")</f>
        <v>0</v>
      </c>
      <c r="AG157" s="178">
        <f>IFERROR(INDEX(TableSetRepSchemes,MATCH('1'!$C157,ListSetRepSchemes,0),COLUMNS($R157:AG157)),"")</f>
        <v>0</v>
      </c>
      <c r="AH157" s="178">
        <f>IFERROR(INDEX(TableSetRepSchemes,MATCH('1'!$C157,ListSetRepSchemes,0),COLUMNS($R157:AH157)),"")</f>
        <v>0</v>
      </c>
      <c r="AI157" s="178">
        <f>IFERROR(INDEX(TableSetRepSchemes,MATCH('1'!$C157,ListSetRepSchemes,0),COLUMNS($R157:AI157)),"")</f>
        <v>0</v>
      </c>
      <c r="AJ157" s="178"/>
      <c r="AK157" s="179" t="str">
        <f>CLEAN(IFERROR(INDEX(TableSetRepSchemes,MATCH('1'!$C157,ListSetRepSchemes,0),COLUMNS($R157:AK157)),""))</f>
        <v/>
      </c>
      <c r="AL157" s="178"/>
      <c r="AM157" s="178">
        <f>IFERROR(INDEX(TableSetRepSchemes,MATCH('1'!$C157,ListSetRepSchemes,0),COLUMNS($R157:AM157)),"")</f>
        <v>0</v>
      </c>
      <c r="AN157" s="178">
        <f>IFERROR(INDEX(TableSetRepSchemes,MATCH('1'!$C157,ListSetRepSchemes,0),COLUMNS($R157:AN157)),"")</f>
        <v>0</v>
      </c>
      <c r="AO157" s="178">
        <f>IFERROR(INDEX(TableSetRepSchemes,MATCH('1'!$C157,ListSetRepSchemes,0),COLUMNS($R157:AO157)),"")</f>
        <v>0</v>
      </c>
      <c r="AP157" s="178">
        <f>IFERROR(INDEX(TableSetRepSchemes,MATCH('1'!$C157,ListSetRepSchemes,0),COLUMNS($R157:AP157)),"")</f>
        <v>0</v>
      </c>
      <c r="AQ157" s="178">
        <f>IFERROR(INDEX(TableSetRepSchemes,MATCH('1'!$C157,ListSetRepSchemes,0),COLUMNS($R157:AQ157)),"")</f>
        <v>0</v>
      </c>
      <c r="AR157" s="178">
        <f>IFERROR(INDEX(TableSetRepSchemes,MATCH('1'!$C157,ListSetRepSchemes,0),COLUMNS($R157:AR157)),"")</f>
        <v>0</v>
      </c>
      <c r="AS157" s="178"/>
      <c r="AT157" s="179" t="str">
        <f>CLEAN(IFERROR(INDEX(TableSetRepSchemes,MATCH('1'!$C157,ListSetRepSchemes,0),COLUMNS($R157:AT157)),""))</f>
        <v/>
      </c>
      <c r="AU157" s="178"/>
      <c r="AV157" s="178">
        <f>IFERROR(INDEX(TableSetRepSchemes,MATCH('1'!$C157,ListSetRepSchemes,0),COLUMNS($R157:AV157)),"")</f>
        <v>0</v>
      </c>
      <c r="AW157" s="178">
        <f>IFERROR(INDEX(TableSetRepSchemes,MATCH('1'!$C157,ListSetRepSchemes,0),COLUMNS($R157:AW157)),"")</f>
        <v>0</v>
      </c>
      <c r="AX157" s="178">
        <f>IFERROR(INDEX(TableSetRepSchemes,MATCH('1'!$C157,ListSetRepSchemes,0),COLUMNS($R157:AX157)),"")</f>
        <v>0</v>
      </c>
      <c r="AY157" s="178">
        <f>IFERROR(INDEX(TableSetRepSchemes,MATCH('1'!$C157,ListSetRepSchemes,0),COLUMNS($R157:AY157)),"")</f>
        <v>0</v>
      </c>
      <c r="AZ157" s="178">
        <f>IFERROR(INDEX(TableSetRepSchemes,MATCH('1'!$C157,ListSetRepSchemes,0),COLUMNS($R157:AZ157)),"")</f>
        <v>0</v>
      </c>
      <c r="BA157" s="178">
        <f>IFERROR(INDEX(TableSetRepSchemes,MATCH('1'!$C157,ListSetRepSchemes,0),COLUMNS($R157:BA157)),"")</f>
        <v>0</v>
      </c>
      <c r="BB157" s="180"/>
      <c r="BC157" s="36"/>
      <c r="BG157" s="181" t="s">
        <v>308</v>
      </c>
      <c r="BH157" s="182">
        <f>IFERROR(SUM(SUBSTITUTE(U157,"/s",""),V157:Z157),0)</f>
        <v>0</v>
      </c>
      <c r="BI157" s="182">
        <f>SUM(SUBSTITUTE(AD157,"/s",""),AE157:AI157)</f>
        <v>0</v>
      </c>
      <c r="BJ157" s="182">
        <f>SUM(AM157:AR157)</f>
        <v>0</v>
      </c>
      <c r="BK157" s="182">
        <f>SUM(AV157:BA157)</f>
        <v>0</v>
      </c>
      <c r="BL157" s="195"/>
      <c r="BM157" s="184"/>
      <c r="BN157" s="184"/>
      <c r="BO157" s="184"/>
      <c r="BP157" s="184"/>
      <c r="BS157" s="181" t="s">
        <v>308</v>
      </c>
      <c r="BT157" s="50" t="str">
        <f>IF($B157="PE",BH157,"")</f>
        <v/>
      </c>
      <c r="BU157" s="186" t="str">
        <f>IF($B157="PE",BI157,"")</f>
        <v/>
      </c>
      <c r="BV157" s="186" t="str">
        <f>IF($B157="PE",BJ157,"")</f>
        <v/>
      </c>
      <c r="BW157" s="186" t="str">
        <f>IF($B157="PE",BK157,"")</f>
        <v/>
      </c>
      <c r="BX157" s="187" t="e">
        <f t="shared" si="6"/>
        <v>#N/A</v>
      </c>
    </row>
    <row r="158" spans="1:161" s="34" customFormat="1" ht="34" customHeight="1">
      <c r="A158" s="129"/>
      <c r="B158" s="129"/>
      <c r="C158" s="129"/>
      <c r="D158" s="129"/>
      <c r="E158" s="129"/>
      <c r="F158" s="129"/>
      <c r="G158" s="129"/>
      <c r="H158" s="129"/>
      <c r="J158" s="36"/>
      <c r="K158" s="188"/>
      <c r="L158" s="189"/>
      <c r="M158" s="189"/>
      <c r="N158" s="189"/>
      <c r="O158" s="189"/>
      <c r="P158" s="190"/>
      <c r="Q158" s="191"/>
      <c r="R158" s="192"/>
      <c r="S158" s="193"/>
      <c r="T158" s="111"/>
      <c r="U158" s="176"/>
      <c r="V158" s="176"/>
      <c r="W158" s="176"/>
      <c r="X158" s="176"/>
      <c r="Y158" s="176"/>
      <c r="Z158" s="176"/>
      <c r="AA158" s="178"/>
      <c r="AB158" s="194"/>
      <c r="AC158" s="178"/>
      <c r="AD158" s="178"/>
      <c r="AE158" s="178"/>
      <c r="AF158" s="178"/>
      <c r="AG158" s="178"/>
      <c r="AH158" s="178"/>
      <c r="AI158" s="178"/>
      <c r="AJ158" s="178"/>
      <c r="AK158" s="194"/>
      <c r="AL158" s="178"/>
      <c r="AM158" s="178"/>
      <c r="AN158" s="178"/>
      <c r="AO158" s="178"/>
      <c r="AP158" s="178"/>
      <c r="AQ158" s="178"/>
      <c r="AR158" s="178"/>
      <c r="AS158" s="178"/>
      <c r="AT158" s="194"/>
      <c r="AU158" s="178"/>
      <c r="AV158" s="178"/>
      <c r="AW158" s="178"/>
      <c r="AX158" s="178"/>
      <c r="AY158" s="178"/>
      <c r="AZ158" s="178"/>
      <c r="BA158" s="178"/>
      <c r="BB158" s="180"/>
      <c r="BC158" s="36"/>
      <c r="BG158" s="181" t="s">
        <v>310</v>
      </c>
      <c r="BH158" s="182">
        <f>IFERROR((SUBSTITUTE(U157,"/s","")*U158)+(V157*V158)+(W157*W158)+(X157*X158)+(Y157*Y158)+(Z157*Z158),0)</f>
        <v>0</v>
      </c>
      <c r="BI158" s="182">
        <f>IFERROR((SUBSTITUTE(AD157,"/s","")*AD158)+(AE157*AE158)+(AF157*AF158)+(AG157*AG158)+(AH157*AH158)+(AI157*AI158),0)</f>
        <v>0</v>
      </c>
      <c r="BJ158" s="182">
        <f>IFERROR((AM157*AM158)+(AN157*AN158)+(AO157*AO158)+(AP157*AP158)+(AQ157*AQ158)+(AR157*AR158),"")</f>
        <v>0</v>
      </c>
      <c r="BK158" s="182">
        <f>IFERROR((AV157*AV158)+(AW157*AW158)+(AX157*AX158)+(AY157*AY158)+(AZ157*AZ158)+(BA157*BA158),"")</f>
        <v>0</v>
      </c>
      <c r="BL158" s="195">
        <f>IFERROR(BH158+BI158+BJ158+BK158,NA())</f>
        <v>0</v>
      </c>
      <c r="BM158" s="184"/>
      <c r="BN158" s="184"/>
      <c r="BO158" s="184"/>
      <c r="BP158" s="184"/>
      <c r="BS158" s="181" t="s">
        <v>310</v>
      </c>
      <c r="BT158" s="50">
        <f>IF($B157="PE",(BH158*$E157*$F157),0)</f>
        <v>0</v>
      </c>
      <c r="BU158" s="186">
        <f>IF($B157="PE",(BI158*$E157*$F157),0)</f>
        <v>0</v>
      </c>
      <c r="BV158" s="186">
        <f>IF($B157="PE",(BJ158*$E157*$F157),0)</f>
        <v>0</v>
      </c>
      <c r="BW158" s="186">
        <f>IF($B157="PE",(BK158*$E157*$F157),0)</f>
        <v>0</v>
      </c>
      <c r="BX158" s="187">
        <f t="shared" si="6"/>
        <v>0</v>
      </c>
    </row>
    <row r="159" spans="1:161" s="34" customFormat="1" ht="34" customHeight="1">
      <c r="A159" s="127" t="s">
        <v>323</v>
      </c>
      <c r="B159" s="127" t="s">
        <v>244</v>
      </c>
      <c r="C159" s="127" t="s">
        <v>370</v>
      </c>
      <c r="D159" s="127" t="str">
        <f>IFERROR(INDEX([2]!Table1RM[#Data],MATCH($M$56,[2]!Table1RM[Athlete],0),MATCH($L159,[2]!Table1RM[#Headers],0)),"")</f>
        <v/>
      </c>
      <c r="E159" s="127" t="str">
        <f>IF($B159="PE",INDEX([2]ExerciseInventory!$J$2:$L$276,MATCH($L159,[2]ExerciseInventory!$J$2:$J$287,0),2),"")</f>
        <v/>
      </c>
      <c r="F159" s="127" t="str">
        <f>IF($B159="PE",INDEX([2]ExerciseInventory!$J$2:$L$276,MATCH($L159,[2]ExerciseInventory!$J$2:$J$287,0),3),"")</f>
        <v/>
      </c>
      <c r="G159" s="127"/>
      <c r="H159" s="127"/>
      <c r="J159" s="36"/>
      <c r="K159" s="170" t="s">
        <v>110</v>
      </c>
      <c r="L159" s="171" t="s">
        <v>372</v>
      </c>
      <c r="M159" s="171"/>
      <c r="N159" s="171"/>
      <c r="O159" s="171"/>
      <c r="P159" s="172"/>
      <c r="Q159" s="173"/>
      <c r="R159" s="174"/>
      <c r="S159" s="175" t="str">
        <f>CLEAN(IFERROR(INDEX(TableSetRepSchemes,MATCH(#REF!,ListSetRepSchemes,0),COLUMNS($R159:S159)),""))</f>
        <v/>
      </c>
      <c r="T159" s="111"/>
      <c r="U159" s="176"/>
      <c r="V159" s="176"/>
      <c r="W159" s="176"/>
      <c r="X159" s="176"/>
      <c r="Y159" s="176"/>
      <c r="Z159" s="176"/>
      <c r="AA159" s="178"/>
      <c r="AB159" s="179" t="str">
        <f>CLEAN(IFERROR(INDEX(TableSetRepSchemes,MATCH('[2]4L-WU1-9P'!$C159,ListSetRepSchemes,0),COLUMNS($R159:AB159)),""))</f>
        <v/>
      </c>
      <c r="AC159" s="178"/>
      <c r="AD159" s="178">
        <f>IFERROR(INDEX(TableSetRepSchemes,MATCH('1'!$C159,ListSetRepSchemes,0),COLUMNS($R159:AD159)),"")</f>
        <v>10</v>
      </c>
      <c r="AE159" s="178">
        <f>IFERROR(INDEX(TableSetRepSchemes,MATCH('1'!$C159,ListSetRepSchemes,0),COLUMNS($R159:AE159)),"")</f>
        <v>10</v>
      </c>
      <c r="AF159" s="178">
        <f>IFERROR(INDEX(TableSetRepSchemes,MATCH('1'!$C159,ListSetRepSchemes,0),COLUMNS($R159:AF159)),"")</f>
        <v>10</v>
      </c>
      <c r="AG159" s="178">
        <f>IFERROR(INDEX(TableSetRepSchemes,MATCH('1'!$C159,ListSetRepSchemes,0),COLUMNS($R159:AG159)),"")</f>
        <v>0</v>
      </c>
      <c r="AH159" s="178">
        <f>IFERROR(INDEX(TableSetRepSchemes,MATCH('1'!$C159,ListSetRepSchemes,0),COLUMNS($R159:AH159)),"")</f>
        <v>0</v>
      </c>
      <c r="AI159" s="178">
        <f>IFERROR(INDEX(TableSetRepSchemes,MATCH('1'!$C159,ListSetRepSchemes,0),COLUMNS($R159:AI159)),"")</f>
        <v>0</v>
      </c>
      <c r="AJ159" s="178"/>
      <c r="AK159" s="179" t="str">
        <f>CLEAN(IFERROR(INDEX(TableSetRepSchemes,MATCH('1'!$C159,ListSetRepSchemes,0),COLUMNS($R159:AK159)),""))</f>
        <v/>
      </c>
      <c r="AL159" s="178"/>
      <c r="AM159" s="178">
        <f>IFERROR(INDEX(TableSetRepSchemes,MATCH('1'!$C159,ListSetRepSchemes,0),COLUMNS($R159:AM159)),"")</f>
        <v>10</v>
      </c>
      <c r="AN159" s="178">
        <f>IFERROR(INDEX(TableSetRepSchemes,MATCH('1'!$C159,ListSetRepSchemes,0),COLUMNS($R159:AN159)),"")</f>
        <v>10</v>
      </c>
      <c r="AO159" s="178">
        <f>IFERROR(INDEX(TableSetRepSchemes,MATCH('1'!$C159,ListSetRepSchemes,0),COLUMNS($R159:AO159)),"")</f>
        <v>10</v>
      </c>
      <c r="AP159" s="178">
        <f>IFERROR(INDEX(TableSetRepSchemes,MATCH('1'!$C159,ListSetRepSchemes,0),COLUMNS($R159:AP159)),"")</f>
        <v>0</v>
      </c>
      <c r="AQ159" s="178">
        <f>IFERROR(INDEX(TableSetRepSchemes,MATCH('1'!$C159,ListSetRepSchemes,0),COLUMNS($R159:AQ159)),"")</f>
        <v>0</v>
      </c>
      <c r="AR159" s="178">
        <f>IFERROR(INDEX(TableSetRepSchemes,MATCH('1'!$C159,ListSetRepSchemes,0),COLUMNS($R159:AR159)),"")</f>
        <v>0</v>
      </c>
      <c r="AS159" s="178"/>
      <c r="AT159" s="179" t="str">
        <f>CLEAN(IFERROR(INDEX(TableSetRepSchemes,MATCH('1'!$C159,ListSetRepSchemes,0),COLUMNS($R159:AT159)),""))</f>
        <v/>
      </c>
      <c r="AU159" s="178"/>
      <c r="AV159" s="178">
        <f>IFERROR(INDEX(TableSetRepSchemes,MATCH('1'!$C159,ListSetRepSchemes,0),COLUMNS($R159:AV159)),"")</f>
        <v>10</v>
      </c>
      <c r="AW159" s="178">
        <f>IFERROR(INDEX(TableSetRepSchemes,MATCH('1'!$C159,ListSetRepSchemes,0),COLUMNS($R159:AW159)),"")</f>
        <v>10</v>
      </c>
      <c r="AX159" s="178">
        <f>IFERROR(INDEX(TableSetRepSchemes,MATCH('1'!$C159,ListSetRepSchemes,0),COLUMNS($R159:AX159)),"")</f>
        <v>10</v>
      </c>
      <c r="AY159" s="178">
        <f>IFERROR(INDEX(TableSetRepSchemes,MATCH('1'!$C159,ListSetRepSchemes,0),COLUMNS($R159:AY159)),"")</f>
        <v>0</v>
      </c>
      <c r="AZ159" s="178">
        <f>IFERROR(INDEX(TableSetRepSchemes,MATCH('1'!$C159,ListSetRepSchemes,0),COLUMNS($R159:AZ159)),"")</f>
        <v>0</v>
      </c>
      <c r="BA159" s="178">
        <f>IFERROR(INDEX(TableSetRepSchemes,MATCH('1'!$C159,ListSetRepSchemes,0),COLUMNS($R159:BA159)),"")</f>
        <v>0</v>
      </c>
      <c r="BB159" s="180"/>
      <c r="BC159" s="36"/>
      <c r="BG159" s="181" t="s">
        <v>308</v>
      </c>
      <c r="BH159" s="182">
        <f>IFERROR(SUM(SUBSTITUTE(U159,"/s",""),V159:Z159),0)</f>
        <v>0</v>
      </c>
      <c r="BI159" s="182">
        <f>SUM(SUBSTITUTE(AD159,"/s",""),AE159:AI159)</f>
        <v>30</v>
      </c>
      <c r="BJ159" s="182">
        <f>SUM(AM159:AR159)</f>
        <v>30</v>
      </c>
      <c r="BK159" s="182">
        <f>SUM(AV159:BA159)</f>
        <v>30</v>
      </c>
      <c r="BL159" s="195"/>
      <c r="BM159" s="184"/>
      <c r="BN159" s="184"/>
      <c r="BO159" s="184"/>
      <c r="BP159" s="184"/>
      <c r="BS159" s="181" t="s">
        <v>308</v>
      </c>
      <c r="BT159" s="50" t="str">
        <f>IF($B159="PE",BH159,"")</f>
        <v/>
      </c>
      <c r="BU159" s="186" t="str">
        <f>IF($B159="PE",BI159,"")</f>
        <v/>
      </c>
      <c r="BV159" s="186" t="str">
        <f>IF($B159="PE",BJ159,"")</f>
        <v/>
      </c>
      <c r="BW159" s="186" t="str">
        <f>IF($B159="PE",BK159,"")</f>
        <v/>
      </c>
      <c r="BX159" s="187" t="e">
        <f t="shared" si="6"/>
        <v>#N/A</v>
      </c>
    </row>
    <row r="160" spans="1:161" s="34" customFormat="1" ht="34" customHeight="1">
      <c r="A160" s="129"/>
      <c r="B160" s="129"/>
      <c r="C160" s="129"/>
      <c r="D160" s="129"/>
      <c r="E160" s="129"/>
      <c r="F160" s="129"/>
      <c r="G160" s="129"/>
      <c r="H160" s="129"/>
      <c r="J160" s="36"/>
      <c r="K160" s="188"/>
      <c r="L160" s="189"/>
      <c r="M160" s="189"/>
      <c r="N160" s="189"/>
      <c r="O160" s="189"/>
      <c r="P160" s="190"/>
      <c r="Q160" s="191"/>
      <c r="R160" s="192"/>
      <c r="S160" s="193"/>
      <c r="T160" s="111"/>
      <c r="U160" s="176"/>
      <c r="V160" s="176"/>
      <c r="W160" s="176"/>
      <c r="X160" s="176"/>
      <c r="Y160" s="176"/>
      <c r="Z160" s="176"/>
      <c r="AA160" s="178"/>
      <c r="AB160" s="194"/>
      <c r="AC160" s="178"/>
      <c r="AD160" s="178"/>
      <c r="AE160" s="178"/>
      <c r="AF160" s="178"/>
      <c r="AG160" s="178"/>
      <c r="AH160" s="178"/>
      <c r="AI160" s="178"/>
      <c r="AJ160" s="178"/>
      <c r="AK160" s="194"/>
      <c r="AL160" s="178"/>
      <c r="AM160" s="178"/>
      <c r="AN160" s="178"/>
      <c r="AO160" s="178"/>
      <c r="AP160" s="178"/>
      <c r="AQ160" s="178"/>
      <c r="AR160" s="178"/>
      <c r="AS160" s="178"/>
      <c r="AT160" s="194"/>
      <c r="AU160" s="178"/>
      <c r="AV160" s="178"/>
      <c r="AW160" s="178"/>
      <c r="AX160" s="178"/>
      <c r="AY160" s="178"/>
      <c r="AZ160" s="178"/>
      <c r="BA160" s="178"/>
      <c r="BB160" s="180"/>
      <c r="BC160" s="36"/>
      <c r="BG160" s="181" t="s">
        <v>310</v>
      </c>
      <c r="BH160" s="182">
        <f>IFERROR((SUBSTITUTE(U159,"/s","")*U160)+(V159*V160)+(W159*W160)+(X159*X160)+(Y159*Y160)+(Z159*Z160),0)</f>
        <v>0</v>
      </c>
      <c r="BI160" s="182">
        <f>IFERROR((SUBSTITUTE(AD159,"/s","")*AD160)+(AE159*AE160)+(AF159*AF160)+(AG159*AG160)+(AH159*AH160)+(AI159*AI160),0)</f>
        <v>0</v>
      </c>
      <c r="BJ160" s="182">
        <f>IFERROR((AM159*AM160)+(AN159*AN160)+(AO159*AO160)+(AP159*AP160)+(AQ159*AQ160)+(AR159*AR160),"")</f>
        <v>0</v>
      </c>
      <c r="BK160" s="182">
        <f>IFERROR((AV159*AV160)+(AW159*AW160)+(AX159*AX160)+(AY159*AY160)+(AZ159*AZ160)+(BA159*BA160),"")</f>
        <v>0</v>
      </c>
      <c r="BL160" s="195">
        <f>IFERROR(BH160+BI160+BJ160+BK160,NA())</f>
        <v>0</v>
      </c>
      <c r="BM160" s="184"/>
      <c r="BN160" s="184"/>
      <c r="BO160" s="184"/>
      <c r="BP160" s="184"/>
      <c r="BS160" s="181" t="s">
        <v>310</v>
      </c>
      <c r="BT160" s="50">
        <f>IF($B159="PE",(BH160*$E159*$F159),0)</f>
        <v>0</v>
      </c>
      <c r="BU160" s="186">
        <f>IF($B159="PE",(BI160*$E159*$F159),0)</f>
        <v>0</v>
      </c>
      <c r="BV160" s="186">
        <f>IF($B159="PE",(BJ160*$E159*$F159),0)</f>
        <v>0</v>
      </c>
      <c r="BW160" s="186">
        <f>IF($B159="PE",(BK160*$E159*$F159),0)</f>
        <v>0</v>
      </c>
      <c r="BX160" s="187">
        <f t="shared" si="6"/>
        <v>0</v>
      </c>
    </row>
    <row r="161" spans="1:106" s="34" customFormat="1" ht="34" customHeight="1">
      <c r="A161" s="127" t="s">
        <v>362</v>
      </c>
      <c r="B161" s="127" t="s">
        <v>244</v>
      </c>
      <c r="C161" s="127" t="s">
        <v>373</v>
      </c>
      <c r="D161" s="127" t="str">
        <f>IFERROR(INDEX([2]!Table1RM[#Data],MATCH($M$56,[2]!Table1RM[Athlete],0),MATCH($L161,[2]!Table1RM[#Headers],0)),"")</f>
        <v/>
      </c>
      <c r="E161" s="127" t="str">
        <f>IF($B161="PE",INDEX([2]ExerciseInventory!$J$2:$L$276,MATCH($L161,[2]ExerciseInventory!$J$2:$J$287,0),2),"")</f>
        <v/>
      </c>
      <c r="F161" s="127" t="str">
        <f>IF($B161="PE",INDEX([2]ExerciseInventory!$J$2:$L$276,MATCH($L161,[2]ExerciseInventory!$J$2:$J$287,0),3),"")</f>
        <v/>
      </c>
      <c r="G161" s="127"/>
      <c r="H161" s="127"/>
      <c r="J161" s="36"/>
      <c r="K161" s="170" t="s">
        <v>111</v>
      </c>
      <c r="L161" s="171" t="s">
        <v>201</v>
      </c>
      <c r="M161" s="171"/>
      <c r="N161" s="171"/>
      <c r="O161" s="171"/>
      <c r="P161" s="172"/>
      <c r="Q161" s="173"/>
      <c r="R161" s="174"/>
      <c r="S161" s="175" t="str">
        <f>CLEAN(IFERROR(INDEX(TableSetRepSchemes,MATCH(#REF!,ListSetRepSchemes,0),COLUMNS($R161:S161)),""))</f>
        <v/>
      </c>
      <c r="T161" s="111"/>
      <c r="U161" s="176"/>
      <c r="V161" s="176"/>
      <c r="W161" s="176"/>
      <c r="X161" s="176"/>
      <c r="Y161" s="176"/>
      <c r="Z161" s="176"/>
      <c r="AA161" s="178"/>
      <c r="AB161" s="179" t="str">
        <f>CLEAN(IFERROR(INDEX(TableSetRepSchemes,MATCH('[2]4L-WU1-9P'!$C161,ListSetRepSchemes,0),COLUMNS($R161:AB161)),""))</f>
        <v/>
      </c>
      <c r="AC161" s="178"/>
      <c r="AD161" s="178">
        <f>IFERROR(INDEX(TableSetRepSchemes,MATCH('1'!$C161,ListSetRepSchemes,0),COLUMNS($R161:AD161)),"")</f>
        <v>10</v>
      </c>
      <c r="AE161" s="178">
        <f>IFERROR(INDEX(TableSetRepSchemes,MATCH('1'!$C161,ListSetRepSchemes,0),COLUMNS($R161:AE161)),"")</f>
        <v>10</v>
      </c>
      <c r="AF161" s="178">
        <f>IFERROR(INDEX(TableSetRepSchemes,MATCH('1'!$C161,ListSetRepSchemes,0),COLUMNS($R161:AF161)),"")</f>
        <v>10</v>
      </c>
      <c r="AG161" s="178">
        <f>IFERROR(INDEX(TableSetRepSchemes,MATCH('1'!$C161,ListSetRepSchemes,0),COLUMNS($R161:AG161)),"")</f>
        <v>0</v>
      </c>
      <c r="AH161" s="178">
        <f>IFERROR(INDEX(TableSetRepSchemes,MATCH('1'!$C161,ListSetRepSchemes,0),COLUMNS($R161:AH161)),"")</f>
        <v>0</v>
      </c>
      <c r="AI161" s="178">
        <f>IFERROR(INDEX(TableSetRepSchemes,MATCH('1'!$C161,ListSetRepSchemes,0),COLUMNS($R161:AI161)),"")</f>
        <v>0</v>
      </c>
      <c r="AJ161" s="178"/>
      <c r="AK161" s="179" t="str">
        <f>CLEAN(IFERROR(INDEX(TableSetRepSchemes,MATCH('1'!$C161,ListSetRepSchemes,0),COLUMNS($R161:AK161)),""))</f>
        <v/>
      </c>
      <c r="AL161" s="178"/>
      <c r="AM161" s="178">
        <f>IFERROR(INDEX(TableSetRepSchemes,MATCH('1'!$C161,ListSetRepSchemes,0),COLUMNS($R161:AM161)),"")</f>
        <v>11</v>
      </c>
      <c r="AN161" s="178">
        <f>IFERROR(INDEX(TableSetRepSchemes,MATCH('1'!$C161,ListSetRepSchemes,0),COLUMNS($R161:AN161)),"")</f>
        <v>11</v>
      </c>
      <c r="AO161" s="178">
        <f>IFERROR(INDEX(TableSetRepSchemes,MATCH('1'!$C161,ListSetRepSchemes,0),COLUMNS($R161:AO161)),"")</f>
        <v>11</v>
      </c>
      <c r="AP161" s="178">
        <f>IFERROR(INDEX(TableSetRepSchemes,MATCH('1'!$C161,ListSetRepSchemes,0),COLUMNS($R161:AP161)),"")</f>
        <v>0</v>
      </c>
      <c r="AQ161" s="178">
        <f>IFERROR(INDEX(TableSetRepSchemes,MATCH('1'!$C161,ListSetRepSchemes,0),COLUMNS($R161:AQ161)),"")</f>
        <v>0</v>
      </c>
      <c r="AR161" s="178">
        <f>IFERROR(INDEX(TableSetRepSchemes,MATCH('1'!$C161,ListSetRepSchemes,0),COLUMNS($R161:AR161)),"")</f>
        <v>0</v>
      </c>
      <c r="AS161" s="178"/>
      <c r="AT161" s="179" t="str">
        <f>CLEAN(IFERROR(INDEX(TableSetRepSchemes,MATCH('1'!$C161,ListSetRepSchemes,0),COLUMNS($R161:AT161)),""))</f>
        <v/>
      </c>
      <c r="AU161" s="178"/>
      <c r="AV161" s="178">
        <f>IFERROR(INDEX(TableSetRepSchemes,MATCH('1'!$C161,ListSetRepSchemes,0),COLUMNS($R161:AV161)),"")</f>
        <v>12</v>
      </c>
      <c r="AW161" s="178">
        <f>IFERROR(INDEX(TableSetRepSchemes,MATCH('1'!$C161,ListSetRepSchemes,0),COLUMNS($R161:AW161)),"")</f>
        <v>12</v>
      </c>
      <c r="AX161" s="178">
        <f>IFERROR(INDEX(TableSetRepSchemes,MATCH('1'!$C161,ListSetRepSchemes,0),COLUMNS($R161:AX161)),"")</f>
        <v>12</v>
      </c>
      <c r="AY161" s="178">
        <f>IFERROR(INDEX(TableSetRepSchemes,MATCH('1'!$C161,ListSetRepSchemes,0),COLUMNS($R161:AY161)),"")</f>
        <v>0</v>
      </c>
      <c r="AZ161" s="178">
        <f>IFERROR(INDEX(TableSetRepSchemes,MATCH('1'!$C161,ListSetRepSchemes,0),COLUMNS($R161:AZ161)),"")</f>
        <v>0</v>
      </c>
      <c r="BA161" s="178">
        <f>IFERROR(INDEX(TableSetRepSchemes,MATCH('1'!$C161,ListSetRepSchemes,0),COLUMNS($R161:BA161)),"")</f>
        <v>0</v>
      </c>
      <c r="BB161" s="180"/>
      <c r="BC161" s="36"/>
      <c r="BG161" s="181" t="s">
        <v>308</v>
      </c>
      <c r="BH161" s="182">
        <f>IFERROR(SUM(SUBSTITUTE(U161,"/s",""),V161:Z161),0)</f>
        <v>0</v>
      </c>
      <c r="BI161" s="182">
        <f>SUM(SUBSTITUTE(AD161,"/s",""),AE161:AI161)</f>
        <v>30</v>
      </c>
      <c r="BJ161" s="182">
        <f>SUM(AM161:AR161)</f>
        <v>33</v>
      </c>
      <c r="BK161" s="182">
        <f>SUM(AV161:BA161)</f>
        <v>36</v>
      </c>
      <c r="BL161" s="195"/>
      <c r="BM161" s="184"/>
      <c r="BN161" s="184"/>
      <c r="BO161" s="184"/>
      <c r="BP161" s="184"/>
      <c r="BS161" s="181" t="s">
        <v>308</v>
      </c>
      <c r="BT161" s="50" t="str">
        <f>IF($B161="PE",BH161,"")</f>
        <v/>
      </c>
      <c r="BU161" s="186" t="str">
        <f>IF($B161="PE",BI161,"")</f>
        <v/>
      </c>
      <c r="BV161" s="186" t="str">
        <f>IF($B161="PE",BJ161,"")</f>
        <v/>
      </c>
      <c r="BW161" s="186" t="str">
        <f>IF($B161="PE",BK161,"")</f>
        <v/>
      </c>
      <c r="BX161" s="187" t="e">
        <f t="shared" si="6"/>
        <v>#N/A</v>
      </c>
    </row>
    <row r="162" spans="1:106" s="34" customFormat="1" ht="34" customHeight="1">
      <c r="A162" s="129"/>
      <c r="B162" s="129"/>
      <c r="C162" s="129"/>
      <c r="D162" s="129"/>
      <c r="E162" s="129"/>
      <c r="F162" s="129"/>
      <c r="G162" s="129"/>
      <c r="H162" s="129"/>
      <c r="J162" s="36"/>
      <c r="K162" s="188"/>
      <c r="L162" s="189"/>
      <c r="M162" s="189"/>
      <c r="N162" s="189"/>
      <c r="O162" s="189"/>
      <c r="P162" s="190"/>
      <c r="Q162" s="191"/>
      <c r="R162" s="192"/>
      <c r="S162" s="193"/>
      <c r="T162" s="111"/>
      <c r="U162" s="176"/>
      <c r="V162" s="176"/>
      <c r="W162" s="176"/>
      <c r="X162" s="176"/>
      <c r="Y162" s="176"/>
      <c r="Z162" s="176"/>
      <c r="AA162" s="178"/>
      <c r="AB162" s="194"/>
      <c r="AC162" s="178"/>
      <c r="AD162" s="178"/>
      <c r="AE162" s="178"/>
      <c r="AF162" s="178"/>
      <c r="AG162" s="178"/>
      <c r="AH162" s="178"/>
      <c r="AI162" s="178"/>
      <c r="AJ162" s="178"/>
      <c r="AK162" s="194"/>
      <c r="AL162" s="178"/>
      <c r="AM162" s="178"/>
      <c r="AN162" s="178"/>
      <c r="AO162" s="178"/>
      <c r="AP162" s="178"/>
      <c r="AQ162" s="178"/>
      <c r="AR162" s="178"/>
      <c r="AS162" s="178"/>
      <c r="AT162" s="194"/>
      <c r="AU162" s="178"/>
      <c r="AV162" s="178"/>
      <c r="AW162" s="178"/>
      <c r="AX162" s="178"/>
      <c r="AY162" s="178"/>
      <c r="AZ162" s="178"/>
      <c r="BA162" s="178"/>
      <c r="BB162" s="180"/>
      <c r="BC162" s="36"/>
      <c r="BG162" s="181" t="s">
        <v>310</v>
      </c>
      <c r="BH162" s="182">
        <f>IFERROR((SUBSTITUTE(U161,"/s","")*U162)+(V161*V162)+(W161*W162)+(X161*X162)+(Y161*Y162)+(Z161*Z162),0)</f>
        <v>0</v>
      </c>
      <c r="BI162" s="182">
        <f>IFERROR((SUBSTITUTE(AD161,"/s","")*AD162)+(AE161*AE162)+(AF161*AF162)+(AG161*AG162)+(AH161*AH162)+(AI161*AI162),0)</f>
        <v>0</v>
      </c>
      <c r="BJ162" s="182">
        <f>IFERROR((AM161*AM162)+(AN161*AN162)+(AO161*AO162)+(AP161*AP162)+(AQ161*AQ162)+(AR161*AR162),"")</f>
        <v>0</v>
      </c>
      <c r="BK162" s="182">
        <f>IFERROR((AV161*AV162)+(AW161*AW162)+(AX161*AX162)+(AY161*AY162)+(AZ161*AZ162)+(BA161*BA162),"")</f>
        <v>0</v>
      </c>
      <c r="BL162" s="195">
        <f>IFERROR(BH162+BI162+BJ162+BK162,NA())</f>
        <v>0</v>
      </c>
      <c r="BM162" s="184"/>
      <c r="BN162" s="184"/>
      <c r="BO162" s="184"/>
      <c r="BP162" s="184"/>
      <c r="BS162" s="181" t="s">
        <v>310</v>
      </c>
      <c r="BT162" s="50">
        <f>IF($B161="PE",(BH162*$E161*$F161),0)</f>
        <v>0</v>
      </c>
      <c r="BU162" s="186">
        <f>IF($B161="PE",(BI162*$E161*$F161),0)</f>
        <v>0</v>
      </c>
      <c r="BV162" s="186">
        <f>IF($B161="PE",(BJ162*$E161*$F161),0)</f>
        <v>0</v>
      </c>
      <c r="BW162" s="186">
        <f>IF($B161="PE",(BK162*$E161*$F161),0)</f>
        <v>0</v>
      </c>
      <c r="BX162" s="187">
        <f t="shared" si="6"/>
        <v>0</v>
      </c>
    </row>
    <row r="163" spans="1:106" s="34" customFormat="1" ht="34" customHeight="1">
      <c r="A163" s="127" t="s">
        <v>362</v>
      </c>
      <c r="B163" s="127" t="s">
        <v>317</v>
      </c>
      <c r="C163" s="127" t="s">
        <v>313</v>
      </c>
      <c r="D163" s="127" t="str">
        <f>IFERROR(INDEX([2]!Table1RM[#Data],MATCH($M$56,[2]!Table1RM[Athlete],0),MATCH($L163,[2]!Table1RM[#Headers],0)),"")</f>
        <v/>
      </c>
      <c r="E163" s="127" t="str">
        <f>IF($B163="PE",INDEX([2]ExerciseInventory!$J$2:$L$276,MATCH($L163,[2]ExerciseInventory!$J$2:$J$287,0),2),"")</f>
        <v/>
      </c>
      <c r="F163" s="127" t="str">
        <f>IF($B163="PE",INDEX([2]ExerciseInventory!$J$2:$L$276,MATCH($L163,[2]ExerciseInventory!$J$2:$J$287,0),3),"")</f>
        <v/>
      </c>
      <c r="G163" s="127"/>
      <c r="H163" s="127"/>
      <c r="J163" s="36"/>
      <c r="K163" s="170" t="s">
        <v>112</v>
      </c>
      <c r="L163" s="171" t="s">
        <v>374</v>
      </c>
      <c r="M163" s="171"/>
      <c r="N163" s="171"/>
      <c r="O163" s="171"/>
      <c r="P163" s="172"/>
      <c r="Q163" s="173"/>
      <c r="R163" s="174"/>
      <c r="S163" s="175" t="str">
        <f>CLEAN(IFERROR(INDEX(TableSetRepSchemes,MATCH(#REF!,ListSetRepSchemes,0),COLUMNS($R163:S163)),""))</f>
        <v/>
      </c>
      <c r="T163" s="111"/>
      <c r="U163" s="176"/>
      <c r="V163" s="176"/>
      <c r="W163" s="176"/>
      <c r="X163" s="176"/>
      <c r="Y163" s="176"/>
      <c r="Z163" s="176"/>
      <c r="AA163" s="178"/>
      <c r="AB163" s="179" t="str">
        <f>CLEAN(IFERROR(INDEX(TableSetRepSchemes,MATCH('[2]4L-WU1-9P'!$C163,ListSetRepSchemes,0),COLUMNS($R163:AB163)),""))</f>
        <v/>
      </c>
      <c r="AC163" s="178"/>
      <c r="AD163" s="178" t="s">
        <v>269</v>
      </c>
      <c r="AE163" s="178">
        <f>IFERROR(INDEX(TableSetRepSchemes,MATCH('1'!$C163,ListSetRepSchemes,0),COLUMNS($R163:AE163)),"")</f>
        <v>6</v>
      </c>
      <c r="AF163" s="178">
        <f>IFERROR(INDEX(TableSetRepSchemes,MATCH('1'!$C163,ListSetRepSchemes,0),COLUMNS($R163:AF163)),"")</f>
        <v>6</v>
      </c>
      <c r="AG163" s="178">
        <f>IFERROR(INDEX(TableSetRepSchemes,MATCH('1'!$C163,ListSetRepSchemes,0),COLUMNS($R163:AG163)),"")</f>
        <v>0</v>
      </c>
      <c r="AH163" s="178">
        <f>IFERROR(INDEX(TableSetRepSchemes,MATCH('1'!$C163,ListSetRepSchemes,0),COLUMNS($R163:AH163)),"")</f>
        <v>0</v>
      </c>
      <c r="AI163" s="178">
        <f>IFERROR(INDEX(TableSetRepSchemes,MATCH('1'!$C163,ListSetRepSchemes,0),COLUMNS($R163:AI163)),"")</f>
        <v>0</v>
      </c>
      <c r="AJ163" s="178"/>
      <c r="AK163" s="179" t="str">
        <f>CLEAN(IFERROR(INDEX(TableSetRepSchemes,MATCH('1'!$C163,ListSetRepSchemes,0),COLUMNS($R163:AK163)),""))</f>
        <v/>
      </c>
      <c r="AL163" s="178"/>
      <c r="AM163" s="178">
        <f>IFERROR(INDEX(TableSetRepSchemes,MATCH('1'!$C163,ListSetRepSchemes,0),COLUMNS($R163:AM163)),"")</f>
        <v>7</v>
      </c>
      <c r="AN163" s="178">
        <f>IFERROR(INDEX(TableSetRepSchemes,MATCH('1'!$C163,ListSetRepSchemes,0),COLUMNS($R163:AN163)),"")</f>
        <v>7</v>
      </c>
      <c r="AO163" s="178">
        <f>IFERROR(INDEX(TableSetRepSchemes,MATCH('1'!$C163,ListSetRepSchemes,0),COLUMNS($R163:AO163)),"")</f>
        <v>7</v>
      </c>
      <c r="AP163" s="178">
        <f>IFERROR(INDEX(TableSetRepSchemes,MATCH('1'!$C163,ListSetRepSchemes,0),COLUMNS($R163:AP163)),"")</f>
        <v>0</v>
      </c>
      <c r="AQ163" s="178">
        <f>IFERROR(INDEX(TableSetRepSchemes,MATCH('1'!$C163,ListSetRepSchemes,0),COLUMNS($R163:AQ163)),"")</f>
        <v>0</v>
      </c>
      <c r="AR163" s="178">
        <f>IFERROR(INDEX(TableSetRepSchemes,MATCH('1'!$C163,ListSetRepSchemes,0),COLUMNS($R163:AR163)),"")</f>
        <v>0</v>
      </c>
      <c r="AS163" s="178"/>
      <c r="AT163" s="179" t="str">
        <f>CLEAN(IFERROR(INDEX(TableSetRepSchemes,MATCH('1'!$C163,ListSetRepSchemes,0),COLUMNS($R163:AT163)),""))</f>
        <v/>
      </c>
      <c r="AU163" s="178"/>
      <c r="AV163" s="178">
        <f>IFERROR(INDEX(TableSetRepSchemes,MATCH('1'!$C163,ListSetRepSchemes,0),COLUMNS($R163:AV163)),"")</f>
        <v>8</v>
      </c>
      <c r="AW163" s="178">
        <f>IFERROR(INDEX(TableSetRepSchemes,MATCH('1'!$C163,ListSetRepSchemes,0),COLUMNS($R163:AW163)),"")</f>
        <v>8</v>
      </c>
      <c r="AX163" s="178">
        <f>IFERROR(INDEX(TableSetRepSchemes,MATCH('1'!$C163,ListSetRepSchemes,0),COLUMNS($R163:AX163)),"")</f>
        <v>8</v>
      </c>
      <c r="AY163" s="178">
        <f>IFERROR(INDEX(TableSetRepSchemes,MATCH('1'!$C163,ListSetRepSchemes,0),COLUMNS($R163:AY163)),"")</f>
        <v>0</v>
      </c>
      <c r="AZ163" s="178">
        <f>IFERROR(INDEX(TableSetRepSchemes,MATCH('1'!$C163,ListSetRepSchemes,0),COLUMNS($R163:AZ163)),"")</f>
        <v>0</v>
      </c>
      <c r="BA163" s="178">
        <f>IFERROR(INDEX(TableSetRepSchemes,MATCH('1'!$C163,ListSetRepSchemes,0),COLUMNS($R163:BA163)),"")</f>
        <v>0</v>
      </c>
      <c r="BB163" s="180"/>
      <c r="BC163" s="36"/>
      <c r="BG163" s="181" t="s">
        <v>308</v>
      </c>
      <c r="BH163" s="182">
        <f>IFERROR(SUM(SUBSTITUTE(U163,"/s",""),V163:Z163),0)</f>
        <v>0</v>
      </c>
      <c r="BI163" s="182">
        <f>SUM(SUBSTITUTE(AD163,"/s",""),AE163:AI163)</f>
        <v>18</v>
      </c>
      <c r="BJ163" s="182">
        <f>SUM(AM163:AR163)</f>
        <v>21</v>
      </c>
      <c r="BK163" s="182">
        <f>SUM(AV163:BA163)</f>
        <v>24</v>
      </c>
      <c r="BL163" s="195"/>
      <c r="BM163" s="184"/>
      <c r="BN163" s="184"/>
      <c r="BO163" s="184"/>
      <c r="BP163" s="184"/>
      <c r="BS163" s="181" t="s">
        <v>308</v>
      </c>
      <c r="BT163" s="50" t="str">
        <f>IF($B163="PE",BH163,"")</f>
        <v/>
      </c>
      <c r="BU163" s="186" t="str">
        <f>IF($B163="PE",BI163,"")</f>
        <v/>
      </c>
      <c r="BV163" s="186" t="str">
        <f>IF($B163="PE",BJ163,"")</f>
        <v/>
      </c>
      <c r="BW163" s="186" t="str">
        <f>IF($B163="PE",BK163,"")</f>
        <v/>
      </c>
      <c r="BX163" s="187" t="e">
        <f t="shared" si="6"/>
        <v>#N/A</v>
      </c>
    </row>
    <row r="164" spans="1:106" s="34" customFormat="1" ht="34" customHeight="1">
      <c r="A164" s="129"/>
      <c r="B164" s="129"/>
      <c r="C164" s="129"/>
      <c r="D164" s="129"/>
      <c r="E164" s="129"/>
      <c r="F164" s="129"/>
      <c r="G164" s="129"/>
      <c r="H164" s="129"/>
      <c r="J164" s="36"/>
      <c r="K164" s="188"/>
      <c r="L164" s="189"/>
      <c r="M164" s="189"/>
      <c r="N164" s="189"/>
      <c r="O164" s="189"/>
      <c r="P164" s="190"/>
      <c r="Q164" s="191"/>
      <c r="R164" s="192"/>
      <c r="S164" s="193"/>
      <c r="T164" s="111"/>
      <c r="U164" s="176"/>
      <c r="V164" s="176"/>
      <c r="W164" s="176"/>
      <c r="X164" s="176"/>
      <c r="Y164" s="176"/>
      <c r="Z164" s="176"/>
      <c r="AA164" s="178"/>
      <c r="AB164" s="194"/>
      <c r="AC164" s="178"/>
      <c r="AD164" s="178"/>
      <c r="AE164" s="178"/>
      <c r="AF164" s="178"/>
      <c r="AG164" s="178"/>
      <c r="AH164" s="178"/>
      <c r="AI164" s="178"/>
      <c r="AJ164" s="178"/>
      <c r="AK164" s="194"/>
      <c r="AL164" s="178"/>
      <c r="AM164" s="178"/>
      <c r="AN164" s="178"/>
      <c r="AO164" s="178"/>
      <c r="AP164" s="178"/>
      <c r="AQ164" s="178"/>
      <c r="AR164" s="178"/>
      <c r="AS164" s="178"/>
      <c r="AT164" s="194"/>
      <c r="AU164" s="178"/>
      <c r="AV164" s="178"/>
      <c r="AW164" s="178"/>
      <c r="AX164" s="178"/>
      <c r="AY164" s="178"/>
      <c r="AZ164" s="178"/>
      <c r="BA164" s="178"/>
      <c r="BB164" s="180"/>
      <c r="BC164" s="36"/>
      <c r="BG164" s="181" t="s">
        <v>310</v>
      </c>
      <c r="BH164" s="182">
        <f>IFERROR((SUBSTITUTE(U163,"/s","")*U164)+(V163*V164)+(W163*W164)+(X163*X164)+(Y163*Y164)+(Z163*Z164),0)</f>
        <v>0</v>
      </c>
      <c r="BI164" s="182">
        <f>IFERROR((SUBSTITUTE(AD163,"/s","")*AD164)+(AE163*AE164)+(AF163*AF164)+(AG163*AG164)+(AH163*AH164)+(AI163*AI164),0)</f>
        <v>0</v>
      </c>
      <c r="BJ164" s="182">
        <f>IFERROR((AM163*AM164)+(AN163*AN164)+(AO163*AO164)+(AP163*AP164)+(AQ163*AQ164)+(AR163*AR164),"")</f>
        <v>0</v>
      </c>
      <c r="BK164" s="182">
        <f>IFERROR((AV163*AV164)+(AW163*AW164)+(AX163*AX164)+(AY163*AY164)+(AZ163*AZ164)+(BA163*BA164),"")</f>
        <v>0</v>
      </c>
      <c r="BL164" s="195">
        <f>IFERROR(BH164+BI164+BJ164+BK164,NA())</f>
        <v>0</v>
      </c>
      <c r="BM164" s="184"/>
      <c r="BN164" s="184"/>
      <c r="BO164" s="184"/>
      <c r="BP164" s="184"/>
      <c r="BS164" s="181" t="s">
        <v>310</v>
      </c>
      <c r="BT164" s="50">
        <f>IF($B163="PE",(BH164*$E163*$F163),0)</f>
        <v>0</v>
      </c>
      <c r="BU164" s="186">
        <f>IF($B163="PE",(BI164*$E163*$F163),0)</f>
        <v>0</v>
      </c>
      <c r="BV164" s="186">
        <f>IF($B163="PE",(BJ164*$E163*$F163),0)</f>
        <v>0</v>
      </c>
      <c r="BW164" s="186">
        <f>IF($B163="PE",(BK164*$E163*$F163),0)</f>
        <v>0</v>
      </c>
      <c r="BX164" s="187">
        <f t="shared" si="6"/>
        <v>0</v>
      </c>
    </row>
    <row r="165" spans="1:106" s="34" customFormat="1" ht="34" customHeight="1">
      <c r="A165" s="127"/>
      <c r="B165" s="127"/>
      <c r="C165" s="127" t="s">
        <v>245</v>
      </c>
      <c r="D165" s="127" t="str">
        <f>IFERROR(INDEX([2]!Table1RM[#Data],MATCH($M$56,[2]!Table1RM[Athlete],0),MATCH($L165,[2]!Table1RM[#Headers],0)),"")</f>
        <v/>
      </c>
      <c r="E165" s="127" t="str">
        <f>IF($B165="PE",INDEX([2]ExerciseInventory!$J$2:$L$276,MATCH($L165,[2]ExerciseInventory!$J$2:$J$287,0),2),"")</f>
        <v/>
      </c>
      <c r="F165" s="127" t="str">
        <f>IF($B165="PE",INDEX([2]ExerciseInventory!$J$2:$L$276,MATCH($L165,[2]ExerciseInventory!$J$2:$J$287,0),3),"")</f>
        <v/>
      </c>
      <c r="G165" s="127"/>
      <c r="H165" s="127"/>
      <c r="J165" s="36"/>
      <c r="K165" s="170"/>
      <c r="L165" s="171"/>
      <c r="M165" s="171"/>
      <c r="N165" s="171"/>
      <c r="O165" s="171"/>
      <c r="P165" s="172"/>
      <c r="Q165" s="173"/>
      <c r="R165" s="174"/>
      <c r="S165" s="175" t="str">
        <f>CLEAN(IFERROR(INDEX(TableSetRepSchemes,MATCH(#REF!,ListSetRepSchemes,0),COLUMNS($R165:S165)),""))</f>
        <v/>
      </c>
      <c r="T165" s="111"/>
      <c r="U165" s="176"/>
      <c r="V165" s="176"/>
      <c r="W165" s="176"/>
      <c r="X165" s="176"/>
      <c r="Y165" s="176"/>
      <c r="Z165" s="176"/>
      <c r="AA165" s="178"/>
      <c r="AB165" s="179" t="str">
        <f>CLEAN(IFERROR(INDEX(TableSetRepSchemes,MATCH('[2]4L-WU1-9P'!$C165,ListSetRepSchemes,0),COLUMNS($R165:AB165)),""))</f>
        <v/>
      </c>
      <c r="AC165" s="178"/>
      <c r="AD165" s="178">
        <f>IFERROR(INDEX(TableSetRepSchemes,MATCH('1'!$C165,ListSetRepSchemes,0),COLUMNS($R165:AD165)),"")</f>
        <v>0</v>
      </c>
      <c r="AE165" s="178">
        <f>IFERROR(INDEX(TableSetRepSchemes,MATCH('1'!$C165,ListSetRepSchemes,0),COLUMNS($R165:AE165)),"")</f>
        <v>0</v>
      </c>
      <c r="AF165" s="178">
        <f>IFERROR(INDEX(TableSetRepSchemes,MATCH('1'!$C165,ListSetRepSchemes,0),COLUMNS($R165:AF165)),"")</f>
        <v>0</v>
      </c>
      <c r="AG165" s="178">
        <f>IFERROR(INDEX(TableSetRepSchemes,MATCH('1'!$C165,ListSetRepSchemes,0),COLUMNS($R165:AG165)),"")</f>
        <v>0</v>
      </c>
      <c r="AH165" s="178">
        <f>IFERROR(INDEX(TableSetRepSchemes,MATCH('1'!$C165,ListSetRepSchemes,0),COLUMNS($R165:AH165)),"")</f>
        <v>0</v>
      </c>
      <c r="AI165" s="178">
        <f>IFERROR(INDEX(TableSetRepSchemes,MATCH('1'!$C165,ListSetRepSchemes,0),COLUMNS($R165:AI165)),"")</f>
        <v>0</v>
      </c>
      <c r="AJ165" s="178"/>
      <c r="AK165" s="179" t="str">
        <f>CLEAN(IFERROR(INDEX(TableSetRepSchemes,MATCH('1'!$C165,ListSetRepSchemes,0),COLUMNS($R165:AK165)),""))</f>
        <v/>
      </c>
      <c r="AL165" s="178"/>
      <c r="AM165" s="178">
        <f>IFERROR(INDEX(TableSetRepSchemes,MATCH('1'!$C165,ListSetRepSchemes,0),COLUMNS($R165:AM165)),"")</f>
        <v>0</v>
      </c>
      <c r="AN165" s="178">
        <f>IFERROR(INDEX(TableSetRepSchemes,MATCH('1'!$C165,ListSetRepSchemes,0),COLUMNS($R165:AN165)),"")</f>
        <v>0</v>
      </c>
      <c r="AO165" s="178">
        <f>IFERROR(INDEX(TableSetRepSchemes,MATCH('1'!$C165,ListSetRepSchemes,0),COLUMNS($R165:AO165)),"")</f>
        <v>0</v>
      </c>
      <c r="AP165" s="178">
        <f>IFERROR(INDEX(TableSetRepSchemes,MATCH('1'!$C165,ListSetRepSchemes,0),COLUMNS($R165:AP165)),"")</f>
        <v>0</v>
      </c>
      <c r="AQ165" s="178">
        <f>IFERROR(INDEX(TableSetRepSchemes,MATCH('1'!$C165,ListSetRepSchemes,0),COLUMNS($R165:AQ165)),"")</f>
        <v>0</v>
      </c>
      <c r="AR165" s="178">
        <f>IFERROR(INDEX(TableSetRepSchemes,MATCH('1'!$C165,ListSetRepSchemes,0),COLUMNS($R165:AR165)),"")</f>
        <v>0</v>
      </c>
      <c r="AS165" s="178"/>
      <c r="AT165" s="179" t="str">
        <f>CLEAN(IFERROR(INDEX(TableSetRepSchemes,MATCH('1'!$C165,ListSetRepSchemes,0),COLUMNS($R165:AT165)),""))</f>
        <v/>
      </c>
      <c r="AU165" s="178"/>
      <c r="AV165" s="178">
        <f>IFERROR(INDEX(TableSetRepSchemes,MATCH('1'!$C165,ListSetRepSchemes,0),COLUMNS($R165:AV165)),"")</f>
        <v>0</v>
      </c>
      <c r="AW165" s="178">
        <f>IFERROR(INDEX(TableSetRepSchemes,MATCH('1'!$C165,ListSetRepSchemes,0),COLUMNS($R165:AW165)),"")</f>
        <v>0</v>
      </c>
      <c r="AX165" s="178">
        <f>IFERROR(INDEX(TableSetRepSchemes,MATCH('1'!$C165,ListSetRepSchemes,0),COLUMNS($R165:AX165)),"")</f>
        <v>0</v>
      </c>
      <c r="AY165" s="178">
        <f>IFERROR(INDEX(TableSetRepSchemes,MATCH('1'!$C165,ListSetRepSchemes,0),COLUMNS($R165:AY165)),"")</f>
        <v>0</v>
      </c>
      <c r="AZ165" s="178">
        <f>IFERROR(INDEX(TableSetRepSchemes,MATCH('1'!$C165,ListSetRepSchemes,0),COLUMNS($R165:AZ165)),"")</f>
        <v>0</v>
      </c>
      <c r="BA165" s="178">
        <f>IFERROR(INDEX(TableSetRepSchemes,MATCH('1'!$C165,ListSetRepSchemes,0),COLUMNS($R165:BA165)),"")</f>
        <v>0</v>
      </c>
      <c r="BB165" s="180"/>
      <c r="BC165" s="36"/>
      <c r="BG165" s="181" t="s">
        <v>308</v>
      </c>
      <c r="BH165" s="182">
        <f>IFERROR(SUM(SUBSTITUTE(U165,"/s",""),V165:Z165),0)</f>
        <v>0</v>
      </c>
      <c r="BI165" s="182">
        <f>SUM(SUBSTITUTE(AD165,"/s",""),AE165:AI165)</f>
        <v>0</v>
      </c>
      <c r="BJ165" s="182">
        <f>SUM(AM165:AR165)</f>
        <v>0</v>
      </c>
      <c r="BK165" s="182">
        <f>SUM(AV165:BA165)</f>
        <v>0</v>
      </c>
      <c r="BL165" s="195"/>
      <c r="BM165" s="184"/>
      <c r="BN165" s="184"/>
      <c r="BO165" s="184"/>
      <c r="BP165" s="184"/>
      <c r="BS165" s="181" t="s">
        <v>308</v>
      </c>
      <c r="BT165" s="50" t="str">
        <f>IF($B165="PE",BH165,"")</f>
        <v/>
      </c>
      <c r="BU165" s="186" t="str">
        <f>IF($B165="PE",BI165,"")</f>
        <v/>
      </c>
      <c r="BV165" s="186" t="str">
        <f>IF($B165="PE",BJ165,"")</f>
        <v/>
      </c>
      <c r="BW165" s="186" t="str">
        <f>IF($B165="PE",BK165,"")</f>
        <v/>
      </c>
      <c r="BX165" s="187" t="e">
        <f t="shared" si="6"/>
        <v>#N/A</v>
      </c>
    </row>
    <row r="166" spans="1:106" s="34" customFormat="1" ht="34" customHeight="1">
      <c r="A166" s="129"/>
      <c r="B166" s="129"/>
      <c r="C166" s="129"/>
      <c r="D166" s="129"/>
      <c r="E166" s="129"/>
      <c r="F166" s="129"/>
      <c r="G166" s="129"/>
      <c r="H166" s="129"/>
      <c r="J166" s="36"/>
      <c r="K166" s="188"/>
      <c r="L166" s="189"/>
      <c r="M166" s="189"/>
      <c r="N166" s="189"/>
      <c r="O166" s="189"/>
      <c r="P166" s="190"/>
      <c r="Q166" s="191"/>
      <c r="R166" s="192"/>
      <c r="S166" s="193"/>
      <c r="T166" s="111"/>
      <c r="U166" s="176"/>
      <c r="V166" s="176"/>
      <c r="W166" s="176"/>
      <c r="X166" s="176"/>
      <c r="Y166" s="176"/>
      <c r="Z166" s="176"/>
      <c r="AA166" s="178"/>
      <c r="AB166" s="194"/>
      <c r="AC166" s="178"/>
      <c r="AD166" s="178"/>
      <c r="AE166" s="178"/>
      <c r="AF166" s="178"/>
      <c r="AG166" s="178"/>
      <c r="AH166" s="178"/>
      <c r="AI166" s="178"/>
      <c r="AJ166" s="178"/>
      <c r="AK166" s="194"/>
      <c r="AL166" s="178"/>
      <c r="AM166" s="178"/>
      <c r="AN166" s="178"/>
      <c r="AO166" s="178"/>
      <c r="AP166" s="178"/>
      <c r="AQ166" s="178"/>
      <c r="AR166" s="178"/>
      <c r="AS166" s="178"/>
      <c r="AT166" s="194"/>
      <c r="AU166" s="178"/>
      <c r="AV166" s="178"/>
      <c r="AW166" s="178"/>
      <c r="AX166" s="178"/>
      <c r="AY166" s="178"/>
      <c r="AZ166" s="178"/>
      <c r="BA166" s="178"/>
      <c r="BB166" s="180"/>
      <c r="BC166" s="36"/>
      <c r="BG166" s="181" t="s">
        <v>310</v>
      </c>
      <c r="BH166" s="182">
        <f>IFERROR((SUBSTITUTE(U165,"/s","")*U166)+(V165*V166)+(W165*W166)+(X165*X166)+(Y165*Y166)+(Z165*Z166),0)</f>
        <v>0</v>
      </c>
      <c r="BI166" s="182">
        <f>IFERROR((SUBSTITUTE(AD165,"/s","")*AD166)+(AE165*AE166)+(AF165*AF166)+(AG165*AG166)+(AH165*AH166)+(AI165*AI166),0)</f>
        <v>0</v>
      </c>
      <c r="BJ166" s="182">
        <f>IFERROR((AM165*AM166)+(AN165*AN166)+(AO165*AO166)+(AP165*AP166)+(AQ165*AQ166)+(AR165*AR166),"")</f>
        <v>0</v>
      </c>
      <c r="BK166" s="182">
        <f>IFERROR((AV165*AV166)+(AW165*AW166)+(AX165*AX166)+(AY165*AY166)+(AZ165*AZ166)+(BA165*BA166),"")</f>
        <v>0</v>
      </c>
      <c r="BL166" s="195">
        <f>IFERROR(BH166+BI166+BJ166+BK166,NA())</f>
        <v>0</v>
      </c>
      <c r="BM166" s="184"/>
      <c r="BN166" s="184"/>
      <c r="BO166" s="184"/>
      <c r="BP166" s="184"/>
      <c r="BS166" s="181" t="s">
        <v>310</v>
      </c>
      <c r="BT166" s="50">
        <f>IF($B165="PE",(BH166*$E165*$F165),0)</f>
        <v>0</v>
      </c>
      <c r="BU166" s="186">
        <f>IF($B165="PE",(BI166*$E165*$F165),0)</f>
        <v>0</v>
      </c>
      <c r="BV166" s="186">
        <f>IF($B165="PE",(BJ166*$E165*$F165),0)</f>
        <v>0</v>
      </c>
      <c r="BW166" s="186">
        <f>IF($B165="PE",(BK166*$E165*$F165),0)</f>
        <v>0</v>
      </c>
      <c r="BX166" s="187">
        <f t="shared" si="6"/>
        <v>0</v>
      </c>
    </row>
    <row r="167" spans="1:106" s="34" customFormat="1" ht="3" customHeight="1" thickBot="1">
      <c r="A167" s="35"/>
      <c r="B167" s="35"/>
      <c r="C167" s="35"/>
      <c r="J167" s="36"/>
      <c r="K167" s="206"/>
      <c r="L167" s="224"/>
      <c r="M167" s="224"/>
      <c r="N167" s="224"/>
      <c r="O167" s="224"/>
      <c r="P167" s="224"/>
      <c r="Q167" s="224"/>
      <c r="R167" s="224"/>
      <c r="S167" s="208"/>
      <c r="T167" s="209"/>
      <c r="U167" s="209"/>
      <c r="V167" s="209"/>
      <c r="W167" s="209"/>
      <c r="X167" s="209"/>
      <c r="Y167" s="209"/>
      <c r="Z167" s="209"/>
      <c r="AA167" s="209"/>
      <c r="AB167" s="208"/>
      <c r="AC167" s="209"/>
      <c r="AD167" s="209"/>
      <c r="AE167" s="209"/>
      <c r="AF167" s="209"/>
      <c r="AG167" s="209"/>
      <c r="AH167" s="209"/>
      <c r="AI167" s="209"/>
      <c r="AJ167" s="209"/>
      <c r="AK167" s="208"/>
      <c r="AL167" s="209"/>
      <c r="AM167" s="209"/>
      <c r="AN167" s="209"/>
      <c r="AO167" s="209"/>
      <c r="AP167" s="209"/>
      <c r="AQ167" s="209"/>
      <c r="AR167" s="209"/>
      <c r="AS167" s="209"/>
      <c r="AT167" s="208"/>
      <c r="AU167" s="209"/>
      <c r="AV167" s="209"/>
      <c r="AW167" s="209"/>
      <c r="AX167" s="209"/>
      <c r="AY167" s="209"/>
      <c r="AZ167" s="209"/>
      <c r="BA167" s="209"/>
      <c r="BB167" s="210"/>
      <c r="BC167" s="36"/>
      <c r="BL167" s="183"/>
      <c r="BM167" s="184"/>
      <c r="BN167" s="184"/>
      <c r="BO167" s="184"/>
      <c r="BP167" s="184"/>
    </row>
    <row r="168" spans="1:106" s="34" customFormat="1" ht="19" customHeight="1">
      <c r="A168" s="35"/>
      <c r="B168" s="35"/>
      <c r="C168" s="35"/>
      <c r="J168" s="36"/>
      <c r="K168" s="111"/>
      <c r="L168" s="227"/>
      <c r="M168" s="227"/>
      <c r="N168" s="227"/>
      <c r="O168" s="227"/>
      <c r="P168" s="227"/>
      <c r="Q168" s="227"/>
      <c r="R168" s="227"/>
      <c r="S168" s="36"/>
      <c r="T168" s="36"/>
      <c r="U168" s="36"/>
      <c r="V168" s="36"/>
      <c r="W168" s="36"/>
      <c r="X168" s="36"/>
      <c r="Y168" s="36"/>
      <c r="Z168" s="36"/>
      <c r="AA168" s="36"/>
      <c r="AB168" s="36"/>
      <c r="AC168" s="36"/>
      <c r="AD168" s="36"/>
      <c r="AE168" s="36"/>
      <c r="AF168" s="36"/>
      <c r="AG168" s="36"/>
      <c r="AH168" s="36"/>
      <c r="AI168" s="36"/>
      <c r="AJ168" s="36"/>
      <c r="AK168" s="36"/>
      <c r="AL168" s="36"/>
      <c r="AM168" s="36"/>
      <c r="AN168" s="36"/>
      <c r="AO168" s="36"/>
      <c r="AP168" s="36"/>
      <c r="AQ168" s="36"/>
      <c r="AR168" s="36"/>
      <c r="AS168" s="36"/>
      <c r="AT168" s="36"/>
      <c r="AU168" s="36"/>
      <c r="AV168" s="36"/>
      <c r="AW168" s="36"/>
      <c r="AX168" s="36"/>
      <c r="AY168" s="36"/>
      <c r="AZ168" s="36"/>
      <c r="BA168" s="36"/>
      <c r="BB168" s="36"/>
      <c r="BC168" s="36"/>
      <c r="BL168" s="183"/>
      <c r="BM168" s="184"/>
      <c r="BN168" s="184"/>
      <c r="BO168" s="184"/>
      <c r="BP168" s="184"/>
    </row>
    <row r="169" spans="1:106" s="34" customFormat="1" ht="17" customHeight="1">
      <c r="A169" s="35"/>
      <c r="B169" s="35"/>
      <c r="C169" s="35"/>
      <c r="J169" s="36"/>
      <c r="K169" s="111"/>
      <c r="L169" s="227"/>
      <c r="M169" s="227"/>
      <c r="N169" s="227"/>
      <c r="O169" s="227"/>
      <c r="P169" s="227"/>
      <c r="Q169" s="227"/>
      <c r="R169" s="227"/>
      <c r="S169" s="36"/>
      <c r="T169" s="36"/>
      <c r="U169" s="36"/>
      <c r="V169" s="36"/>
      <c r="W169" s="36"/>
      <c r="X169" s="36"/>
      <c r="Y169" s="36"/>
      <c r="Z169" s="36"/>
      <c r="AA169" s="36"/>
      <c r="AB169" s="36"/>
      <c r="AC169" s="36"/>
      <c r="AD169" s="36"/>
      <c r="AE169" s="36"/>
      <c r="AF169" s="36"/>
      <c r="AG169" s="36"/>
      <c r="AH169" s="36"/>
      <c r="AI169" s="36"/>
      <c r="AJ169" s="36"/>
      <c r="AK169" s="36"/>
      <c r="AL169" s="36"/>
      <c r="AM169" s="36"/>
      <c r="AN169" s="36"/>
      <c r="AO169" s="36"/>
      <c r="AP169" s="36"/>
      <c r="AQ169" s="36"/>
      <c r="AR169" s="36"/>
      <c r="AS169" s="36"/>
      <c r="AT169" s="36"/>
      <c r="AU169" s="36"/>
      <c r="AV169" s="36"/>
      <c r="AW169" s="36"/>
      <c r="AX169" s="36"/>
      <c r="AY169" s="36"/>
      <c r="AZ169" s="36"/>
      <c r="BA169" s="36"/>
      <c r="BB169" s="36"/>
      <c r="BC169" s="36"/>
      <c r="BL169" s="183"/>
      <c r="BM169" s="184"/>
      <c r="BN169" s="184"/>
      <c r="BO169" s="184"/>
      <c r="BP169" s="184"/>
    </row>
    <row r="170" spans="1:106" s="34" customFormat="1" ht="17" customHeight="1">
      <c r="A170" s="35"/>
      <c r="B170" s="35"/>
      <c r="C170" s="35"/>
      <c r="J170" s="36"/>
      <c r="K170" s="111"/>
      <c r="L170" s="227"/>
      <c r="M170" s="227"/>
      <c r="N170" s="227"/>
      <c r="O170" s="227"/>
      <c r="P170" s="227"/>
      <c r="Q170" s="227"/>
      <c r="R170" s="227"/>
      <c r="S170" s="36"/>
      <c r="T170" s="36"/>
      <c r="U170" s="36"/>
      <c r="V170" s="36"/>
      <c r="W170" s="36"/>
      <c r="X170" s="36"/>
      <c r="Y170" s="36"/>
      <c r="Z170" s="36"/>
      <c r="AA170" s="36"/>
      <c r="AB170" s="36"/>
      <c r="AC170" s="36"/>
      <c r="AD170" s="36"/>
      <c r="AE170" s="36"/>
      <c r="AF170" s="36"/>
      <c r="AG170" s="36"/>
      <c r="AH170" s="36"/>
      <c r="AI170" s="36"/>
      <c r="AJ170" s="36"/>
      <c r="AK170" s="36"/>
      <c r="AL170" s="36"/>
      <c r="AM170" s="36"/>
      <c r="AN170" s="36"/>
      <c r="AO170" s="36"/>
      <c r="AP170" s="36"/>
      <c r="AQ170" s="36"/>
      <c r="AR170" s="36"/>
      <c r="AS170" s="36"/>
      <c r="AT170" s="36"/>
      <c r="AU170" s="36"/>
      <c r="AV170" s="36"/>
      <c r="AW170" s="36"/>
      <c r="AX170" s="36"/>
      <c r="AY170" s="36"/>
      <c r="AZ170" s="36"/>
      <c r="BA170" s="36"/>
      <c r="BB170" s="36"/>
      <c r="BC170" s="36"/>
      <c r="BL170" s="183"/>
      <c r="BM170" s="184"/>
      <c r="BN170" s="184"/>
      <c r="BO170" s="184"/>
      <c r="BP170" s="184"/>
    </row>
    <row r="171" spans="1:106" s="34" customFormat="1" ht="9" customHeight="1">
      <c r="J171" s="36"/>
      <c r="K171" s="36"/>
      <c r="L171" s="36"/>
      <c r="M171" s="36"/>
      <c r="N171" s="36"/>
      <c r="O171" s="36"/>
      <c r="P171" s="36"/>
      <c r="Q171" s="36"/>
      <c r="R171" s="36"/>
      <c r="S171" s="36"/>
      <c r="T171" s="36"/>
      <c r="U171" s="36"/>
      <c r="V171" s="36"/>
      <c r="W171" s="36"/>
      <c r="X171" s="36"/>
      <c r="Y171" s="36"/>
      <c r="Z171" s="36"/>
      <c r="AA171" s="36"/>
      <c r="AB171" s="36"/>
      <c r="AC171" s="36"/>
      <c r="AD171" s="36"/>
      <c r="AE171" s="36"/>
      <c r="AF171" s="36"/>
      <c r="AG171" s="36"/>
      <c r="AH171" s="36"/>
      <c r="AI171" s="36"/>
      <c r="AJ171" s="36"/>
      <c r="AK171" s="36"/>
      <c r="AL171" s="36"/>
      <c r="AM171" s="36"/>
      <c r="AN171" s="36"/>
      <c r="AO171" s="36"/>
      <c r="AP171" s="36"/>
      <c r="AQ171" s="36"/>
      <c r="AR171" s="36"/>
      <c r="AS171" s="36"/>
      <c r="AT171" s="36"/>
      <c r="AU171" s="36"/>
      <c r="AV171" s="36"/>
      <c r="AW171" s="36"/>
      <c r="AX171" s="36"/>
      <c r="AY171" s="36"/>
      <c r="AZ171" s="36"/>
      <c r="BA171" s="36"/>
      <c r="BB171" s="36"/>
      <c r="BC171" s="36"/>
    </row>
    <row r="172" spans="1:106" s="34" customFormat="1" ht="34.5" customHeight="1">
      <c r="J172" s="36"/>
      <c r="K172" s="62"/>
      <c r="L172" s="62"/>
      <c r="M172" s="63">
        <f>$M$11</f>
        <v>0</v>
      </c>
      <c r="N172" s="63"/>
      <c r="O172" s="63"/>
      <c r="P172" s="63"/>
      <c r="Q172" s="63"/>
      <c r="R172" s="63"/>
      <c r="S172" s="63"/>
      <c r="T172" s="63"/>
      <c r="U172" s="63"/>
      <c r="V172" s="63"/>
      <c r="W172" s="63"/>
      <c r="X172" s="64"/>
      <c r="Y172" s="36"/>
      <c r="Z172" s="65" t="s">
        <v>221</v>
      </c>
      <c r="AA172" s="65"/>
      <c r="AB172" s="65"/>
      <c r="AC172" s="65"/>
      <c r="AD172" s="66">
        <f>$AD$11</f>
        <v>45432</v>
      </c>
      <c r="AE172" s="66"/>
      <c r="AF172" s="67" t="s">
        <v>222</v>
      </c>
      <c r="AG172" s="66">
        <f>$AG$11</f>
        <v>45427</v>
      </c>
      <c r="AH172" s="66"/>
      <c r="AI172" s="68"/>
      <c r="AJ172" s="69"/>
      <c r="AK172" s="69"/>
      <c r="AL172" s="69"/>
      <c r="AM172" s="69"/>
      <c r="AN172" s="70"/>
      <c r="AO172" s="65" t="s">
        <v>223</v>
      </c>
      <c r="AP172" s="65"/>
      <c r="AQ172" s="71" t="str">
        <f>$AR$11</f>
        <v>Meso 1</v>
      </c>
      <c r="AR172" s="71"/>
      <c r="AS172" s="71"/>
      <c r="AT172" s="71"/>
      <c r="AU172" s="71"/>
      <c r="AV172" s="71"/>
      <c r="AW172" s="71"/>
      <c r="AX172" s="71"/>
      <c r="AY172" s="71"/>
      <c r="AZ172" s="72"/>
      <c r="BA172" s="72"/>
      <c r="BB172" s="136"/>
      <c r="BC172" s="36"/>
      <c r="BT172" s="219"/>
      <c r="BU172" s="219"/>
      <c r="BV172" s="219"/>
      <c r="BW172" s="219"/>
      <c r="CQ172" s="35"/>
      <c r="CY172" s="219"/>
      <c r="CZ172" s="219"/>
      <c r="DA172" s="219"/>
      <c r="DB172" s="219"/>
    </row>
    <row r="173" spans="1:106" s="34" customFormat="1" ht="26" customHeight="1" thickBot="1">
      <c r="J173" s="36"/>
      <c r="K173" s="36"/>
      <c r="L173" s="36"/>
      <c r="M173" s="36"/>
      <c r="N173" s="36"/>
      <c r="O173" s="36"/>
      <c r="P173" s="36"/>
      <c r="Q173" s="36"/>
      <c r="R173" s="36"/>
      <c r="S173" s="36"/>
      <c r="T173" s="136"/>
      <c r="U173" s="36"/>
      <c r="V173" s="36"/>
      <c r="W173" s="36"/>
      <c r="X173" s="36"/>
      <c r="Y173" s="36"/>
      <c r="Z173" s="36"/>
      <c r="AA173" s="136"/>
      <c r="AB173" s="36"/>
      <c r="AC173" s="136"/>
      <c r="AD173" s="36"/>
      <c r="AE173" s="36"/>
      <c r="AF173" s="36"/>
      <c r="AG173" s="36"/>
      <c r="AH173" s="36"/>
      <c r="AI173" s="36"/>
      <c r="AJ173" s="136"/>
      <c r="AK173" s="36"/>
      <c r="AL173" s="136"/>
      <c r="AM173" s="36"/>
      <c r="AN173" s="36"/>
      <c r="AO173" s="36"/>
      <c r="AP173" s="36"/>
      <c r="AQ173" s="36"/>
      <c r="AR173" s="36"/>
      <c r="AS173" s="36"/>
      <c r="AT173" s="36"/>
      <c r="AU173" s="136"/>
      <c r="AV173" s="36"/>
      <c r="AW173" s="36"/>
      <c r="AX173" s="36"/>
      <c r="AY173" s="36"/>
      <c r="AZ173" s="36"/>
      <c r="BA173" s="36"/>
      <c r="BB173" s="136"/>
      <c r="BC173" s="36"/>
      <c r="BF173" s="245"/>
      <c r="BG173" s="245"/>
      <c r="BH173" s="245"/>
      <c r="BI173" s="245"/>
      <c r="BJ173" s="245"/>
      <c r="BK173" s="245"/>
      <c r="BL173" s="245"/>
      <c r="BM173" s="245"/>
      <c r="BN173" s="245"/>
      <c r="BO173" s="245"/>
      <c r="BP173" s="245"/>
      <c r="BQ173" s="245"/>
      <c r="BR173" s="245"/>
      <c r="BS173" s="245"/>
      <c r="BT173" s="245"/>
      <c r="BU173" s="245"/>
      <c r="BV173" s="245"/>
      <c r="BW173" s="245"/>
      <c r="BX173" s="245"/>
      <c r="BY173" s="245"/>
      <c r="BZ173" s="245"/>
      <c r="CA173" s="245"/>
      <c r="CB173" s="245"/>
      <c r="CC173" s="245"/>
      <c r="CD173" s="245"/>
      <c r="CE173" s="245"/>
      <c r="CF173" s="245"/>
      <c r="CG173" s="245"/>
      <c r="CH173" s="245"/>
      <c r="CI173" s="245"/>
      <c r="CJ173" s="245"/>
      <c r="CK173" s="245"/>
      <c r="CQ173" s="35"/>
    </row>
    <row r="174" spans="1:106" s="34" customFormat="1" ht="31" customHeight="1">
      <c r="J174" s="36"/>
      <c r="K174" s="246"/>
      <c r="L174" s="247"/>
      <c r="M174" s="247"/>
      <c r="N174" s="247"/>
      <c r="O174" s="247"/>
      <c r="P174" s="247"/>
      <c r="Q174" s="247"/>
      <c r="R174" s="247"/>
      <c r="S174" s="247"/>
      <c r="T174" s="247"/>
      <c r="U174" s="247"/>
      <c r="V174" s="247"/>
      <c r="W174" s="247"/>
      <c r="X174" s="248"/>
      <c r="Y174" s="248"/>
      <c r="Z174" s="248"/>
      <c r="AA174" s="248"/>
      <c r="AB174" s="248"/>
      <c r="AC174" s="248"/>
      <c r="AD174" s="248"/>
      <c r="AE174" s="248"/>
      <c r="AF174" s="248"/>
      <c r="AG174" s="248"/>
      <c r="AH174" s="248"/>
      <c r="AI174" s="248"/>
      <c r="AJ174" s="248"/>
      <c r="AK174" s="248"/>
      <c r="AL174" s="248"/>
      <c r="AM174" s="248"/>
      <c r="AN174" s="248"/>
      <c r="AO174" s="248"/>
      <c r="AP174" s="247"/>
      <c r="AQ174" s="247"/>
      <c r="AR174" s="247"/>
      <c r="AS174" s="247"/>
      <c r="AT174" s="247"/>
      <c r="AU174" s="247"/>
      <c r="AV174" s="247"/>
      <c r="AW174" s="247"/>
      <c r="AX174" s="247"/>
      <c r="AY174" s="247"/>
      <c r="AZ174" s="247"/>
      <c r="BA174" s="249"/>
      <c r="BB174" s="36"/>
      <c r="BC174" s="36"/>
      <c r="BF174" s="245"/>
      <c r="BG174" s="245"/>
      <c r="BH174" s="245"/>
      <c r="BI174" s="245"/>
      <c r="BJ174" s="245"/>
      <c r="BK174" s="245"/>
      <c r="BL174" s="245"/>
      <c r="BM174" s="245"/>
      <c r="BN174" s="245"/>
      <c r="BO174" s="245"/>
      <c r="BP174" s="245"/>
      <c r="BQ174" s="245"/>
      <c r="BR174" s="245"/>
      <c r="BS174" s="245"/>
      <c r="BT174" s="245"/>
      <c r="BU174" s="245"/>
      <c r="BV174" s="245"/>
      <c r="BW174" s="245"/>
      <c r="BX174" s="245"/>
      <c r="BY174" s="245"/>
      <c r="BZ174" s="245"/>
      <c r="CA174" s="245"/>
      <c r="CB174" s="245"/>
      <c r="CC174" s="245"/>
      <c r="CD174" s="245"/>
      <c r="CE174" s="245"/>
      <c r="CF174" s="245"/>
      <c r="CG174" s="245"/>
      <c r="CH174" s="245"/>
      <c r="CI174" s="245"/>
      <c r="CJ174" s="245"/>
      <c r="CK174" s="245"/>
      <c r="CQ174" s="35"/>
    </row>
    <row r="175" spans="1:106" s="34" customFormat="1" ht="31" customHeight="1">
      <c r="J175" s="36"/>
      <c r="K175" s="162" t="s">
        <v>375</v>
      </c>
      <c r="L175" s="163"/>
      <c r="M175" s="163"/>
      <c r="N175" s="163"/>
      <c r="O175" s="163"/>
      <c r="P175" s="163"/>
      <c r="Q175" s="163"/>
      <c r="R175" s="163"/>
      <c r="S175" s="163"/>
      <c r="T175" s="250"/>
      <c r="U175" s="89">
        <v>1</v>
      </c>
      <c r="V175" s="89">
        <v>2</v>
      </c>
      <c r="W175" s="89">
        <v>3</v>
      </c>
      <c r="X175" s="89">
        <v>4</v>
      </c>
      <c r="Y175" s="89">
        <v>5</v>
      </c>
      <c r="Z175" s="89">
        <v>6</v>
      </c>
      <c r="AA175" s="251">
        <v>7</v>
      </c>
      <c r="AB175" s="251"/>
      <c r="AC175" s="251"/>
      <c r="AD175" s="89">
        <v>8</v>
      </c>
      <c r="AE175" s="89">
        <v>9</v>
      </c>
      <c r="AF175" s="89">
        <v>10</v>
      </c>
      <c r="AG175" s="89">
        <v>11</v>
      </c>
      <c r="AH175" s="89">
        <v>12</v>
      </c>
      <c r="AI175" s="89">
        <v>13</v>
      </c>
      <c r="AJ175" s="251">
        <v>14</v>
      </c>
      <c r="AK175" s="251"/>
      <c r="AL175" s="251"/>
      <c r="AM175" s="252">
        <v>15</v>
      </c>
      <c r="AN175" s="252">
        <v>16</v>
      </c>
      <c r="AO175" s="252">
        <v>17</v>
      </c>
      <c r="AP175" s="252">
        <v>18</v>
      </c>
      <c r="AQ175" s="252">
        <v>19</v>
      </c>
      <c r="AR175" s="252">
        <v>20</v>
      </c>
      <c r="AS175" s="251">
        <v>21</v>
      </c>
      <c r="AT175" s="251"/>
      <c r="AU175" s="251"/>
      <c r="AV175" s="252">
        <v>22</v>
      </c>
      <c r="AW175" s="252">
        <v>23</v>
      </c>
      <c r="AX175" s="252">
        <v>24</v>
      </c>
      <c r="AY175" s="252">
        <v>25</v>
      </c>
      <c r="AZ175" s="252">
        <v>26</v>
      </c>
      <c r="BA175" s="253">
        <v>27</v>
      </c>
      <c r="BB175" s="254"/>
      <c r="BC175" s="36"/>
      <c r="BF175" s="245"/>
      <c r="BG175" s="245"/>
      <c r="BH175" s="245"/>
      <c r="BI175" s="245"/>
      <c r="BJ175" s="245"/>
      <c r="BK175" s="245"/>
      <c r="BL175" s="245"/>
      <c r="BM175" s="245"/>
      <c r="BN175" s="245"/>
      <c r="BO175" s="245"/>
      <c r="BP175" s="245"/>
      <c r="BQ175" s="245"/>
      <c r="BR175" s="245"/>
      <c r="BS175" s="245"/>
      <c r="BT175" s="245"/>
      <c r="BU175" s="245"/>
      <c r="BV175" s="245"/>
      <c r="BW175" s="245"/>
      <c r="BX175" s="245"/>
      <c r="BY175" s="245"/>
      <c r="BZ175" s="245"/>
      <c r="CA175" s="245"/>
      <c r="CB175" s="245"/>
      <c r="CC175" s="245"/>
      <c r="CD175" s="245"/>
      <c r="CE175" s="245"/>
      <c r="CF175" s="245"/>
      <c r="CG175" s="245"/>
      <c r="CH175" s="245"/>
      <c r="CI175" s="245"/>
      <c r="CJ175" s="245"/>
      <c r="CK175" s="245"/>
      <c r="CQ175" s="35"/>
    </row>
    <row r="176" spans="1:106" s="34" customFormat="1" ht="31" customHeight="1" thickBot="1">
      <c r="A176" s="114"/>
      <c r="B176" s="114"/>
      <c r="C176" s="216"/>
      <c r="D176" s="86"/>
      <c r="E176" s="87" t="s">
        <v>234</v>
      </c>
      <c r="F176" s="87" t="s">
        <v>235</v>
      </c>
      <c r="G176" s="86"/>
      <c r="H176" s="86"/>
      <c r="J176" s="36"/>
      <c r="K176" s="162"/>
      <c r="L176" s="163"/>
      <c r="M176" s="163"/>
      <c r="N176" s="163"/>
      <c r="O176" s="163"/>
      <c r="P176" s="163"/>
      <c r="Q176" s="163"/>
      <c r="R176" s="163"/>
      <c r="S176" s="163"/>
      <c r="T176" s="255"/>
      <c r="U176" s="256">
        <f>$AD$11</f>
        <v>45432</v>
      </c>
      <c r="V176" s="257">
        <f>U176+1</f>
        <v>45433</v>
      </c>
      <c r="W176" s="257">
        <f t="shared" ref="W176:AA176" si="7">V176+1</f>
        <v>45434</v>
      </c>
      <c r="X176" s="257">
        <f t="shared" si="7"/>
        <v>45435</v>
      </c>
      <c r="Y176" s="257">
        <f t="shared" si="7"/>
        <v>45436</v>
      </c>
      <c r="Z176" s="257">
        <f t="shared" si="7"/>
        <v>45437</v>
      </c>
      <c r="AA176" s="258">
        <f t="shared" si="7"/>
        <v>45438</v>
      </c>
      <c r="AB176" s="259"/>
      <c r="AC176" s="260"/>
      <c r="AD176" s="256">
        <f>AA176+1</f>
        <v>45439</v>
      </c>
      <c r="AE176" s="257">
        <f t="shared" ref="AE176:AJ176" si="8">AD176+1</f>
        <v>45440</v>
      </c>
      <c r="AF176" s="257">
        <f t="shared" si="8"/>
        <v>45441</v>
      </c>
      <c r="AG176" s="257">
        <f t="shared" si="8"/>
        <v>45442</v>
      </c>
      <c r="AH176" s="257">
        <f t="shared" si="8"/>
        <v>45443</v>
      </c>
      <c r="AI176" s="257">
        <f t="shared" si="8"/>
        <v>45444</v>
      </c>
      <c r="AJ176" s="258">
        <f t="shared" si="8"/>
        <v>45445</v>
      </c>
      <c r="AK176" s="259"/>
      <c r="AL176" s="260"/>
      <c r="AM176" s="257">
        <f>AJ176+1</f>
        <v>45446</v>
      </c>
      <c r="AN176" s="257">
        <f t="shared" ref="AN176:AS176" si="9">AM176+1</f>
        <v>45447</v>
      </c>
      <c r="AO176" s="257">
        <f t="shared" si="9"/>
        <v>45448</v>
      </c>
      <c r="AP176" s="257">
        <f t="shared" si="9"/>
        <v>45449</v>
      </c>
      <c r="AQ176" s="257">
        <f t="shared" si="9"/>
        <v>45450</v>
      </c>
      <c r="AR176" s="257">
        <f t="shared" si="9"/>
        <v>45451</v>
      </c>
      <c r="AS176" s="258">
        <f t="shared" si="9"/>
        <v>45452</v>
      </c>
      <c r="AT176" s="259"/>
      <c r="AU176" s="260"/>
      <c r="AV176" s="257">
        <f>AS176+1</f>
        <v>45453</v>
      </c>
      <c r="AW176" s="257">
        <f t="shared" ref="AW176:AZ176" si="10">AV176+1</f>
        <v>45454</v>
      </c>
      <c r="AX176" s="257">
        <f t="shared" si="10"/>
        <v>45455</v>
      </c>
      <c r="AY176" s="257">
        <f t="shared" si="10"/>
        <v>45456</v>
      </c>
      <c r="AZ176" s="257">
        <f t="shared" si="10"/>
        <v>45457</v>
      </c>
      <c r="BA176" s="261">
        <f>AZ176+1</f>
        <v>45458</v>
      </c>
      <c r="BB176" s="262"/>
      <c r="BC176" s="36"/>
      <c r="BF176" s="245"/>
      <c r="BG176" s="245"/>
      <c r="BH176" s="245"/>
      <c r="BI176" s="245"/>
      <c r="BJ176" s="245"/>
      <c r="BK176" s="245"/>
      <c r="BL176" s="245"/>
      <c r="BM176" s="245"/>
      <c r="BN176" s="245"/>
      <c r="BO176" s="245"/>
      <c r="BP176" s="245"/>
      <c r="BQ176" s="245"/>
      <c r="BR176" s="245"/>
      <c r="BS176" s="245"/>
      <c r="BT176" s="245"/>
      <c r="BU176" s="245"/>
      <c r="BV176" s="245"/>
      <c r="BW176" s="245"/>
      <c r="BX176" s="245"/>
      <c r="BY176" s="245"/>
      <c r="BZ176" s="245"/>
      <c r="CA176" s="245"/>
      <c r="CB176" s="245"/>
      <c r="CC176" s="245"/>
      <c r="CD176" s="245"/>
      <c r="CE176" s="245"/>
      <c r="CF176" s="245"/>
      <c r="CG176" s="245"/>
      <c r="CH176" s="245"/>
      <c r="CI176" s="245"/>
      <c r="CJ176" s="245"/>
      <c r="CK176" s="245"/>
    </row>
    <row r="177" spans="1:173" s="34" customFormat="1" ht="31" customHeight="1">
      <c r="A177" s="101" t="s">
        <v>237</v>
      </c>
      <c r="B177" s="102"/>
      <c r="C177" s="103" t="s">
        <v>238</v>
      </c>
      <c r="D177" s="103" t="s">
        <v>239</v>
      </c>
      <c r="E177" s="104"/>
      <c r="F177" s="104"/>
      <c r="G177" s="103" t="s">
        <v>240</v>
      </c>
      <c r="H177" s="103" t="s">
        <v>241</v>
      </c>
      <c r="J177" s="36"/>
      <c r="K177" s="263">
        <v>1</v>
      </c>
      <c r="L177" s="264" t="str">
        <f>IF(ISBLANK($L$187), "",$L$187)</f>
        <v>Moguls Prehab 1</v>
      </c>
      <c r="M177" s="264"/>
      <c r="N177" s="264"/>
      <c r="O177" s="264"/>
      <c r="P177" s="264"/>
      <c r="Q177" s="264"/>
      <c r="R177" s="264"/>
      <c r="S177" s="264"/>
      <c r="T177" s="265"/>
      <c r="U177" s="266"/>
      <c r="V177" s="267"/>
      <c r="W177" s="267"/>
      <c r="X177" s="267"/>
      <c r="Y177" s="267"/>
      <c r="Z177" s="268"/>
      <c r="AA177" s="269"/>
      <c r="AB177" s="270"/>
      <c r="AC177" s="271"/>
      <c r="AD177" s="272"/>
      <c r="AE177" s="267"/>
      <c r="AF177" s="267"/>
      <c r="AG177" s="267"/>
      <c r="AH177" s="267"/>
      <c r="AI177" s="267"/>
      <c r="AJ177" s="269"/>
      <c r="AK177" s="270"/>
      <c r="AL177" s="271"/>
      <c r="AM177" s="272"/>
      <c r="AN177" s="267"/>
      <c r="AO177" s="267"/>
      <c r="AP177" s="267"/>
      <c r="AQ177" s="267"/>
      <c r="AR177" s="267"/>
      <c r="AS177" s="269"/>
      <c r="AT177" s="270"/>
      <c r="AU177" s="271"/>
      <c r="AV177" s="267"/>
      <c r="AW177" s="267"/>
      <c r="AX177" s="267"/>
      <c r="AY177" s="267"/>
      <c r="AZ177" s="267"/>
      <c r="BA177" s="273"/>
      <c r="BB177" s="274"/>
      <c r="BC177" s="36"/>
      <c r="BF177" s="245"/>
      <c r="BG177" s="245"/>
      <c r="BH177" s="245"/>
      <c r="BI177" s="245"/>
      <c r="BJ177" s="245"/>
      <c r="BK177" s="245"/>
      <c r="BL177" s="245"/>
      <c r="BM177" s="245"/>
      <c r="BN177" s="245"/>
      <c r="BO177" s="245"/>
      <c r="BP177" s="245"/>
      <c r="BQ177" s="245"/>
      <c r="BR177" s="245"/>
      <c r="BS177" s="245"/>
      <c r="BT177" s="245"/>
      <c r="BU177" s="245"/>
      <c r="BV177" s="245"/>
      <c r="BW177" s="245"/>
      <c r="BX177" s="245"/>
      <c r="BY177" s="245"/>
      <c r="BZ177" s="245"/>
      <c r="CA177" s="245"/>
      <c r="CB177" s="245"/>
      <c r="CC177" s="245"/>
      <c r="CD177" s="245"/>
      <c r="CE177" s="245"/>
      <c r="CF177" s="245"/>
      <c r="CG177" s="245"/>
      <c r="CH177" s="245"/>
      <c r="CI177" s="245"/>
      <c r="CJ177" s="245"/>
      <c r="CK177" s="245"/>
    </row>
    <row r="178" spans="1:173" s="34" customFormat="1" ht="31" customHeight="1">
      <c r="A178" s="127" t="s">
        <v>243</v>
      </c>
      <c r="B178" s="127" t="s">
        <v>244</v>
      </c>
      <c r="C178" s="127" t="s">
        <v>245</v>
      </c>
      <c r="D178" s="128" t="str">
        <f>IFERROR(INDEX([2]!Table1RM[#Data],MATCH($M$56,[2]!Table1RM[Athlete],0),MATCH($L178,[2]!Table1RM[#Headers],0)),"")</f>
        <v/>
      </c>
      <c r="E178" s="127" t="str">
        <f>IF($B178="PE",INDEX([2]ExerciseInventory!$J$2:$L$276,MATCH($L178,[2]ExerciseInventory!$J$2:$J$287,0),2),"")</f>
        <v/>
      </c>
      <c r="F178" s="128" t="str">
        <f>IF($B178="PE",INDEX([2]ExerciseInventory!$J$2:$L$276,MATCH($L178,[2]ExerciseInventory!$J$2:$J$287,0),3),"")</f>
        <v/>
      </c>
      <c r="G178" s="128"/>
      <c r="H178" s="127"/>
      <c r="J178" s="36"/>
      <c r="K178" s="275">
        <v>2</v>
      </c>
      <c r="L178" s="276" t="str">
        <f>IF(ISBLANK($L$197), "",$L$197)</f>
        <v/>
      </c>
      <c r="M178" s="276"/>
      <c r="N178" s="276"/>
      <c r="O178" s="276"/>
      <c r="P178" s="276"/>
      <c r="Q178" s="276"/>
      <c r="R178" s="276"/>
      <c r="S178" s="276"/>
      <c r="T178" s="277"/>
      <c r="U178" s="278"/>
      <c r="V178" s="279"/>
      <c r="W178" s="279"/>
      <c r="X178" s="279"/>
      <c r="Y178" s="279"/>
      <c r="Z178" s="280"/>
      <c r="AA178" s="281"/>
      <c r="AB178" s="282"/>
      <c r="AC178" s="283"/>
      <c r="AD178" s="284"/>
      <c r="AE178" s="279"/>
      <c r="AF178" s="279"/>
      <c r="AG178" s="279"/>
      <c r="AH178" s="279"/>
      <c r="AI178" s="279"/>
      <c r="AJ178" s="281"/>
      <c r="AK178" s="282"/>
      <c r="AL178" s="283"/>
      <c r="AM178" s="284"/>
      <c r="AN178" s="279"/>
      <c r="AO178" s="279"/>
      <c r="AP178" s="279"/>
      <c r="AQ178" s="279"/>
      <c r="AR178" s="279"/>
      <c r="AS178" s="281"/>
      <c r="AT178" s="282"/>
      <c r="AU178" s="283"/>
      <c r="AV178" s="279"/>
      <c r="AW178" s="279"/>
      <c r="AX178" s="279"/>
      <c r="AY178" s="279"/>
      <c r="AZ178" s="279"/>
      <c r="BA178" s="285"/>
      <c r="BB178" s="286"/>
      <c r="BC178" s="36"/>
      <c r="BF178" s="245"/>
      <c r="BG178" s="245"/>
      <c r="BH178" s="245"/>
      <c r="BI178" s="245"/>
      <c r="BJ178" s="245"/>
      <c r="BK178" s="245"/>
      <c r="BL178" s="245"/>
      <c r="BM178" s="245"/>
      <c r="BN178" s="245"/>
      <c r="BO178" s="245"/>
      <c r="BP178" s="245"/>
      <c r="BQ178" s="245"/>
      <c r="BR178" s="245"/>
      <c r="BS178" s="245"/>
      <c r="BT178" s="245"/>
      <c r="BU178" s="245"/>
      <c r="BV178" s="245"/>
      <c r="BW178" s="245"/>
      <c r="BX178" s="245"/>
      <c r="BY178" s="245"/>
      <c r="BZ178" s="245"/>
      <c r="CA178" s="245"/>
      <c r="CB178" s="245"/>
      <c r="CC178" s="245"/>
      <c r="CD178" s="245"/>
      <c r="CE178" s="245"/>
      <c r="CF178" s="245"/>
      <c r="CG178" s="245"/>
      <c r="CH178" s="245"/>
      <c r="CI178" s="245"/>
      <c r="CJ178" s="245"/>
      <c r="CK178" s="245"/>
    </row>
    <row r="179" spans="1:173" s="86" customFormat="1" ht="31" customHeight="1" thickBot="1">
      <c r="A179" s="129"/>
      <c r="B179" s="129"/>
      <c r="C179" s="129"/>
      <c r="D179" s="128"/>
      <c r="E179" s="129"/>
      <c r="F179" s="128"/>
      <c r="G179" s="128"/>
      <c r="H179" s="129"/>
      <c r="J179" s="118"/>
      <c r="K179" s="287">
        <v>3</v>
      </c>
      <c r="L179" s="288" t="str">
        <f>IF(ISBLANK($L$207), "",$L$207)</f>
        <v/>
      </c>
      <c r="M179" s="288"/>
      <c r="N179" s="288"/>
      <c r="O179" s="288"/>
      <c r="P179" s="288"/>
      <c r="Q179" s="288"/>
      <c r="R179" s="288"/>
      <c r="S179" s="288"/>
      <c r="T179" s="289"/>
      <c r="U179" s="290"/>
      <c r="V179" s="291"/>
      <c r="W179" s="291"/>
      <c r="X179" s="291"/>
      <c r="Y179" s="291"/>
      <c r="Z179" s="292"/>
      <c r="AA179" s="293"/>
      <c r="AB179" s="294"/>
      <c r="AC179" s="295"/>
      <c r="AD179" s="296"/>
      <c r="AE179" s="291"/>
      <c r="AF179" s="291"/>
      <c r="AG179" s="291"/>
      <c r="AH179" s="291"/>
      <c r="AI179" s="291"/>
      <c r="AJ179" s="293"/>
      <c r="AK179" s="294"/>
      <c r="AL179" s="295"/>
      <c r="AM179" s="296"/>
      <c r="AN179" s="291"/>
      <c r="AO179" s="291"/>
      <c r="AP179" s="291"/>
      <c r="AQ179" s="291"/>
      <c r="AR179" s="291"/>
      <c r="AS179" s="293"/>
      <c r="AT179" s="294"/>
      <c r="AU179" s="295"/>
      <c r="AV179" s="291"/>
      <c r="AW179" s="291"/>
      <c r="AX179" s="291"/>
      <c r="AY179" s="291"/>
      <c r="AZ179" s="291"/>
      <c r="BA179" s="297"/>
      <c r="BB179" s="286"/>
      <c r="BC179" s="36"/>
      <c r="BD179" s="34"/>
      <c r="BE179" s="34"/>
      <c r="BF179" s="245"/>
      <c r="BG179" s="245"/>
      <c r="BH179" s="245"/>
      <c r="BI179" s="245"/>
      <c r="BJ179" s="245"/>
      <c r="BK179" s="245"/>
      <c r="BL179" s="245"/>
      <c r="BM179" s="245"/>
      <c r="BN179" s="245"/>
      <c r="BO179" s="245"/>
      <c r="BP179" s="245"/>
      <c r="BQ179" s="245"/>
      <c r="BR179" s="298"/>
      <c r="BS179" s="245"/>
      <c r="BT179" s="245"/>
      <c r="BU179" s="245"/>
      <c r="BV179" s="245"/>
      <c r="BW179" s="245"/>
      <c r="BX179" s="245"/>
      <c r="BY179" s="245"/>
      <c r="BZ179" s="245"/>
      <c r="CA179" s="245"/>
      <c r="CB179" s="245"/>
      <c r="CC179" s="245"/>
      <c r="CD179" s="245"/>
      <c r="CE179" s="245"/>
      <c r="CF179" s="245"/>
      <c r="CG179" s="245"/>
      <c r="CH179" s="245"/>
      <c r="CI179" s="245"/>
      <c r="CJ179" s="245"/>
      <c r="CK179" s="245"/>
      <c r="CM179" s="34"/>
      <c r="CN179" s="34"/>
      <c r="CO179" s="34"/>
      <c r="CP179" s="34"/>
      <c r="CQ179" s="34"/>
      <c r="CR179" s="34"/>
      <c r="CS179" s="34"/>
      <c r="CT179" s="34"/>
      <c r="CU179" s="34"/>
      <c r="CV179" s="34"/>
      <c r="CW179" s="34"/>
      <c r="CX179" s="34"/>
      <c r="CY179" s="34"/>
      <c r="CZ179" s="34"/>
      <c r="DA179" s="34"/>
      <c r="DB179" s="34"/>
      <c r="DC179" s="34"/>
      <c r="DD179" s="34"/>
      <c r="DE179" s="34"/>
      <c r="DF179" s="34"/>
      <c r="DG179" s="34"/>
      <c r="DH179" s="34"/>
      <c r="DI179" s="34"/>
      <c r="DJ179" s="34"/>
      <c r="DK179" s="34"/>
      <c r="DL179" s="34"/>
      <c r="DM179" s="34"/>
      <c r="DN179" s="34"/>
      <c r="DO179" s="34"/>
      <c r="DP179" s="34"/>
      <c r="DQ179" s="34"/>
      <c r="DR179" s="34"/>
      <c r="DS179" s="34"/>
      <c r="DT179" s="34"/>
      <c r="DU179" s="34"/>
      <c r="DV179" s="34"/>
      <c r="DW179" s="34"/>
      <c r="DX179" s="34"/>
      <c r="DY179" s="34"/>
      <c r="DZ179" s="34"/>
      <c r="EA179" s="34"/>
      <c r="EB179" s="34"/>
      <c r="EC179" s="34"/>
      <c r="ED179" s="34"/>
      <c r="EE179" s="34"/>
      <c r="EF179" s="34"/>
      <c r="EG179" s="34"/>
      <c r="EH179" s="34"/>
      <c r="EI179" s="34"/>
      <c r="EJ179" s="34"/>
      <c r="EK179" s="34"/>
      <c r="EL179" s="34"/>
      <c r="EM179" s="34"/>
      <c r="EN179" s="34"/>
      <c r="EO179" s="34"/>
      <c r="EP179" s="34"/>
      <c r="EQ179" s="34"/>
      <c r="ER179" s="34"/>
      <c r="ES179" s="34"/>
      <c r="ET179" s="34"/>
      <c r="EU179" s="34"/>
      <c r="EV179" s="34"/>
      <c r="EW179" s="34"/>
      <c r="EX179" s="34"/>
      <c r="EY179" s="34"/>
      <c r="EZ179" s="34"/>
      <c r="FA179" s="34"/>
      <c r="FB179" s="34"/>
      <c r="FC179" s="34"/>
      <c r="FD179" s="34"/>
      <c r="FE179" s="34"/>
      <c r="FF179" s="34"/>
      <c r="FG179" s="34"/>
      <c r="FH179" s="34"/>
      <c r="FI179" s="34"/>
      <c r="FJ179" s="34"/>
      <c r="FK179" s="34"/>
      <c r="FL179" s="34"/>
      <c r="FM179" s="34"/>
      <c r="FN179" s="34"/>
      <c r="FO179" s="34"/>
      <c r="FP179" s="34"/>
      <c r="FQ179" s="34"/>
    </row>
    <row r="180" spans="1:173" s="86" customFormat="1" ht="31" customHeight="1">
      <c r="A180" s="127" t="s">
        <v>243</v>
      </c>
      <c r="B180" s="127" t="s">
        <v>244</v>
      </c>
      <c r="C180" s="127" t="s">
        <v>245</v>
      </c>
      <c r="D180" s="128" t="str">
        <f>IFERROR(INDEX([2]!Table1RM[#Data],MATCH($M$56,[2]!Table1RM[Athlete],0),MATCH($L180,[2]!Table1RM[#Headers],0)),"")</f>
        <v/>
      </c>
      <c r="E180" s="127" t="str">
        <f>IF($B180="PE",INDEX([2]ExerciseInventory!$J$2:$L$276,MATCH($L180,[2]ExerciseInventory!$J$2:$J$287,0),2),"")</f>
        <v/>
      </c>
      <c r="F180" s="128" t="str">
        <f>IF($B180="PE",INDEX([2]ExerciseInventory!$J$2:$L$276,MATCH($L180,[2]ExerciseInventory!$J$2:$J$287,0),3),"")</f>
        <v/>
      </c>
      <c r="G180" s="128"/>
      <c r="H180" s="127"/>
      <c r="J180" s="118"/>
      <c r="K180" s="263">
        <v>4</v>
      </c>
      <c r="L180" s="264" t="str">
        <f>IF(ISBLANK($Z$187), "",$Z$187)</f>
        <v>Core 1</v>
      </c>
      <c r="M180" s="264"/>
      <c r="N180" s="264"/>
      <c r="O180" s="264"/>
      <c r="P180" s="264"/>
      <c r="Q180" s="264"/>
      <c r="R180" s="264"/>
      <c r="S180" s="264"/>
      <c r="T180" s="265"/>
      <c r="U180" s="266"/>
      <c r="V180" s="267"/>
      <c r="W180" s="267"/>
      <c r="X180" s="267"/>
      <c r="Y180" s="267"/>
      <c r="Z180" s="268"/>
      <c r="AA180" s="269"/>
      <c r="AB180" s="270"/>
      <c r="AC180" s="271"/>
      <c r="AD180" s="272"/>
      <c r="AE180" s="267"/>
      <c r="AF180" s="267"/>
      <c r="AG180" s="267"/>
      <c r="AH180" s="267"/>
      <c r="AI180" s="267"/>
      <c r="AJ180" s="269"/>
      <c r="AK180" s="270"/>
      <c r="AL180" s="271"/>
      <c r="AM180" s="272"/>
      <c r="AN180" s="267"/>
      <c r="AO180" s="267"/>
      <c r="AP180" s="267"/>
      <c r="AQ180" s="267"/>
      <c r="AR180" s="267"/>
      <c r="AS180" s="269"/>
      <c r="AT180" s="270"/>
      <c r="AU180" s="271"/>
      <c r="AV180" s="267"/>
      <c r="AW180" s="267"/>
      <c r="AX180" s="267"/>
      <c r="AY180" s="267"/>
      <c r="AZ180" s="267"/>
      <c r="BA180" s="299"/>
      <c r="BB180" s="286"/>
      <c r="BC180" s="36"/>
      <c r="BD180" s="34"/>
      <c r="BE180" s="34"/>
      <c r="BF180" s="245"/>
      <c r="BG180" s="245"/>
      <c r="BH180" s="245"/>
      <c r="BI180" s="245"/>
      <c r="BJ180" s="245"/>
      <c r="BK180" s="245"/>
      <c r="BL180" s="245"/>
      <c r="BM180" s="245"/>
      <c r="BN180" s="245"/>
      <c r="BO180" s="245"/>
      <c r="BP180" s="245"/>
      <c r="BQ180" s="245"/>
      <c r="BR180" s="298"/>
      <c r="BS180" s="245"/>
      <c r="BT180" s="245"/>
      <c r="BU180" s="245"/>
      <c r="BV180" s="245"/>
      <c r="BW180" s="245"/>
      <c r="BX180" s="245"/>
      <c r="BY180" s="245"/>
      <c r="BZ180" s="245"/>
      <c r="CA180" s="245"/>
      <c r="CB180" s="245"/>
      <c r="CC180" s="245"/>
      <c r="CD180" s="245"/>
      <c r="CE180" s="245"/>
      <c r="CF180" s="245"/>
      <c r="CG180" s="245"/>
      <c r="CH180" s="245"/>
      <c r="CI180" s="245"/>
      <c r="CJ180" s="245"/>
      <c r="CK180" s="245"/>
      <c r="CL180" s="34"/>
      <c r="CM180" s="34"/>
      <c r="CN180" s="34"/>
      <c r="CO180" s="34"/>
      <c r="CP180" s="34"/>
      <c r="CQ180" s="34"/>
      <c r="CR180" s="34"/>
      <c r="CS180" s="34"/>
      <c r="CT180" s="34"/>
      <c r="CU180" s="34"/>
      <c r="CV180" s="34"/>
      <c r="CW180" s="34"/>
      <c r="CX180" s="34"/>
      <c r="CY180" s="34"/>
      <c r="CZ180" s="34"/>
      <c r="DA180" s="34"/>
      <c r="DB180" s="34"/>
      <c r="DC180" s="34"/>
      <c r="DD180" s="34"/>
      <c r="DE180" s="34"/>
      <c r="DF180" s="34"/>
      <c r="DG180" s="34"/>
      <c r="DH180" s="34"/>
      <c r="DI180" s="34"/>
      <c r="DJ180" s="34"/>
      <c r="DK180" s="34"/>
      <c r="DL180" s="34"/>
      <c r="DM180" s="34"/>
      <c r="DN180" s="34"/>
      <c r="DO180" s="34"/>
      <c r="DP180" s="34"/>
      <c r="DQ180" s="34"/>
      <c r="DR180" s="34"/>
      <c r="DS180" s="34"/>
      <c r="DT180" s="34"/>
      <c r="DU180" s="34"/>
      <c r="DV180" s="34"/>
      <c r="DW180" s="34"/>
      <c r="DX180" s="34"/>
      <c r="DY180" s="34"/>
      <c r="DZ180" s="34"/>
      <c r="EA180" s="34"/>
      <c r="EB180" s="34"/>
      <c r="EC180" s="34"/>
      <c r="ED180" s="34"/>
      <c r="EE180" s="34"/>
      <c r="EF180" s="34"/>
      <c r="EG180" s="34"/>
      <c r="EH180" s="34"/>
      <c r="EI180" s="34"/>
      <c r="EJ180" s="34"/>
      <c r="EK180" s="34"/>
      <c r="EL180" s="34"/>
      <c r="EM180" s="34"/>
      <c r="EN180" s="34"/>
      <c r="EO180" s="34"/>
      <c r="EP180" s="34"/>
      <c r="EQ180" s="34"/>
      <c r="ER180" s="34"/>
      <c r="ES180" s="34"/>
      <c r="ET180" s="34"/>
      <c r="EU180" s="34"/>
      <c r="EV180" s="34"/>
      <c r="EW180" s="34"/>
      <c r="EX180" s="34"/>
      <c r="EY180" s="34"/>
      <c r="EZ180" s="34"/>
      <c r="FA180" s="34"/>
      <c r="FB180" s="34"/>
      <c r="FC180" s="34"/>
      <c r="FD180" s="34"/>
      <c r="FE180" s="34"/>
      <c r="FF180" s="34"/>
      <c r="FG180" s="34"/>
      <c r="FH180" s="34"/>
      <c r="FI180" s="34"/>
      <c r="FJ180" s="34"/>
      <c r="FK180" s="34"/>
      <c r="FL180" s="34"/>
      <c r="FM180" s="34"/>
      <c r="FN180" s="34"/>
      <c r="FO180" s="34"/>
      <c r="FP180" s="34"/>
      <c r="FQ180" s="34"/>
    </row>
    <row r="181" spans="1:173" s="34" customFormat="1" ht="31" customHeight="1">
      <c r="A181" s="129"/>
      <c r="B181" s="129"/>
      <c r="C181" s="129"/>
      <c r="D181" s="128"/>
      <c r="E181" s="129"/>
      <c r="F181" s="128"/>
      <c r="G181" s="128"/>
      <c r="H181" s="129"/>
      <c r="J181" s="36"/>
      <c r="K181" s="275">
        <v>5</v>
      </c>
      <c r="L181" s="276" t="str">
        <f>IF(ISBLANK($Z$197), "",$Z$197)</f>
        <v>Core 2</v>
      </c>
      <c r="M181" s="276"/>
      <c r="N181" s="276"/>
      <c r="O181" s="276"/>
      <c r="P181" s="276"/>
      <c r="Q181" s="276"/>
      <c r="R181" s="276"/>
      <c r="S181" s="276"/>
      <c r="T181" s="277"/>
      <c r="U181" s="278"/>
      <c r="V181" s="279"/>
      <c r="W181" s="279"/>
      <c r="X181" s="279"/>
      <c r="Y181" s="279"/>
      <c r="Z181" s="280"/>
      <c r="AA181" s="281"/>
      <c r="AB181" s="282"/>
      <c r="AC181" s="283"/>
      <c r="AD181" s="284"/>
      <c r="AE181" s="279"/>
      <c r="AF181" s="279"/>
      <c r="AG181" s="279"/>
      <c r="AH181" s="279"/>
      <c r="AI181" s="279"/>
      <c r="AJ181" s="281"/>
      <c r="AK181" s="282"/>
      <c r="AL181" s="283"/>
      <c r="AM181" s="284"/>
      <c r="AN181" s="279"/>
      <c r="AO181" s="279"/>
      <c r="AP181" s="279"/>
      <c r="AQ181" s="279"/>
      <c r="AR181" s="279"/>
      <c r="AS181" s="281"/>
      <c r="AT181" s="282"/>
      <c r="AU181" s="283"/>
      <c r="AV181" s="279"/>
      <c r="AW181" s="279"/>
      <c r="AX181" s="279"/>
      <c r="AY181" s="279"/>
      <c r="AZ181" s="279"/>
      <c r="BA181" s="285"/>
      <c r="BB181" s="286"/>
      <c r="BC181" s="36"/>
      <c r="BF181" s="245"/>
      <c r="BG181" s="245"/>
      <c r="BH181" s="245"/>
      <c r="BI181" s="245"/>
      <c r="BJ181" s="245"/>
      <c r="BK181" s="245"/>
      <c r="BL181" s="245"/>
      <c r="BM181" s="245"/>
      <c r="BN181" s="245"/>
      <c r="BO181" s="245"/>
      <c r="BP181" s="245"/>
      <c r="BQ181" s="245"/>
      <c r="BR181" s="245"/>
      <c r="BS181" s="245"/>
      <c r="BT181" s="245"/>
      <c r="BU181" s="245"/>
      <c r="BV181" s="245"/>
      <c r="BW181" s="245"/>
      <c r="BX181" s="245"/>
      <c r="BY181" s="245"/>
      <c r="BZ181" s="245"/>
      <c r="CA181" s="245"/>
      <c r="CB181" s="245"/>
      <c r="CC181" s="245"/>
      <c r="CD181" s="245"/>
      <c r="CE181" s="245"/>
      <c r="CF181" s="245"/>
      <c r="CG181" s="245"/>
      <c r="CH181" s="245"/>
      <c r="CI181" s="245"/>
      <c r="CJ181" s="245"/>
      <c r="CK181" s="245"/>
    </row>
    <row r="182" spans="1:173" s="34" customFormat="1" ht="31" customHeight="1" thickBot="1">
      <c r="A182" s="127" t="s">
        <v>243</v>
      </c>
      <c r="B182" s="127" t="s">
        <v>244</v>
      </c>
      <c r="C182" s="127" t="s">
        <v>245</v>
      </c>
      <c r="D182" s="128" t="str">
        <f>IFERROR(INDEX([2]!Table1RM[#Data],MATCH($M$56,[2]!Table1RM[Athlete],0),MATCH($L182,[2]!Table1RM[#Headers],0)),"")</f>
        <v/>
      </c>
      <c r="E182" s="127" t="str">
        <f>IF($B182="PE",INDEX([2]ExerciseInventory!$J$2:$L$276,MATCH($L182,[2]ExerciseInventory!$J$2:$J$287,0),2),"")</f>
        <v/>
      </c>
      <c r="F182" s="128" t="str">
        <f>IF($B182="PE",INDEX([2]ExerciseInventory!$J$2:$L$276,MATCH($L182,[2]ExerciseInventory!$J$2:$J$287,0),3),"")</f>
        <v/>
      </c>
      <c r="G182" s="128"/>
      <c r="H182" s="127"/>
      <c r="J182" s="36"/>
      <c r="K182" s="300">
        <v>6</v>
      </c>
      <c r="L182" s="301" t="str">
        <f>IF(ISBLANK($Z$207), "",$Z$207)</f>
        <v>Core 3</v>
      </c>
      <c r="M182" s="301"/>
      <c r="N182" s="301"/>
      <c r="O182" s="301"/>
      <c r="P182" s="301"/>
      <c r="Q182" s="301"/>
      <c r="R182" s="301"/>
      <c r="S182" s="301"/>
      <c r="T182" s="302"/>
      <c r="U182" s="303"/>
      <c r="V182" s="304"/>
      <c r="W182" s="304"/>
      <c r="X182" s="304"/>
      <c r="Y182" s="304"/>
      <c r="Z182" s="305"/>
      <c r="AA182" s="306"/>
      <c r="AB182" s="307"/>
      <c r="AC182" s="308"/>
      <c r="AD182" s="309"/>
      <c r="AE182" s="304"/>
      <c r="AF182" s="304"/>
      <c r="AG182" s="304"/>
      <c r="AH182" s="304"/>
      <c r="AI182" s="304"/>
      <c r="AJ182" s="306"/>
      <c r="AK182" s="307"/>
      <c r="AL182" s="308"/>
      <c r="AM182" s="309"/>
      <c r="AN182" s="304"/>
      <c r="AO182" s="304"/>
      <c r="AP182" s="304"/>
      <c r="AQ182" s="304"/>
      <c r="AR182" s="304"/>
      <c r="AS182" s="306"/>
      <c r="AT182" s="307"/>
      <c r="AU182" s="308"/>
      <c r="AV182" s="304"/>
      <c r="AW182" s="304"/>
      <c r="AX182" s="304"/>
      <c r="AY182" s="304"/>
      <c r="AZ182" s="304"/>
      <c r="BA182" s="310"/>
      <c r="BB182" s="286"/>
      <c r="BC182" s="36"/>
      <c r="BF182" s="245"/>
      <c r="BG182" s="245"/>
      <c r="BH182" s="245"/>
      <c r="BI182" s="245"/>
      <c r="BJ182" s="245"/>
      <c r="BK182" s="245"/>
      <c r="BL182" s="245"/>
      <c r="BM182" s="245"/>
      <c r="BN182" s="245"/>
      <c r="BO182" s="245"/>
      <c r="BP182" s="245"/>
      <c r="BQ182" s="245"/>
      <c r="BR182" s="245"/>
      <c r="BS182" s="245"/>
      <c r="BT182" s="245"/>
      <c r="BU182" s="245"/>
      <c r="BV182" s="245"/>
      <c r="BW182" s="245"/>
      <c r="BX182" s="245"/>
      <c r="BY182" s="245"/>
      <c r="BZ182" s="245"/>
      <c r="CA182" s="245"/>
      <c r="CB182" s="245"/>
      <c r="CC182" s="245"/>
      <c r="CD182" s="245"/>
      <c r="CE182" s="245"/>
      <c r="CF182" s="245"/>
      <c r="CG182" s="245"/>
      <c r="CH182" s="245"/>
      <c r="CI182" s="245"/>
      <c r="CJ182" s="245"/>
      <c r="CK182" s="245"/>
    </row>
    <row r="183" spans="1:173" s="34" customFormat="1" ht="31" customHeight="1">
      <c r="A183" s="129"/>
      <c r="B183" s="129"/>
      <c r="C183" s="129"/>
      <c r="D183" s="128"/>
      <c r="E183" s="129"/>
      <c r="F183" s="128"/>
      <c r="G183" s="128"/>
      <c r="H183" s="129"/>
      <c r="J183" s="36"/>
      <c r="K183" s="263">
        <v>7</v>
      </c>
      <c r="L183" s="264" t="str">
        <f>IF(ISBLANK($AP$187), "",$AP$187)</f>
        <v/>
      </c>
      <c r="M183" s="264"/>
      <c r="N183" s="264"/>
      <c r="O183" s="264"/>
      <c r="P183" s="264"/>
      <c r="Q183" s="264"/>
      <c r="R183" s="264"/>
      <c r="S183" s="264"/>
      <c r="T183" s="265"/>
      <c r="U183" s="266"/>
      <c r="V183" s="267"/>
      <c r="W183" s="267"/>
      <c r="X183" s="267"/>
      <c r="Y183" s="267"/>
      <c r="Z183" s="268"/>
      <c r="AA183" s="269"/>
      <c r="AB183" s="270"/>
      <c r="AC183" s="271"/>
      <c r="AD183" s="272"/>
      <c r="AE183" s="267"/>
      <c r="AF183" s="267"/>
      <c r="AG183" s="267"/>
      <c r="AH183" s="267"/>
      <c r="AI183" s="267"/>
      <c r="AJ183" s="269"/>
      <c r="AK183" s="270"/>
      <c r="AL183" s="271"/>
      <c r="AM183" s="272"/>
      <c r="AN183" s="267"/>
      <c r="AO183" s="267"/>
      <c r="AP183" s="267"/>
      <c r="AQ183" s="267"/>
      <c r="AR183" s="267"/>
      <c r="AS183" s="269"/>
      <c r="AT183" s="270"/>
      <c r="AU183" s="271"/>
      <c r="AV183" s="267"/>
      <c r="AW183" s="267"/>
      <c r="AX183" s="267"/>
      <c r="AY183" s="267"/>
      <c r="AZ183" s="267"/>
      <c r="BA183" s="299"/>
      <c r="BB183" s="286"/>
      <c r="BC183" s="36"/>
      <c r="BF183" s="245"/>
      <c r="BG183" s="245"/>
      <c r="BH183" s="245"/>
      <c r="BI183" s="245"/>
      <c r="BJ183" s="245"/>
      <c r="BK183" s="245"/>
      <c r="BL183" s="245"/>
      <c r="BM183" s="245"/>
      <c r="BN183" s="245"/>
      <c r="BO183" s="245"/>
      <c r="BP183" s="245"/>
      <c r="BQ183" s="245"/>
      <c r="BR183" s="245"/>
      <c r="BS183" s="245"/>
      <c r="BT183" s="245"/>
      <c r="BU183" s="245"/>
      <c r="BV183" s="245"/>
      <c r="BW183" s="245"/>
      <c r="BX183" s="245"/>
      <c r="BY183" s="245"/>
      <c r="BZ183" s="245"/>
      <c r="CA183" s="245"/>
      <c r="CB183" s="245"/>
      <c r="CC183" s="245"/>
      <c r="CD183" s="245"/>
      <c r="CE183" s="245"/>
      <c r="CF183" s="245"/>
      <c r="CG183" s="245"/>
      <c r="CH183" s="245"/>
      <c r="CI183" s="245"/>
      <c r="CJ183" s="245"/>
      <c r="CK183" s="245"/>
    </row>
    <row r="184" spans="1:173" s="34" customFormat="1" ht="31" customHeight="1" thickBot="1">
      <c r="A184" s="127" t="s">
        <v>243</v>
      </c>
      <c r="B184" s="127" t="s">
        <v>244</v>
      </c>
      <c r="C184" s="127" t="s">
        <v>245</v>
      </c>
      <c r="D184" s="128" t="str">
        <f>IFERROR(INDEX([2]!Table1RM[#Data],MATCH($M$56,[2]!Table1RM[Athlete],0),MATCH($L184,[2]!Table1RM[#Headers],0)),"")</f>
        <v/>
      </c>
      <c r="E184" s="127" t="str">
        <f>IF($B184="PE",INDEX([2]ExerciseInventory!$J$2:$L$276,MATCH($L184,[2]ExerciseInventory!$J$2:$J$287,0),2),"")</f>
        <v/>
      </c>
      <c r="F184" s="128" t="str">
        <f>IF($B184="PE",INDEX([2]ExerciseInventory!$J$2:$L$276,MATCH($L184,[2]ExerciseInventory!$J$2:$J$287,0),3),"")</f>
        <v/>
      </c>
      <c r="G184" s="128"/>
      <c r="H184" s="127"/>
      <c r="J184" s="36"/>
      <c r="K184" s="275">
        <v>8</v>
      </c>
      <c r="L184" s="276" t="str">
        <f>IF(ISBLANK($AP$197), "",$AP$197)</f>
        <v/>
      </c>
      <c r="M184" s="276"/>
      <c r="N184" s="276"/>
      <c r="O184" s="276"/>
      <c r="P184" s="276"/>
      <c r="Q184" s="276"/>
      <c r="R184" s="276"/>
      <c r="S184" s="276"/>
      <c r="T184" s="277"/>
      <c r="U184" s="278"/>
      <c r="V184" s="279"/>
      <c r="W184" s="279"/>
      <c r="X184" s="279"/>
      <c r="Y184" s="279"/>
      <c r="Z184" s="280"/>
      <c r="AA184" s="281"/>
      <c r="AB184" s="282"/>
      <c r="AC184" s="283"/>
      <c r="AD184" s="284"/>
      <c r="AE184" s="279"/>
      <c r="AF184" s="279"/>
      <c r="AG184" s="279"/>
      <c r="AH184" s="279"/>
      <c r="AI184" s="279"/>
      <c r="AJ184" s="281"/>
      <c r="AK184" s="282"/>
      <c r="AL184" s="283"/>
      <c r="AM184" s="284"/>
      <c r="AN184" s="279"/>
      <c r="AO184" s="279"/>
      <c r="AP184" s="279"/>
      <c r="AQ184" s="279"/>
      <c r="AR184" s="279"/>
      <c r="AS184" s="281"/>
      <c r="AT184" s="282"/>
      <c r="AU184" s="283"/>
      <c r="AV184" s="279"/>
      <c r="AW184" s="279"/>
      <c r="AX184" s="279"/>
      <c r="AY184" s="279"/>
      <c r="AZ184" s="279"/>
      <c r="BA184" s="285"/>
      <c r="BB184" s="286"/>
      <c r="BC184" s="36"/>
      <c r="BF184" s="245"/>
      <c r="BG184" s="245"/>
      <c r="BH184" s="245"/>
      <c r="BI184" s="245"/>
      <c r="BJ184" s="245"/>
      <c r="BK184" s="245"/>
      <c r="BL184" s="245"/>
      <c r="BM184" s="245"/>
      <c r="BN184" s="245"/>
      <c r="BO184" s="245"/>
      <c r="BP184" s="245"/>
      <c r="BQ184" s="245"/>
      <c r="BR184" s="245"/>
      <c r="BS184" s="245"/>
      <c r="BT184" s="245"/>
      <c r="BU184" s="245"/>
      <c r="BV184" s="245"/>
      <c r="BW184" s="245"/>
      <c r="BX184" s="245"/>
      <c r="BY184" s="245"/>
      <c r="BZ184" s="245"/>
      <c r="CA184" s="245"/>
      <c r="CB184" s="245"/>
      <c r="CC184" s="245"/>
      <c r="CD184" s="245"/>
      <c r="CE184" s="245"/>
      <c r="CF184" s="245"/>
      <c r="CG184" s="245"/>
      <c r="CH184" s="245"/>
      <c r="CI184" s="245"/>
      <c r="CJ184" s="245"/>
      <c r="CK184" s="245"/>
    </row>
    <row r="185" spans="1:173" s="34" customFormat="1" ht="31" customHeight="1" thickBot="1">
      <c r="A185" s="129"/>
      <c r="B185" s="129"/>
      <c r="C185" s="129"/>
      <c r="D185" s="128"/>
      <c r="E185" s="129"/>
      <c r="F185" s="128"/>
      <c r="G185" s="128"/>
      <c r="H185" s="129"/>
      <c r="J185" s="36"/>
      <c r="K185" s="300">
        <v>9</v>
      </c>
      <c r="L185" s="301" t="str">
        <f>IF(ISBLANK($AP$207), "",$AP$207)</f>
        <v/>
      </c>
      <c r="M185" s="301"/>
      <c r="N185" s="301"/>
      <c r="O185" s="301"/>
      <c r="P185" s="301"/>
      <c r="Q185" s="301"/>
      <c r="R185" s="301"/>
      <c r="S185" s="301"/>
      <c r="T185" s="302"/>
      <c r="U185" s="303"/>
      <c r="V185" s="304"/>
      <c r="W185" s="304"/>
      <c r="X185" s="304"/>
      <c r="Y185" s="304"/>
      <c r="Z185" s="305"/>
      <c r="AA185" s="306"/>
      <c r="AB185" s="307"/>
      <c r="AC185" s="308"/>
      <c r="AD185" s="309"/>
      <c r="AE185" s="304"/>
      <c r="AF185" s="304"/>
      <c r="AG185" s="304"/>
      <c r="AH185" s="304"/>
      <c r="AI185" s="304"/>
      <c r="AJ185" s="306"/>
      <c r="AK185" s="307"/>
      <c r="AL185" s="308"/>
      <c r="AM185" s="309"/>
      <c r="AN185" s="304"/>
      <c r="AO185" s="304"/>
      <c r="AP185" s="304"/>
      <c r="AQ185" s="304"/>
      <c r="AR185" s="304"/>
      <c r="AS185" s="306"/>
      <c r="AT185" s="307"/>
      <c r="AU185" s="308"/>
      <c r="AV185" s="304"/>
      <c r="AW185" s="304"/>
      <c r="AX185" s="304"/>
      <c r="AY185" s="304"/>
      <c r="AZ185" s="304"/>
      <c r="BA185" s="310"/>
      <c r="BB185" s="286"/>
      <c r="BC185" s="36"/>
      <c r="BF185" s="311" t="s">
        <v>376</v>
      </c>
      <c r="BG185" s="312"/>
      <c r="BH185" s="312"/>
      <c r="BI185" s="312"/>
      <c r="BJ185" s="312"/>
      <c r="BK185" s="312"/>
      <c r="BL185" s="312"/>
      <c r="BM185" s="312"/>
      <c r="BN185" s="312"/>
      <c r="BO185" s="312"/>
      <c r="BP185" s="312"/>
      <c r="BQ185" s="312"/>
      <c r="BR185" s="312"/>
      <c r="BS185" s="312"/>
      <c r="BT185" s="312"/>
      <c r="BU185" s="312"/>
      <c r="BV185" s="312"/>
      <c r="BW185" s="312"/>
      <c r="BX185" s="312"/>
      <c r="BY185" s="312"/>
      <c r="BZ185" s="312"/>
      <c r="CA185" s="312"/>
      <c r="CB185" s="312"/>
      <c r="CC185" s="313"/>
      <c r="CD185" s="245"/>
      <c r="CE185" s="245"/>
      <c r="CF185" s="245"/>
      <c r="CG185" s="245"/>
      <c r="CH185" s="245"/>
      <c r="CI185" s="245"/>
      <c r="CJ185" s="245"/>
      <c r="CK185" s="245"/>
    </row>
    <row r="186" spans="1:173" s="34" customFormat="1" ht="31" customHeight="1" thickBot="1">
      <c r="A186" s="127" t="s">
        <v>243</v>
      </c>
      <c r="B186" s="127" t="s">
        <v>244</v>
      </c>
      <c r="C186" s="127" t="s">
        <v>245</v>
      </c>
      <c r="D186" s="128" t="str">
        <f>IFERROR(INDEX([2]!Table1RM[#Data],MATCH($M$56,[2]!Table1RM[Athlete],0),MATCH($L186,[2]!Table1RM[#Headers],0)),"")</f>
        <v/>
      </c>
      <c r="E186" s="127" t="str">
        <f>IF($B186="PE",INDEX([2]ExerciseInventory!$J$2:$L$276,MATCH($L186,[2]ExerciseInventory!$J$2:$J$287,0),2),"")</f>
        <v/>
      </c>
      <c r="F186" s="128" t="str">
        <f>IF($B186="PE",INDEX([2]ExerciseInventory!$J$2:$L$276,MATCH($L186,[2]ExerciseInventory!$J$2:$J$287,0),3),"")</f>
        <v/>
      </c>
      <c r="G186" s="128"/>
      <c r="H186" s="127"/>
      <c r="J186" s="36"/>
      <c r="K186" s="36"/>
      <c r="L186" s="36"/>
      <c r="M186" s="36"/>
      <c r="N186" s="36"/>
      <c r="O186" s="36"/>
      <c r="P186" s="36"/>
      <c r="Q186" s="36"/>
      <c r="R186" s="36"/>
      <c r="S186" s="36"/>
      <c r="T186" s="36"/>
      <c r="U186" s="36"/>
      <c r="V186" s="36"/>
      <c r="W186" s="36"/>
      <c r="X186" s="36"/>
      <c r="Y186" s="36"/>
      <c r="Z186" s="209"/>
      <c r="AA186" s="209"/>
      <c r="AB186" s="209"/>
      <c r="AC186" s="209"/>
      <c r="AD186" s="209"/>
      <c r="AE186" s="209"/>
      <c r="AF186" s="209"/>
      <c r="AG186" s="209"/>
      <c r="AH186" s="209"/>
      <c r="AI186" s="209"/>
      <c r="AJ186" s="209"/>
      <c r="AK186" s="209"/>
      <c r="AL186" s="209"/>
      <c r="AM186" s="209"/>
      <c r="AN186" s="209"/>
      <c r="AO186" s="36"/>
      <c r="AP186" s="209"/>
      <c r="AQ186" s="209"/>
      <c r="AR186" s="209"/>
      <c r="AS186" s="209"/>
      <c r="AT186" s="209"/>
      <c r="AU186" s="209"/>
      <c r="AV186" s="209"/>
      <c r="AW186" s="209"/>
      <c r="AX186" s="209"/>
      <c r="AY186" s="209"/>
      <c r="AZ186" s="209"/>
      <c r="BA186" s="209"/>
      <c r="BB186" s="36"/>
      <c r="BC186" s="36"/>
      <c r="BF186" s="314"/>
      <c r="BG186" s="315"/>
      <c r="BH186" s="315"/>
      <c r="BI186" s="315"/>
      <c r="BJ186" s="315"/>
      <c r="BK186" s="315"/>
      <c r="BL186" s="316"/>
      <c r="BM186" s="316"/>
      <c r="BN186" s="316"/>
      <c r="BO186" s="316"/>
      <c r="BP186" s="316"/>
      <c r="BQ186" s="316"/>
      <c r="BR186" s="316"/>
      <c r="BS186" s="316"/>
      <c r="BT186" s="316"/>
      <c r="BU186" s="316"/>
      <c r="BV186" s="316"/>
      <c r="BW186" s="316"/>
      <c r="BX186" s="316"/>
      <c r="BY186" s="316"/>
      <c r="BZ186" s="316"/>
      <c r="CA186" s="316"/>
      <c r="CB186" s="316"/>
      <c r="CC186" s="317"/>
      <c r="CD186" s="245"/>
      <c r="CE186" s="245"/>
      <c r="CF186" s="245"/>
      <c r="CG186" s="245"/>
      <c r="CH186" s="245"/>
      <c r="CI186" s="245"/>
      <c r="CJ186" s="245"/>
      <c r="CK186" s="245"/>
    </row>
    <row r="187" spans="1:173" s="34" customFormat="1" ht="31" customHeight="1">
      <c r="A187" s="129"/>
      <c r="B187" s="129"/>
      <c r="C187" s="129"/>
      <c r="D187" s="128"/>
      <c r="E187" s="129"/>
      <c r="F187" s="128"/>
      <c r="G187" s="128"/>
      <c r="H187" s="129"/>
      <c r="J187" s="36"/>
      <c r="K187" s="153">
        <v>1</v>
      </c>
      <c r="L187" s="154" t="s">
        <v>377</v>
      </c>
      <c r="M187" s="154"/>
      <c r="N187" s="154"/>
      <c r="O187" s="154"/>
      <c r="P187" s="154"/>
      <c r="Q187" s="154"/>
      <c r="R187" s="318"/>
      <c r="S187" s="318"/>
      <c r="T187" s="318"/>
      <c r="U187" s="318"/>
      <c r="V187" s="318"/>
      <c r="W187" s="319"/>
      <c r="X187" s="36"/>
      <c r="Y187" s="153">
        <v>4</v>
      </c>
      <c r="Z187" s="154" t="s">
        <v>378</v>
      </c>
      <c r="AA187" s="154"/>
      <c r="AB187" s="154"/>
      <c r="AC187" s="154"/>
      <c r="AD187" s="154"/>
      <c r="AE187" s="154"/>
      <c r="AF187" s="154"/>
      <c r="AG187" s="154"/>
      <c r="AH187" s="318"/>
      <c r="AI187" s="318"/>
      <c r="AJ187" s="318"/>
      <c r="AK187" s="318"/>
      <c r="AL187" s="318"/>
      <c r="AM187" s="319"/>
      <c r="AN187" s="36"/>
      <c r="AO187" s="153">
        <v>7</v>
      </c>
      <c r="AP187" s="154"/>
      <c r="AQ187" s="154"/>
      <c r="AR187" s="154"/>
      <c r="AS187" s="154"/>
      <c r="AT187" s="154"/>
      <c r="AU187" s="154"/>
      <c r="AV187" s="154"/>
      <c r="AW187" s="154"/>
      <c r="AX187" s="318"/>
      <c r="AY187" s="318"/>
      <c r="AZ187" s="318"/>
      <c r="BA187" s="319"/>
      <c r="BB187" s="320"/>
      <c r="BC187" s="36"/>
      <c r="BF187" s="321" t="s">
        <v>379</v>
      </c>
      <c r="BG187" s="322"/>
      <c r="BH187" s="322"/>
      <c r="BI187" s="322"/>
      <c r="BJ187" s="323">
        <f>BJ190/BK190*100</f>
        <v>100</v>
      </c>
      <c r="BK187" s="324"/>
      <c r="BL187" s="321" t="s">
        <v>380</v>
      </c>
      <c r="BM187" s="322"/>
      <c r="BN187" s="322"/>
      <c r="BO187" s="322"/>
      <c r="BP187" s="323">
        <f>BP190/BQ190*100</f>
        <v>88.888888888888886</v>
      </c>
      <c r="BQ187" s="324"/>
      <c r="BR187" s="321" t="s">
        <v>381</v>
      </c>
      <c r="BS187" s="322"/>
      <c r="BT187" s="322"/>
      <c r="BU187" s="322"/>
      <c r="BV187" s="323">
        <f>BV190/BW190*100</f>
        <v>100</v>
      </c>
      <c r="BW187" s="324"/>
      <c r="BX187" s="321" t="s">
        <v>382</v>
      </c>
      <c r="BY187" s="322"/>
      <c r="BZ187" s="322"/>
      <c r="CA187" s="322"/>
      <c r="CB187" s="323">
        <f>CB190/CC190*100</f>
        <v>100</v>
      </c>
      <c r="CC187" s="324"/>
      <c r="CD187" s="245"/>
      <c r="CE187" s="325"/>
      <c r="CF187" s="245"/>
      <c r="CG187" s="245"/>
      <c r="CH187" s="245"/>
      <c r="CI187" s="245"/>
      <c r="CJ187" s="245"/>
      <c r="CK187" s="245"/>
    </row>
    <row r="188" spans="1:173" s="34" customFormat="1" ht="31" customHeight="1">
      <c r="A188" s="127" t="s">
        <v>243</v>
      </c>
      <c r="B188" s="127" t="s">
        <v>244</v>
      </c>
      <c r="C188" s="127" t="s">
        <v>245</v>
      </c>
      <c r="D188" s="128" t="str">
        <f>IFERROR(INDEX([2]!Table1RM[#Data],MATCH($M$56,[2]!Table1RM[Athlete],0),MATCH($L188,[2]!Table1RM[#Headers],0)),"")</f>
        <v/>
      </c>
      <c r="E188" s="127" t="str">
        <f>IF($B188="PE",INDEX([2]ExerciseInventory!$J$2:$L$276,MATCH($L188,[2]ExerciseInventory!$J$2:$J$287,0),2),"")</f>
        <v/>
      </c>
      <c r="F188" s="128" t="str">
        <f>IF($B188="PE",INDEX([2]ExerciseInventory!$J$2:$L$276,MATCH($L188,[2]ExerciseInventory!$J$2:$J$287,0),3),"")</f>
        <v/>
      </c>
      <c r="G188" s="128"/>
      <c r="H188" s="127"/>
      <c r="J188" s="36"/>
      <c r="K188" s="162"/>
      <c r="L188" s="163"/>
      <c r="M188" s="163"/>
      <c r="N188" s="163"/>
      <c r="O188" s="163"/>
      <c r="P188" s="163"/>
      <c r="Q188" s="163"/>
      <c r="R188" s="326">
        <v>1</v>
      </c>
      <c r="S188" s="326"/>
      <c r="T188" s="326"/>
      <c r="U188" s="327">
        <v>2</v>
      </c>
      <c r="V188" s="327">
        <v>3</v>
      </c>
      <c r="W188" s="328">
        <v>4</v>
      </c>
      <c r="X188" s="36"/>
      <c r="Y188" s="162"/>
      <c r="Z188" s="163"/>
      <c r="AA188" s="163"/>
      <c r="AB188" s="163"/>
      <c r="AC188" s="163"/>
      <c r="AD188" s="163"/>
      <c r="AE188" s="163"/>
      <c r="AF188" s="163"/>
      <c r="AG188" s="163"/>
      <c r="AH188" s="327">
        <v>1</v>
      </c>
      <c r="AI188" s="327">
        <v>2</v>
      </c>
      <c r="AJ188" s="326">
        <v>3</v>
      </c>
      <c r="AK188" s="326"/>
      <c r="AL188" s="326"/>
      <c r="AM188" s="328">
        <v>4</v>
      </c>
      <c r="AN188" s="36"/>
      <c r="AO188" s="162"/>
      <c r="AP188" s="163"/>
      <c r="AQ188" s="163"/>
      <c r="AR188" s="163"/>
      <c r="AS188" s="163"/>
      <c r="AT188" s="163"/>
      <c r="AU188" s="163"/>
      <c r="AV188" s="163"/>
      <c r="AW188" s="163"/>
      <c r="AX188" s="327">
        <v>1</v>
      </c>
      <c r="AY188" s="327">
        <v>2</v>
      </c>
      <c r="AZ188" s="327">
        <v>3</v>
      </c>
      <c r="BA188" s="328">
        <v>4</v>
      </c>
      <c r="BB188" s="320"/>
      <c r="BC188" s="36"/>
      <c r="BF188" s="329"/>
      <c r="BG188" s="63"/>
      <c r="BH188" s="63"/>
      <c r="BI188" s="63"/>
      <c r="BJ188" s="330"/>
      <c r="BK188" s="331"/>
      <c r="BL188" s="329"/>
      <c r="BM188" s="63"/>
      <c r="BN188" s="63"/>
      <c r="BO188" s="63"/>
      <c r="BP188" s="330"/>
      <c r="BQ188" s="331"/>
      <c r="BR188" s="329"/>
      <c r="BS188" s="63"/>
      <c r="BT188" s="63"/>
      <c r="BU188" s="63"/>
      <c r="BV188" s="330"/>
      <c r="BW188" s="331"/>
      <c r="BX188" s="329"/>
      <c r="BY188" s="63"/>
      <c r="BZ188" s="63"/>
      <c r="CA188" s="63"/>
      <c r="CB188" s="330"/>
      <c r="CC188" s="331"/>
      <c r="CD188" s="245"/>
      <c r="CE188" s="325"/>
      <c r="CF188" s="245"/>
      <c r="CG188" s="245"/>
      <c r="CH188" s="245"/>
      <c r="CI188" s="245"/>
      <c r="CJ188" s="245"/>
      <c r="CK188" s="245"/>
    </row>
    <row r="189" spans="1:173" s="34" customFormat="1" ht="31" customHeight="1" thickBot="1">
      <c r="A189" s="129"/>
      <c r="B189" s="129"/>
      <c r="C189" s="129"/>
      <c r="D189" s="128"/>
      <c r="E189" s="129"/>
      <c r="F189" s="128"/>
      <c r="G189" s="128"/>
      <c r="H189" s="129"/>
      <c r="J189" s="36"/>
      <c r="K189" s="332"/>
      <c r="L189" s="333" t="str">
        <f>IFERROR(INDEX(TableAccessoryTriplets,MATCH(L187,AccessoryTriplets,0),2),"")</f>
        <v/>
      </c>
      <c r="M189" s="333"/>
      <c r="N189" s="333"/>
      <c r="O189" s="333"/>
      <c r="P189" s="333"/>
      <c r="Q189" s="333"/>
      <c r="R189" s="334" t="s">
        <v>383</v>
      </c>
      <c r="S189" s="334"/>
      <c r="T189" s="334"/>
      <c r="U189" s="335" t="s">
        <v>383</v>
      </c>
      <c r="V189" s="335" t="s">
        <v>383</v>
      </c>
      <c r="W189" s="336" t="s">
        <v>383</v>
      </c>
      <c r="X189" s="36"/>
      <c r="Y189" s="332"/>
      <c r="Z189" s="333" t="str">
        <f>IFERROR(INDEX(TableAccessoryTriplets,MATCH(Z187,AccessoryTriplets,0),2),"")</f>
        <v/>
      </c>
      <c r="AA189" s="333"/>
      <c r="AB189" s="333"/>
      <c r="AC189" s="333"/>
      <c r="AD189" s="333"/>
      <c r="AE189" s="333"/>
      <c r="AF189" s="333"/>
      <c r="AG189" s="333"/>
      <c r="AH189" s="335" t="s">
        <v>383</v>
      </c>
      <c r="AI189" s="335" t="s">
        <v>383</v>
      </c>
      <c r="AJ189" s="334" t="s">
        <v>383</v>
      </c>
      <c r="AK189" s="334"/>
      <c r="AL189" s="334"/>
      <c r="AM189" s="336" t="s">
        <v>383</v>
      </c>
      <c r="AN189" s="36"/>
      <c r="AO189" s="332"/>
      <c r="AP189" s="333" t="str">
        <f>IFERROR(INDEX(TableAccessoryTriplets,MATCH(AP187,AccessoryTriplets,0),2),"")</f>
        <v/>
      </c>
      <c r="AQ189" s="333"/>
      <c r="AR189" s="333"/>
      <c r="AS189" s="333"/>
      <c r="AT189" s="333"/>
      <c r="AU189" s="333"/>
      <c r="AV189" s="333"/>
      <c r="AW189" s="333"/>
      <c r="AX189" s="335" t="s">
        <v>383</v>
      </c>
      <c r="AY189" s="335" t="s">
        <v>383</v>
      </c>
      <c r="AZ189" s="335" t="s">
        <v>383</v>
      </c>
      <c r="BA189" s="336" t="s">
        <v>383</v>
      </c>
      <c r="BB189" s="36"/>
      <c r="BC189" s="36"/>
      <c r="BF189" s="337">
        <f>INDEX([2]ControlPanel!$AS$45:$AY$165,MATCH(BF$306,[2]ControlPanel!$AY$45:$AY$165,0),4)</f>
        <v>4</v>
      </c>
      <c r="BG189" s="178">
        <f>INDEX([2]ControlPanel!$AS$45:$AY$165,MATCH(BG$306,[2]ControlPanel!$AY$45:$AY$165,0),4)</f>
        <v>3</v>
      </c>
      <c r="BH189" s="178">
        <f>INDEX([2]ControlPanel!$AS$45:$AY$165,MATCH(BH$306,[2]ControlPanel!$AY$45:$AY$165,0),4)</f>
        <v>2</v>
      </c>
      <c r="BI189" s="178">
        <f>INDEX([2]ControlPanel!$AS$45:$AY$165,MATCH(BI$306,[2]ControlPanel!$AY$45:$AY$165,0),4)</f>
        <v>2</v>
      </c>
      <c r="BJ189" s="178">
        <f>INDEX([2]ControlPanel!$AS$45:$AY$165,MATCH(BJ$306,[2]ControlPanel!$AY$45:$AY$165,0),4)</f>
        <v>2</v>
      </c>
      <c r="BK189" s="338"/>
      <c r="BL189" s="178">
        <f>INDEX([2]ControlPanel!$AS$45:$AY$165,MATCH(BL$306,[2]ControlPanel!$AY$45:$AY$165,0),4)</f>
        <v>5</v>
      </c>
      <c r="BM189" s="178">
        <f>INDEX([2]ControlPanel!$AS$45:$AY$165,MATCH(BM$306,[2]ControlPanel!$AY$45:$AY$165,0),4)</f>
        <v>3</v>
      </c>
      <c r="BN189" s="178">
        <f>INDEX([2]ControlPanel!$AS$45:$AY$165,MATCH(BN$306,[2]ControlPanel!$AY$45:$AY$165,0),4)</f>
        <v>3</v>
      </c>
      <c r="BO189" s="178">
        <f>INDEX([2]ControlPanel!$AS$45:$AY$165,MATCH(BO$306,[2]ControlPanel!$AY$45:$AY$165,0),4)</f>
        <v>3</v>
      </c>
      <c r="BP189" s="178">
        <f>INDEX([2]ControlPanel!$AS$45:$AY$165,MATCH(BP$306,[2]ControlPanel!$AY$45:$AY$165,0),4)</f>
        <v>3</v>
      </c>
      <c r="BQ189" s="338"/>
      <c r="BR189" s="178">
        <f>INDEX([2]ControlPanel!$AS$45:$AY$165,MATCH(BR$306,[2]ControlPanel!$AY$45:$AY$165,0),4)</f>
        <v>2</v>
      </c>
      <c r="BS189" s="178">
        <f>INDEX([2]ControlPanel!$AS$45:$AY$165,MATCH(BS$306,[2]ControlPanel!$AY$45:$AY$165,0),4)</f>
        <v>2</v>
      </c>
      <c r="BT189" s="178">
        <f>INDEX([2]ControlPanel!$AS$45:$AY$165,MATCH(BT$306,[2]ControlPanel!$AY$45:$AY$165,0),4)</f>
        <v>1</v>
      </c>
      <c r="BU189" s="178">
        <f>INDEX([2]ControlPanel!$AS$45:$AY$165,MATCH(BU$306,[2]ControlPanel!$AY$45:$AY$165,0),4)</f>
        <v>1</v>
      </c>
      <c r="BV189" s="178">
        <f>INDEX([2]ControlPanel!$AS$45:$AY$165,MATCH(BV$306,[2]ControlPanel!$AY$45:$AY$165,0),4)</f>
        <v>1</v>
      </c>
      <c r="BW189" s="338"/>
      <c r="BX189" s="178">
        <f>INDEX([2]ControlPanel!$AS$45:$AY$165,MATCH(BX$306,[2]ControlPanel!$AY$45:$AY$165,0),4)</f>
        <v>3</v>
      </c>
      <c r="BY189" s="178">
        <f>INDEX([2]ControlPanel!$AS$45:$AY$165,MATCH(BY$306,[2]ControlPanel!$AY$45:$AY$165,0),4)</f>
        <v>3</v>
      </c>
      <c r="BZ189" s="178">
        <f>INDEX([2]ControlPanel!$AS$45:$AY$165,MATCH(BZ$306,[2]ControlPanel!$AY$45:$AY$165,0),4)</f>
        <v>2</v>
      </c>
      <c r="CA189" s="178">
        <f>INDEX([2]ControlPanel!$AS$45:$AY$165,MATCH(CA$306,[2]ControlPanel!$AY$45:$AY$165,0),4)</f>
        <v>2</v>
      </c>
      <c r="CB189" s="178">
        <f>INDEX([2]ControlPanel!$AS$45:$AY$165,MATCH(CB$306,[2]ControlPanel!$AY$45:$AY$165,0),4)</f>
        <v>1</v>
      </c>
      <c r="CC189" s="339"/>
      <c r="CD189" s="245"/>
      <c r="CE189" s="325"/>
      <c r="CF189" s="245"/>
      <c r="CG189" s="245"/>
      <c r="CH189" s="245"/>
      <c r="CI189" s="245"/>
      <c r="CJ189" s="245"/>
      <c r="CK189" s="245"/>
    </row>
    <row r="190" spans="1:173" s="34" customFormat="1" ht="31" customHeight="1">
      <c r="A190" s="127" t="s">
        <v>243</v>
      </c>
      <c r="B190" s="127" t="s">
        <v>244</v>
      </c>
      <c r="C190" s="127" t="s">
        <v>245</v>
      </c>
      <c r="D190" s="128" t="str">
        <f>IFERROR(INDEX([2]!Table1RM[#Data],MATCH($M$56,[2]!Table1RM[Athlete],0),MATCH($L190,[2]!Table1RM[#Headers],0)),"")</f>
        <v/>
      </c>
      <c r="E190" s="127" t="str">
        <f>IF($B190="PE",INDEX([2]ExerciseInventory!$J$2:$L$276,MATCH($L190,[2]ExerciseInventory!$J$2:$J$287,0),2),"")</f>
        <v/>
      </c>
      <c r="F190" s="128" t="str">
        <f>IF($B190="PE",INDEX([2]ExerciseInventory!$J$2:$L$276,MATCH($L190,[2]ExerciseInventory!$J$2:$J$287,0),3),"")</f>
        <v/>
      </c>
      <c r="G190" s="128"/>
      <c r="H190" s="127"/>
      <c r="J190" s="36"/>
      <c r="K190" s="340" t="s">
        <v>52</v>
      </c>
      <c r="L190" s="341" t="str">
        <f>IFERROR(INDEX(TableAccessoryTriplets,MATCH(L187,AccessoryTriplets,0),3),"")</f>
        <v/>
      </c>
      <c r="M190" s="341"/>
      <c r="N190" s="341"/>
      <c r="O190" s="341"/>
      <c r="P190" s="341"/>
      <c r="Q190" s="342"/>
      <c r="R190" s="343" t="str">
        <f>IFERROR(INDEX(TableAccessoryTriplets,MATCH(L187,AccessoryTriplets,0),COLUMNS($P190:T190)),"")</f>
        <v/>
      </c>
      <c r="S190" s="344"/>
      <c r="T190" s="345"/>
      <c r="U190" s="267" t="str">
        <f>IFERROR(INDEX(TableAccessoryTriplets,MATCH($L187,AccessoryTriplets,0),COLUMNS($O190:T190)),"")</f>
        <v/>
      </c>
      <c r="V190" s="267" t="str">
        <f>IFERROR(INDEX(TableAccessoryTriplets,MATCH($L187,AccessoryTriplets,0),COLUMNS($O190:U190)),"")</f>
        <v/>
      </c>
      <c r="W190" s="273" t="str">
        <f>IFERROR(INDEX(TableAccessoryTriplets,MATCH($L187,AccessoryTriplets,0),COLUMNS($O190:V190)),"")</f>
        <v/>
      </c>
      <c r="X190" s="36"/>
      <c r="Y190" s="340" t="s">
        <v>52</v>
      </c>
      <c r="Z190" s="341" t="str">
        <f>IFERROR(INDEX(TableAccessoryTriplets,MATCH(Z187,AccessoryTriplets,0),3),"")</f>
        <v>Hanging Knee Tucks - :03 ISO</v>
      </c>
      <c r="AA190" s="341"/>
      <c r="AB190" s="341"/>
      <c r="AC190" s="341"/>
      <c r="AD190" s="341"/>
      <c r="AE190" s="341"/>
      <c r="AF190" s="341"/>
      <c r="AG190" s="342"/>
      <c r="AH190" s="267">
        <f>IFERROR(INDEX(TableAccessoryTriplets,MATCH(Z187,AccessoryTriplets,0),COLUMNS($AD190:AH190)),"")</f>
        <v>6</v>
      </c>
      <c r="AI190" s="267">
        <f>IFERROR(INDEX(TableAccessoryTriplets,MATCH($Z187,AccessoryTriplets,0),COLUMNS($AC190:AH190)),"")</f>
        <v>7</v>
      </c>
      <c r="AJ190" s="269">
        <f>IFERROR(INDEX(TableAccessoryTriplets,MATCH($Z187,AccessoryTriplets,0),COLUMNS($AC190:AI190)),"")</f>
        <v>8</v>
      </c>
      <c r="AK190" s="270"/>
      <c r="AL190" s="271"/>
      <c r="AM190" s="273">
        <f>IFERROR(INDEX(TableAccessoryTriplets,MATCH($Z187,AccessoryTriplets,0),COLUMNS($AC190:AJ190)),"")</f>
        <v>7</v>
      </c>
      <c r="AN190" s="36"/>
      <c r="AO190" s="340" t="s">
        <v>52</v>
      </c>
      <c r="AP190" s="341" t="str">
        <f>IFERROR(INDEX(TableAccessoryTriplets,MATCH(AP187,AccessoryTriplets,0),3),"")</f>
        <v/>
      </c>
      <c r="AQ190" s="341"/>
      <c r="AR190" s="341"/>
      <c r="AS190" s="341"/>
      <c r="AT190" s="341"/>
      <c r="AU190" s="341"/>
      <c r="AV190" s="341"/>
      <c r="AW190" s="342"/>
      <c r="AX190" s="267" t="str">
        <f>IFERROR(INDEX(TableAccessoryTriplets,MATCH(AP187,AccessoryTriplets,0),COLUMNS($AT190:AX190)),"")</f>
        <v/>
      </c>
      <c r="AY190" s="267" t="str">
        <f>IFERROR(INDEX(TableAccessoryTriplets,MATCH($AP187,AccessoryTriplets,0),COLUMNS($AS190:AX190)),"")</f>
        <v/>
      </c>
      <c r="AZ190" s="267" t="str">
        <f>IFERROR(INDEX(TableAccessoryTriplets,MATCH($AP187,AccessoryTriplets,0),COLUMNS($AS190:AY190)),"")</f>
        <v/>
      </c>
      <c r="BA190" s="273" t="str">
        <f>IFERROR(INDEX(TableAccessoryTriplets,MATCH($AP187,AccessoryTriplets,0),COLUMNS($AS190:AZ190)),"")</f>
        <v/>
      </c>
      <c r="BB190" s="36"/>
      <c r="BC190" s="36"/>
      <c r="BF190" s="346">
        <f>INDEX([2]ControlPanel!$AS$45:$AY$165,MATCH(BF$306,[2]ControlPanel!$AY$45:$AY$165,0),3)</f>
        <v>115</v>
      </c>
      <c r="BG190" s="347">
        <f>INDEX([2]ControlPanel!$AS$45:$AY$165,MATCH(BG$306,[2]ControlPanel!$AY$45:$AY$165,0),3)</f>
        <v>130</v>
      </c>
      <c r="BH190" s="347">
        <f>INDEX([2]ControlPanel!$AS$45:$AY$165,MATCH(BH$306,[2]ControlPanel!$AY$45:$AY$165,0),3)</f>
        <v>140</v>
      </c>
      <c r="BI190" s="347">
        <f>INDEX([2]ControlPanel!$AS$45:$AY$165,MATCH(BI$306,[2]ControlPanel!$AY$45:$AY$165,0),3)</f>
        <v>130</v>
      </c>
      <c r="BJ190" s="347">
        <f>INDEX([2]ControlPanel!$AS$45:$AY$165,MATCH(BJ$306,[2]ControlPanel!$AY$45:$AY$165,0),3)</f>
        <v>144</v>
      </c>
      <c r="BK190" s="339">
        <f t="array" ref="BK190">MAX(IF([2]ControlPanel!$AS$45:$AS$168=$BF$187,[2]ControlPanel!$AU$45:$AU$168))</f>
        <v>144</v>
      </c>
      <c r="BL190" s="347">
        <f>INDEX([2]ControlPanel!$AS$45:$AY$165,MATCH(BL$306,[2]ControlPanel!$AY$45:$AY$165,0),3)</f>
        <v>130</v>
      </c>
      <c r="BM190" s="347">
        <f>INDEX([2]ControlPanel!$AS$45:$AY$165,MATCH(BM$306,[2]ControlPanel!$AY$45:$AY$165,0),3)</f>
        <v>156</v>
      </c>
      <c r="BN190" s="347">
        <f>INDEX([2]ControlPanel!$AS$45:$AY$165,MATCH(BN$306,[2]ControlPanel!$AY$45:$AY$165,0),3)</f>
        <v>150</v>
      </c>
      <c r="BO190" s="347">
        <f>INDEX([2]ControlPanel!$AS$45:$AY$165,MATCH(BO$306,[2]ControlPanel!$AY$45:$AY$165,0),3)</f>
        <v>155</v>
      </c>
      <c r="BP190" s="347">
        <f>INDEX([2]ControlPanel!$AS$45:$AY$165,MATCH(BP$306,[2]ControlPanel!$AY$45:$AY$165,0),3)</f>
        <v>160</v>
      </c>
      <c r="BQ190" s="339">
        <f t="array" ref="BQ190">MAX(IF([2]ControlPanel!$AS$45:$AS$168=$BL$187,[2]ControlPanel!$AU$45:$AU$168))</f>
        <v>180</v>
      </c>
      <c r="BR190" s="347">
        <f>INDEX([2]ControlPanel!$AS$45:$AY$165,MATCH(BR$306,[2]ControlPanel!$AY$45:$AY$165,0),3)</f>
        <v>95</v>
      </c>
      <c r="BS190" s="347">
        <f>INDEX([2]ControlPanel!$AS$45:$AY$165,MATCH(BS$306,[2]ControlPanel!$AY$45:$AY$165,0),3)</f>
        <v>100</v>
      </c>
      <c r="BT190" s="347">
        <f>INDEX([2]ControlPanel!$AS$45:$AY$165,MATCH(BT$306,[2]ControlPanel!$AY$45:$AY$165,0),3)</f>
        <v>105</v>
      </c>
      <c r="BU190" s="347">
        <f>INDEX([2]ControlPanel!$AS$45:$AY$165,MATCH(BU$306,[2]ControlPanel!$AY$45:$AY$165,0),3)</f>
        <v>105</v>
      </c>
      <c r="BV190" s="347">
        <f>INDEX([2]ControlPanel!$AS$45:$AY$165,MATCH(BV$306,[2]ControlPanel!$AY$45:$AY$165,0),3)</f>
        <v>107</v>
      </c>
      <c r="BW190" s="339">
        <f t="array" ref="BW190">MAX(IF([2]ControlPanel!$AS$45:$AS$168=$BR$187,[2]ControlPanel!$AU$45:$AU$168))</f>
        <v>107</v>
      </c>
      <c r="BX190" s="347">
        <f>INDEX([2]ControlPanel!$AS$45:$AY$165,MATCH(BX$306,[2]ControlPanel!$AY$45:$AY$165,0),3)</f>
        <v>50</v>
      </c>
      <c r="BY190" s="347">
        <f>INDEX([2]ControlPanel!$AS$45:$AY$165,MATCH(BY$306,[2]ControlPanel!$AY$45:$AY$165,0),3)</f>
        <v>55</v>
      </c>
      <c r="BZ190" s="347">
        <f>INDEX([2]ControlPanel!$AS$45:$AY$165,MATCH(BZ$306,[2]ControlPanel!$AY$45:$AY$165,0),3)</f>
        <v>60</v>
      </c>
      <c r="CA190" s="347">
        <f>INDEX([2]ControlPanel!$AS$45:$AY$165,MATCH(CA$306,[2]ControlPanel!$AY$45:$AY$165,0),3)</f>
        <v>65</v>
      </c>
      <c r="CB190" s="347">
        <f>INDEX([2]ControlPanel!$AS$45:$AY$165,MATCH(CB$306,[2]ControlPanel!$AY$45:$AY$165,0),3)</f>
        <v>68</v>
      </c>
      <c r="CC190" s="339">
        <f t="array" ref="CC190">MAX(IF([2]ControlPanel!$AS$45:$AS$168=$BX$187,[2]ControlPanel!$AU$45:$AU$168))</f>
        <v>68</v>
      </c>
      <c r="CD190" s="245"/>
      <c r="CE190" s="325"/>
      <c r="CF190" s="245"/>
      <c r="CG190" s="245"/>
      <c r="CH190" s="245"/>
      <c r="CI190" s="245"/>
      <c r="CJ190" s="245"/>
      <c r="CK190" s="245"/>
    </row>
    <row r="191" spans="1:173" s="34" customFormat="1" ht="31" customHeight="1">
      <c r="A191" s="129"/>
      <c r="B191" s="129"/>
      <c r="C191" s="129"/>
      <c r="D191" s="128"/>
      <c r="E191" s="129"/>
      <c r="F191" s="128"/>
      <c r="G191" s="128"/>
      <c r="H191" s="129"/>
      <c r="J191" s="36"/>
      <c r="K191" s="348"/>
      <c r="L191" s="349" t="str">
        <f>IFERROR(INDEX(TableAccessoryTriplets,MATCH(L187,AccessoryTriplets,0),4),"")</f>
        <v/>
      </c>
      <c r="M191" s="349"/>
      <c r="N191" s="349"/>
      <c r="O191" s="349"/>
      <c r="P191" s="349"/>
      <c r="Q191" s="350"/>
      <c r="R191" s="293"/>
      <c r="S191" s="294"/>
      <c r="T191" s="295"/>
      <c r="U191" s="351"/>
      <c r="V191" s="351"/>
      <c r="W191" s="352"/>
      <c r="X191" s="36"/>
      <c r="Y191" s="348"/>
      <c r="Z191" s="349" t="str">
        <f>IFERROR(INDEX(TableAccessoryTriplets,MATCH(Z187,AccessoryTriplets,0),4),"")</f>
        <v>add DB between feet if needed</v>
      </c>
      <c r="AA191" s="349"/>
      <c r="AB191" s="349"/>
      <c r="AC191" s="349"/>
      <c r="AD191" s="349"/>
      <c r="AE191" s="349"/>
      <c r="AF191" s="349"/>
      <c r="AG191" s="350"/>
      <c r="AH191" s="291"/>
      <c r="AI191" s="291"/>
      <c r="AJ191" s="293"/>
      <c r="AK191" s="294"/>
      <c r="AL191" s="295"/>
      <c r="AM191" s="353"/>
      <c r="AN191" s="36"/>
      <c r="AO191" s="348"/>
      <c r="AP191" s="349" t="str">
        <f>IFERROR(INDEX(TableAccessoryTriplets,MATCH(AP187,AccessoryTriplets,0),4),"")</f>
        <v/>
      </c>
      <c r="AQ191" s="349"/>
      <c r="AR191" s="349"/>
      <c r="AS191" s="349"/>
      <c r="AT191" s="349"/>
      <c r="AU191" s="349"/>
      <c r="AV191" s="349"/>
      <c r="AW191" s="350"/>
      <c r="AX191" s="291"/>
      <c r="AY191" s="291"/>
      <c r="AZ191" s="351"/>
      <c r="BA191" s="352"/>
      <c r="BB191" s="36"/>
      <c r="BC191" s="36"/>
      <c r="BF191" s="354"/>
      <c r="BG191" s="355"/>
      <c r="BH191" s="355"/>
      <c r="BI191" s="355"/>
      <c r="BJ191" s="355"/>
      <c r="BK191" s="356"/>
      <c r="BL191" s="354"/>
      <c r="BM191" s="355"/>
      <c r="BN191" s="355"/>
      <c r="BO191" s="355"/>
      <c r="BP191" s="355"/>
      <c r="BQ191" s="356"/>
      <c r="BR191" s="354"/>
      <c r="BS191" s="355"/>
      <c r="BT191" s="355"/>
      <c r="BU191" s="355"/>
      <c r="BV191" s="355"/>
      <c r="BW191" s="356"/>
      <c r="BX191" s="354"/>
      <c r="BY191" s="355"/>
      <c r="BZ191" s="355"/>
      <c r="CA191" s="355"/>
      <c r="CB191" s="355"/>
      <c r="CC191" s="356"/>
      <c r="CD191" s="245"/>
      <c r="CE191" s="325"/>
      <c r="CF191" s="245"/>
      <c r="CG191" s="245"/>
      <c r="CH191" s="245"/>
      <c r="CI191" s="245"/>
      <c r="CJ191" s="245"/>
      <c r="CK191" s="245"/>
    </row>
    <row r="192" spans="1:173" s="34" customFormat="1" ht="31" customHeight="1">
      <c r="A192" s="127" t="s">
        <v>243</v>
      </c>
      <c r="B192" s="127" t="s">
        <v>244</v>
      </c>
      <c r="C192" s="127" t="s">
        <v>245</v>
      </c>
      <c r="D192" s="128" t="str">
        <f>IFERROR(INDEX([2]!Table1RM[#Data],MATCH($M$56,[2]!Table1RM[Athlete],0),MATCH($L192,[2]!Table1RM[#Headers],0)),"")</f>
        <v/>
      </c>
      <c r="E192" s="127" t="str">
        <f>IF($B192="PE",INDEX([2]ExerciseInventory!$J$2:$L$276,MATCH($L192,[2]ExerciseInventory!$J$2:$J$287,0),2),"")</f>
        <v/>
      </c>
      <c r="F192" s="128" t="str">
        <f>IF($B192="PE",INDEX([2]ExerciseInventory!$J$2:$L$276,MATCH($L192,[2]ExerciseInventory!$J$2:$J$287,0),3),"")</f>
        <v/>
      </c>
      <c r="G192" s="128"/>
      <c r="H192" s="127"/>
      <c r="J192" s="36"/>
      <c r="K192" s="357" t="s">
        <v>53</v>
      </c>
      <c r="L192" s="358" t="str">
        <f>IFERROR(INDEX(TableAccessoryTriplets,MATCH(L187,AccessoryTriplets,0)+1,3),"")</f>
        <v/>
      </c>
      <c r="M192" s="358"/>
      <c r="N192" s="358"/>
      <c r="O192" s="358"/>
      <c r="P192" s="358"/>
      <c r="Q192" s="359"/>
      <c r="R192" s="360" t="str">
        <f>IFERROR(INDEX(TableAccessoryTriplets,MATCH(L187,AccessoryTriplets,0)+1,COLUMNS($P192:T192)),"")</f>
        <v/>
      </c>
      <c r="S192" s="361"/>
      <c r="T192" s="362"/>
      <c r="U192" s="363" t="str">
        <f>IFERROR(INDEX(TableAccessoryTriplets,MATCH($L187,AccessoryTriplets,0)+1,COLUMNS($O190:T190)),"")</f>
        <v/>
      </c>
      <c r="V192" s="363" t="str">
        <f>IFERROR(INDEX(TableAccessoryTriplets,MATCH($L187,AccessoryTriplets,0)+1,COLUMNS($O190:U190)),"")</f>
        <v/>
      </c>
      <c r="W192" s="364" t="str">
        <f>IFERROR(INDEX(TableAccessoryTriplets,MATCH($L187,AccessoryTriplets,0)+1,COLUMNS($O190:V190)),"")</f>
        <v/>
      </c>
      <c r="X192" s="36"/>
      <c r="Y192" s="357" t="s">
        <v>53</v>
      </c>
      <c r="Z192" s="358" t="str">
        <f>IFERROR(INDEX(TableAccessoryTriplets,MATCH(Z187,AccessoryTriplets,0)+1,3),"")</f>
        <v>Side Plank w/ DB Reach</v>
      </c>
      <c r="AA192" s="358"/>
      <c r="AB192" s="358"/>
      <c r="AC192" s="358"/>
      <c r="AD192" s="358"/>
      <c r="AE192" s="358"/>
      <c r="AF192" s="358"/>
      <c r="AG192" s="359"/>
      <c r="AH192" s="363" t="str">
        <f>IFERROR(INDEX(TableAccessoryTriplets,MATCH(Z187,AccessoryTriplets,0)+1,COLUMNS($AD192:AH192)),"")</f>
        <v>10/s</v>
      </c>
      <c r="AI192" s="363">
        <f>IFERROR(INDEX(TableAccessoryTriplets,MATCH($Z187,AccessoryTriplets,0)+1,COLUMNS($AC192:AH192)),"")</f>
        <v>10</v>
      </c>
      <c r="AJ192" s="365">
        <f>IFERROR(INDEX(TableAccessoryTriplets,MATCH($Z187,AccessoryTriplets,0)+1,COLUMNS($AC192:AI192)),"")</f>
        <v>10</v>
      </c>
      <c r="AK192" s="366"/>
      <c r="AL192" s="367"/>
      <c r="AM192" s="364">
        <f>IFERROR(INDEX(TableAccessoryTriplets,MATCH($Z187,AccessoryTriplets,0)+1,COLUMNS($AC192:AJ192)),"")</f>
        <v>12</v>
      </c>
      <c r="AN192" s="36"/>
      <c r="AO192" s="357" t="s">
        <v>53</v>
      </c>
      <c r="AP192" s="358" t="str">
        <f>IFERROR(INDEX(TableAccessoryTriplets,MATCH(AP187,AccessoryTriplets,0)+1,3),"")</f>
        <v/>
      </c>
      <c r="AQ192" s="358"/>
      <c r="AR192" s="358"/>
      <c r="AS192" s="358"/>
      <c r="AT192" s="358"/>
      <c r="AU192" s="358"/>
      <c r="AV192" s="358"/>
      <c r="AW192" s="359"/>
      <c r="AX192" s="363" t="str">
        <f>IFERROR(INDEX(TableAccessoryTriplets,MATCH(AP187,AccessoryTriplets,0)+1,COLUMNS($AT192:AX192)),"")</f>
        <v/>
      </c>
      <c r="AY192" s="363" t="str">
        <f>IFERROR(INDEX(TableAccessoryTriplets,MATCH($AP187,AccessoryTriplets,0)+1,COLUMNS($AS192:AX192)),"")</f>
        <v/>
      </c>
      <c r="AZ192" s="363" t="str">
        <f>IFERROR(INDEX(TableAccessoryTriplets,MATCH($AP187,AccessoryTriplets,0)+1,COLUMNS($AS192:AY192)),"")</f>
        <v/>
      </c>
      <c r="BA192" s="364" t="str">
        <f>IFERROR(INDEX(TableAccessoryTriplets,MATCH($AP187,AccessoryTriplets,0)+1,COLUMNS($AS192:AZ192)),"")</f>
        <v/>
      </c>
      <c r="BB192" s="36"/>
      <c r="BC192" s="36"/>
      <c r="BF192" s="354"/>
      <c r="BG192" s="355"/>
      <c r="BH192" s="355"/>
      <c r="BI192" s="355"/>
      <c r="BJ192" s="355"/>
      <c r="BK192" s="356"/>
      <c r="BL192" s="354"/>
      <c r="BM192" s="355"/>
      <c r="BN192" s="355"/>
      <c r="BO192" s="355"/>
      <c r="BP192" s="355"/>
      <c r="BQ192" s="356"/>
      <c r="BR192" s="354"/>
      <c r="BS192" s="355"/>
      <c r="BT192" s="355"/>
      <c r="BU192" s="355"/>
      <c r="BV192" s="355"/>
      <c r="BW192" s="356"/>
      <c r="BX192" s="354"/>
      <c r="BY192" s="355"/>
      <c r="BZ192" s="355"/>
      <c r="CA192" s="355"/>
      <c r="CB192" s="355"/>
      <c r="CC192" s="356"/>
      <c r="CD192" s="245"/>
      <c r="CE192" s="245"/>
      <c r="CF192" s="245"/>
      <c r="CG192" s="245"/>
      <c r="CH192" s="245"/>
      <c r="CI192" s="245"/>
      <c r="CJ192" s="245"/>
      <c r="CK192" s="245"/>
    </row>
    <row r="193" spans="1:173" s="34" customFormat="1" ht="31" customHeight="1" thickBot="1">
      <c r="A193" s="129"/>
      <c r="B193" s="129"/>
      <c r="C193" s="129"/>
      <c r="D193" s="128"/>
      <c r="E193" s="129"/>
      <c r="F193" s="128"/>
      <c r="G193" s="128"/>
      <c r="H193" s="129"/>
      <c r="J193" s="36"/>
      <c r="K193" s="348"/>
      <c r="L193" s="349" t="str">
        <f>IFERROR(INDEX(TableAccessoryTriplets,MATCH(L187,AccessoryTriplets,0)+1,4),"")</f>
        <v/>
      </c>
      <c r="M193" s="349"/>
      <c r="N193" s="349"/>
      <c r="O193" s="349"/>
      <c r="P193" s="349"/>
      <c r="Q193" s="350"/>
      <c r="R193" s="293"/>
      <c r="S193" s="294"/>
      <c r="T193" s="295"/>
      <c r="U193" s="351"/>
      <c r="V193" s="351"/>
      <c r="W193" s="352"/>
      <c r="X193" s="36"/>
      <c r="Y193" s="348"/>
      <c r="Z193" s="349" t="str">
        <f>IFERROR(INDEX(TableAccessoryTriplets,MATCH(Z187,AccessoryTriplets,0)+1,4),"")</f>
        <v>rotate down slightly at bottom, keep tension</v>
      </c>
      <c r="AA193" s="349"/>
      <c r="AB193" s="349"/>
      <c r="AC193" s="349"/>
      <c r="AD193" s="349"/>
      <c r="AE193" s="349"/>
      <c r="AF193" s="349"/>
      <c r="AG193" s="350"/>
      <c r="AH193" s="291"/>
      <c r="AI193" s="291"/>
      <c r="AJ193" s="293"/>
      <c r="AK193" s="294"/>
      <c r="AL193" s="295"/>
      <c r="AM193" s="353"/>
      <c r="AN193" s="36"/>
      <c r="AO193" s="348"/>
      <c r="AP193" s="349" t="str">
        <f>IFERROR(INDEX(TableAccessoryTriplets,MATCH(AP187,AccessoryTriplets,0)+1,4),"")</f>
        <v/>
      </c>
      <c r="AQ193" s="349"/>
      <c r="AR193" s="349"/>
      <c r="AS193" s="349"/>
      <c r="AT193" s="349"/>
      <c r="AU193" s="349"/>
      <c r="AV193" s="349"/>
      <c r="AW193" s="350"/>
      <c r="AX193" s="291"/>
      <c r="AY193" s="291"/>
      <c r="AZ193" s="291"/>
      <c r="BA193" s="353"/>
      <c r="BB193" s="36"/>
      <c r="BC193" s="36"/>
      <c r="BF193" s="368">
        <f t="array" ref="BF193">MAX(IF([2]ControlPanel!$AS$45:$AS$168=$BF$187,IF([2]ControlPanel!$AT$45:$AT$168&lt;BG$193,[2]ControlPanel!$AT$45:$AT$168)))</f>
        <v>43634</v>
      </c>
      <c r="BG193" s="369">
        <f t="array" ref="BG193">MAX(IF([2]ControlPanel!$AS$45:$AS$168=$BF$187,IF([2]ControlPanel!$AT$45:$AT$168&lt;BH$193,[2]ControlPanel!$AT$45:$AT$168)))</f>
        <v>43689</v>
      </c>
      <c r="BH193" s="369">
        <f t="array" ref="BH193">MAX(IF([2]ControlPanel!$AS$45:$AS$168=$BF$187,IF([2]ControlPanel!$AT$45:$AT$168&lt;BI$193,[2]ControlPanel!$AT$45:$AT$168)))</f>
        <v>43693</v>
      </c>
      <c r="BI193" s="369">
        <f t="array" ref="BI193">MAX(IF([2]ControlPanel!$AS$45:$AS$168=$BF$187,IF([2]ControlPanel!$AT$45:$AT$168&lt;BJ$193,[2]ControlPanel!$AT$45:$AT$168)))</f>
        <v>43842</v>
      </c>
      <c r="BJ193" s="369">
        <f t="array" ref="BJ193">MAX(IF([2]ControlPanel!$AS$45:$AS$168=BF$187,[2]ControlPanel!$AT$45:$AT$168))</f>
        <v>44158</v>
      </c>
      <c r="BK193" s="370" t="s">
        <v>384</v>
      </c>
      <c r="BL193" s="369">
        <f t="array" ref="BL193">MAX(IF([2]ControlPanel!$AS$45:$AS$168=$BL$187,IF([2]ControlPanel!$AT$45:$AT$168&lt;BM$193,[2]ControlPanel!$AT$45:$AT$168)))</f>
        <v>43632</v>
      </c>
      <c r="BM193" s="369">
        <f t="array" ref="BM193">MAX(IF([2]ControlPanel!$AS$45:$AS$168=$BL$187,IF([2]ControlPanel!$AT$45:$AT$168&lt;BN$193,[2]ControlPanel!$AT$45:$AT$168)))</f>
        <v>43810</v>
      </c>
      <c r="BN193" s="369">
        <f t="array" ref="BN193">MAX(IF([2]ControlPanel!$AS$45:$AS$168=$BL$187,IF([2]ControlPanel!$AT$45:$AT$168&lt;BO$193,[2]ControlPanel!$AT$45:$AT$168)))</f>
        <v>43840</v>
      </c>
      <c r="BO193" s="369">
        <f t="array" ref="BO193">MAX(IF([2]ControlPanel!$AS$45:$AS$168=$BL$187,IF([2]ControlPanel!$AT$45:$AT$168&lt;BP$193,[2]ControlPanel!$AT$45:$AT$168)))</f>
        <v>44151</v>
      </c>
      <c r="BP193" s="369">
        <f t="array" ref="BP193">MAX(IF([2]ControlPanel!$AS$45:$AS$168=BL$187,[2]ControlPanel!$AT$45:$AT$168))</f>
        <v>44160</v>
      </c>
      <c r="BQ193" s="370" t="s">
        <v>384</v>
      </c>
      <c r="BR193" s="369">
        <f t="array" ref="BR193">MAX(IF([2]ControlPanel!$AS$45:$AS$168=$BR$187,IF([2]ControlPanel!$AT$45:$AT$168&lt;BS$193,[2]ControlPanel!$AT$45:$AT$168)))</f>
        <v>43665</v>
      </c>
      <c r="BS193" s="369">
        <f t="array" ref="BS193">MAX(IF([2]ControlPanel!$AS$45:$AS$168=$BR$187,IF([2]ControlPanel!$AT$45:$AT$168&lt;BT$193,[2]ControlPanel!$AT$45:$AT$168)))</f>
        <v>43697</v>
      </c>
      <c r="BT193" s="369">
        <f t="array" ref="BT193">MAX(IF([2]ControlPanel!$AS$45:$AS$168=$BR$187,IF([2]ControlPanel!$AT$45:$AT$168&lt;BU$193,[2]ControlPanel!$AT$45:$AT$168)))</f>
        <v>43842</v>
      </c>
      <c r="BU193" s="369">
        <f t="array" ref="BU193">MAX(IF([2]ControlPanel!$AS$45:$AS$168=$BR$187,IF([2]ControlPanel!$AT$45:$AT$168&lt;BV$193,[2]ControlPanel!$AT$45:$AT$168)))</f>
        <v>44151</v>
      </c>
      <c r="BV193" s="369">
        <f t="array" ref="BV193">MAX(IF([2]ControlPanel!$AS$45:$AS$168=BR$187,[2]ControlPanel!$AT$45:$AT$168))</f>
        <v>44160</v>
      </c>
      <c r="BW193" s="370" t="s">
        <v>384</v>
      </c>
      <c r="BX193" s="369">
        <f t="array" ref="BX193">MAX(IF([2]ControlPanel!$AS$45:$AS$168=$BX$187,IF([2]ControlPanel!$AT$45:$AT$168&lt;BY$193,[2]ControlPanel!$AT$45:$AT$168)))</f>
        <v>43668</v>
      </c>
      <c r="BY193" s="369">
        <f t="array" ref="BY193">MAX(IF([2]ControlPanel!$AS$45:$AS$168=$BX$187,IF([2]ControlPanel!$AT$45:$AT$168&lt;BZ$193,[2]ControlPanel!$AT$45:$AT$168)))</f>
        <v>43672</v>
      </c>
      <c r="BZ193" s="369">
        <f t="array" ref="BZ193">MAX(IF([2]ControlPanel!$AS$45:$AS$168=$BX$187,IF([2]ControlPanel!$AT$45:$AT$168&lt;CA$193,[2]ControlPanel!$AT$45:$AT$168)))</f>
        <v>43689</v>
      </c>
      <c r="CA193" s="369">
        <f t="array" ref="CA193">MAX(IF([2]ControlPanel!$AS$45:$AS$168=$BX$187,IF([2]ControlPanel!$AT$45:$AT$168&lt;CB$193,[2]ControlPanel!$AT$45:$AT$168)))</f>
        <v>43693</v>
      </c>
      <c r="CB193" s="369">
        <f t="array" ref="CB193">MAX(IF([2]ControlPanel!$AS$45:$AS$168=BX$187,[2]ControlPanel!$AT$45:$AT$168))</f>
        <v>44158</v>
      </c>
      <c r="CC193" s="370" t="s">
        <v>384</v>
      </c>
      <c r="CD193" s="245"/>
      <c r="CE193" s="245"/>
      <c r="CF193" s="245"/>
      <c r="CG193" s="245"/>
      <c r="CH193" s="245"/>
      <c r="CI193" s="245"/>
      <c r="CJ193" s="245"/>
      <c r="CK193" s="245"/>
    </row>
    <row r="194" spans="1:173" s="34" customFormat="1" ht="31" customHeight="1" thickBot="1">
      <c r="A194" s="127" t="s">
        <v>243</v>
      </c>
      <c r="B194" s="127" t="s">
        <v>244</v>
      </c>
      <c r="C194" s="127" t="s">
        <v>245</v>
      </c>
      <c r="D194" s="128" t="str">
        <f>IFERROR(INDEX([2]!Table1RM[#Data],MATCH($M$56,[2]!Table1RM[Athlete],0),MATCH($L194,[2]!Table1RM[#Headers],0)),"")</f>
        <v/>
      </c>
      <c r="E194" s="127" t="str">
        <f>IF($B194="PE",INDEX([2]ExerciseInventory!$J$2:$L$276,MATCH($L194,[2]ExerciseInventory!$J$2:$J$287,0),2),"")</f>
        <v/>
      </c>
      <c r="F194" s="128" t="str">
        <f>IF($B194="PE",INDEX([2]ExerciseInventory!$J$2:$L$276,MATCH($L194,[2]ExerciseInventory!$J$2:$J$287,0),3),"")</f>
        <v/>
      </c>
      <c r="G194" s="128"/>
      <c r="H194" s="127"/>
      <c r="J194" s="36"/>
      <c r="K194" s="371" t="s">
        <v>54</v>
      </c>
      <c r="L194" s="372" t="str">
        <f>IFERROR(INDEX(TableAccessoryTriplets,MATCH(L187,AccessoryTriplets,0)+2,3),"")</f>
        <v/>
      </c>
      <c r="M194" s="372"/>
      <c r="N194" s="372"/>
      <c r="O194" s="372"/>
      <c r="P194" s="372"/>
      <c r="Q194" s="373"/>
      <c r="R194" s="360" t="str">
        <f>IFERROR(INDEX(TableAccessoryTriplets,MATCH(L187,AccessoryTriplets,0)+2,COLUMNS($P194:T194)),"")</f>
        <v/>
      </c>
      <c r="S194" s="361"/>
      <c r="T194" s="362"/>
      <c r="U194" s="363" t="str">
        <f>IFERROR(INDEX(TableAccessoryTriplets,MATCH($L187,AccessoryTriplets,0)+2,COLUMNS($O194:T194)),"")</f>
        <v/>
      </c>
      <c r="V194" s="363" t="str">
        <f>IFERROR(INDEX(TableAccessoryTriplets,MATCH($L187,AccessoryTriplets,0)+2,COLUMNS($O194:U194)),"")</f>
        <v/>
      </c>
      <c r="W194" s="364" t="str">
        <f>IFERROR(INDEX(TableAccessoryTriplets,MATCH($L187,AccessoryTriplets,0)+2,COLUMNS($O194:V194)),"")</f>
        <v/>
      </c>
      <c r="X194" s="36"/>
      <c r="Y194" s="371" t="s">
        <v>54</v>
      </c>
      <c r="Z194" s="372" t="str">
        <f>IFERROR(INDEX(TableAccessoryTriplets,MATCH(Z187,AccessoryTriplets,0)+2,3),"")</f>
        <v>Heavy Staggered Cable Rot (:03 ECC)</v>
      </c>
      <c r="AA194" s="372"/>
      <c r="AB194" s="372"/>
      <c r="AC194" s="372"/>
      <c r="AD194" s="372"/>
      <c r="AE194" s="372"/>
      <c r="AF194" s="372"/>
      <c r="AG194" s="373"/>
      <c r="AH194" s="363" t="str">
        <f>IFERROR(INDEX(TableAccessoryTriplets,MATCH(Z187,AccessoryTriplets,0)+2,COLUMNS($AD194:AH194)),"")</f>
        <v>8/s</v>
      </c>
      <c r="AI194" s="363">
        <f>IFERROR(INDEX(TableAccessoryTriplets,MATCH($Z187,AccessoryTriplets,0)+2,COLUMNS($AC194:AH194)),"")</f>
        <v>8</v>
      </c>
      <c r="AJ194" s="365">
        <f>IFERROR(INDEX(TableAccessoryTriplets,MATCH($Z187,AccessoryTriplets,0)+2,COLUMNS($AC194:AI194)),"")</f>
        <v>8</v>
      </c>
      <c r="AK194" s="366"/>
      <c r="AL194" s="367"/>
      <c r="AM194" s="364">
        <f>IFERROR(INDEX(TableAccessoryTriplets,MATCH($Z187,AccessoryTriplets,0)+2,COLUMNS($AC194:AJ194)),"")</f>
        <v>8</v>
      </c>
      <c r="AN194" s="36"/>
      <c r="AO194" s="371" t="s">
        <v>54</v>
      </c>
      <c r="AP194" s="372" t="str">
        <f>IFERROR(INDEX(TableAccessoryTriplets,MATCH(AP187,AccessoryTriplets,0)+2,3),"")</f>
        <v/>
      </c>
      <c r="AQ194" s="372"/>
      <c r="AR194" s="372"/>
      <c r="AS194" s="372"/>
      <c r="AT194" s="372"/>
      <c r="AU194" s="372"/>
      <c r="AV194" s="372"/>
      <c r="AW194" s="373"/>
      <c r="AX194" s="363" t="str">
        <f>IFERROR(INDEX(TableAccessoryTriplets,MATCH(AP187,AccessoryTriplets,0)+2,COLUMNS($AT194:AX194)),"")</f>
        <v/>
      </c>
      <c r="AY194" s="363" t="str">
        <f>IFERROR(INDEX(TableAccessoryTriplets,MATCH($AP187,AccessoryTriplets,0)+2,COLUMNS($AS194:AX194)),"")</f>
        <v/>
      </c>
      <c r="AZ194" s="363" t="str">
        <f>IFERROR(INDEX(TableAccessoryTriplets,MATCH($AP187,AccessoryTriplets,0)+2,COLUMNS($AS194:AY194)),"")</f>
        <v/>
      </c>
      <c r="BA194" s="364" t="str">
        <f>IFERROR(INDEX(TableAccessoryTriplets,MATCH($AP187,AccessoryTriplets,0)+2,COLUMNS($AS194:AZ194)),"")</f>
        <v/>
      </c>
      <c r="BB194" s="36"/>
      <c r="BC194" s="36"/>
      <c r="BF194" s="374"/>
      <c r="BG194" s="374"/>
      <c r="BH194" s="374"/>
      <c r="BI194" s="374"/>
      <c r="BJ194" s="374"/>
      <c r="BK194" s="245"/>
      <c r="BL194" s="245"/>
      <c r="BM194" s="245"/>
      <c r="BN194" s="245"/>
      <c r="BO194" s="245"/>
      <c r="BP194" s="245"/>
      <c r="BQ194" s="245"/>
      <c r="BR194" s="245"/>
      <c r="BS194" s="245"/>
      <c r="BT194" s="245"/>
      <c r="BU194" s="245"/>
      <c r="BV194" s="245"/>
      <c r="BW194" s="245"/>
      <c r="BX194" s="245"/>
      <c r="BY194" s="245"/>
      <c r="BZ194" s="245"/>
      <c r="CA194" s="245"/>
      <c r="CB194" s="245"/>
      <c r="CC194" s="245"/>
      <c r="CD194" s="245"/>
      <c r="CE194" s="245"/>
      <c r="CF194" s="245"/>
      <c r="CG194" s="245"/>
      <c r="CH194" s="245"/>
      <c r="CI194" s="245"/>
      <c r="CJ194" s="245"/>
      <c r="CK194" s="245"/>
    </row>
    <row r="195" spans="1:173" s="34" customFormat="1" ht="31" customHeight="1" thickBot="1">
      <c r="A195" s="129"/>
      <c r="B195" s="129"/>
      <c r="C195" s="129"/>
      <c r="D195" s="128"/>
      <c r="E195" s="129"/>
      <c r="F195" s="128"/>
      <c r="G195" s="128"/>
      <c r="H195" s="129"/>
      <c r="J195" s="36"/>
      <c r="K195" s="375"/>
      <c r="L195" s="376" t="str">
        <f>IFERROR(INDEX(TableAccessoryTriplets,MATCH(L187,AccessoryTriplets,0)+2,4),"")</f>
        <v/>
      </c>
      <c r="M195" s="376"/>
      <c r="N195" s="376"/>
      <c r="O195" s="376"/>
      <c r="P195" s="376"/>
      <c r="Q195" s="377"/>
      <c r="R195" s="306"/>
      <c r="S195" s="307"/>
      <c r="T195" s="308"/>
      <c r="U195" s="304"/>
      <c r="V195" s="304"/>
      <c r="W195" s="378"/>
      <c r="X195" s="36"/>
      <c r="Y195" s="375"/>
      <c r="Z195" s="376" t="str">
        <f>IFERROR(INDEX(TableAccessoryTriplets,MATCH(Z187,AccessoryTriplets,0)+2,4),"")</f>
        <v>inside foot forward, stable lower body</v>
      </c>
      <c r="AA195" s="376"/>
      <c r="AB195" s="376"/>
      <c r="AC195" s="376"/>
      <c r="AD195" s="376"/>
      <c r="AE195" s="376"/>
      <c r="AF195" s="376"/>
      <c r="AG195" s="377"/>
      <c r="AH195" s="304"/>
      <c r="AI195" s="304"/>
      <c r="AJ195" s="306"/>
      <c r="AK195" s="307"/>
      <c r="AL195" s="308"/>
      <c r="AM195" s="378"/>
      <c r="AN195" s="36"/>
      <c r="AO195" s="375"/>
      <c r="AP195" s="376" t="str">
        <f>IFERROR(INDEX(TableAccessoryTriplets,MATCH(AP187,AccessoryTriplets,0)+2,4),"")</f>
        <v/>
      </c>
      <c r="AQ195" s="376"/>
      <c r="AR195" s="376"/>
      <c r="AS195" s="376"/>
      <c r="AT195" s="376"/>
      <c r="AU195" s="376"/>
      <c r="AV195" s="376"/>
      <c r="AW195" s="377"/>
      <c r="AX195" s="304"/>
      <c r="AY195" s="304"/>
      <c r="AZ195" s="304"/>
      <c r="BA195" s="378"/>
      <c r="BB195" s="36"/>
      <c r="BC195" s="36"/>
      <c r="BF195" s="311" t="s">
        <v>385</v>
      </c>
      <c r="BG195" s="312"/>
      <c r="BH195" s="312"/>
      <c r="BI195" s="312"/>
      <c r="BJ195" s="312"/>
      <c r="BK195" s="312"/>
      <c r="BL195" s="312"/>
      <c r="BM195" s="312"/>
      <c r="BN195" s="312"/>
      <c r="BO195" s="312"/>
      <c r="BP195" s="312"/>
      <c r="BQ195" s="312"/>
      <c r="BR195" s="312"/>
      <c r="BS195" s="312"/>
      <c r="BT195" s="312"/>
      <c r="BU195" s="312"/>
      <c r="BV195" s="312"/>
      <c r="BW195" s="312"/>
      <c r="BX195" s="312"/>
      <c r="BY195" s="312"/>
      <c r="BZ195" s="312"/>
      <c r="CA195" s="312"/>
      <c r="CB195" s="312"/>
      <c r="CC195" s="313"/>
      <c r="CD195" s="36"/>
      <c r="CE195" s="36"/>
      <c r="CF195" s="36"/>
      <c r="CG195" s="36"/>
      <c r="CH195" s="36"/>
      <c r="CI195" s="36"/>
      <c r="CJ195" s="245"/>
      <c r="CK195" s="245"/>
    </row>
    <row r="196" spans="1:173" s="34" customFormat="1" ht="31" customHeight="1" thickBot="1">
      <c r="J196" s="36"/>
      <c r="K196" s="36"/>
      <c r="L196" s="36"/>
      <c r="M196" s="36"/>
      <c r="N196" s="36"/>
      <c r="O196" s="36"/>
      <c r="P196" s="36"/>
      <c r="Q196" s="36"/>
      <c r="R196" s="36"/>
      <c r="S196" s="36"/>
      <c r="T196" s="36"/>
      <c r="U196" s="36"/>
      <c r="V196" s="36"/>
      <c r="W196" s="36"/>
      <c r="X196" s="36"/>
      <c r="Y196" s="36"/>
      <c r="Z196" s="36"/>
      <c r="AA196" s="36"/>
      <c r="AB196" s="36"/>
      <c r="AC196" s="36"/>
      <c r="AD196" s="36"/>
      <c r="AE196" s="36"/>
      <c r="AF196" s="36"/>
      <c r="AG196" s="36"/>
      <c r="AH196" s="36"/>
      <c r="AI196" s="36"/>
      <c r="AJ196" s="36"/>
      <c r="AK196" s="36"/>
      <c r="AL196" s="36"/>
      <c r="AM196" s="36"/>
      <c r="AN196" s="36"/>
      <c r="AO196" s="36"/>
      <c r="AP196" s="36"/>
      <c r="AQ196" s="36"/>
      <c r="AR196" s="36"/>
      <c r="AS196" s="36"/>
      <c r="AT196" s="36"/>
      <c r="AU196" s="36"/>
      <c r="AV196" s="36"/>
      <c r="AW196" s="36"/>
      <c r="AX196" s="36"/>
      <c r="AY196" s="36"/>
      <c r="AZ196" s="36"/>
      <c r="BA196" s="36"/>
      <c r="BB196" s="36"/>
      <c r="BC196" s="36"/>
      <c r="BF196" s="314"/>
      <c r="BG196" s="315"/>
      <c r="BH196" s="315"/>
      <c r="BI196" s="315"/>
      <c r="BJ196" s="315"/>
      <c r="BK196" s="315"/>
      <c r="BL196" s="316"/>
      <c r="BM196" s="316"/>
      <c r="BN196" s="316"/>
      <c r="BO196" s="316"/>
      <c r="BP196" s="316"/>
      <c r="BQ196" s="316"/>
      <c r="BR196" s="316"/>
      <c r="BS196" s="316"/>
      <c r="BT196" s="316"/>
      <c r="BU196" s="316"/>
      <c r="BV196" s="316"/>
      <c r="BW196" s="316"/>
      <c r="BX196" s="316"/>
      <c r="BY196" s="316"/>
      <c r="BZ196" s="316"/>
      <c r="CA196" s="316"/>
      <c r="CB196" s="316"/>
      <c r="CC196" s="317"/>
      <c r="CD196" s="36"/>
      <c r="CE196" s="36"/>
      <c r="CF196" s="36"/>
      <c r="CG196" s="36"/>
      <c r="CH196" s="36"/>
      <c r="CI196" s="36"/>
      <c r="CJ196" s="245"/>
      <c r="CK196" s="245"/>
    </row>
    <row r="197" spans="1:173" s="34" customFormat="1" ht="31" customHeight="1">
      <c r="A197" s="101" t="s">
        <v>237</v>
      </c>
      <c r="B197" s="102"/>
      <c r="C197" s="103" t="s">
        <v>238</v>
      </c>
      <c r="D197" s="103" t="s">
        <v>239</v>
      </c>
      <c r="E197" s="103" t="s">
        <v>247</v>
      </c>
      <c r="F197" s="103" t="s">
        <v>248</v>
      </c>
      <c r="G197" s="103" t="s">
        <v>240</v>
      </c>
      <c r="H197" s="103" t="s">
        <v>241</v>
      </c>
      <c r="J197" s="36"/>
      <c r="K197" s="153">
        <v>2</v>
      </c>
      <c r="L197" s="154"/>
      <c r="M197" s="154"/>
      <c r="N197" s="154"/>
      <c r="O197" s="154"/>
      <c r="P197" s="154"/>
      <c r="Q197" s="154"/>
      <c r="R197" s="318"/>
      <c r="S197" s="318"/>
      <c r="T197" s="318"/>
      <c r="U197" s="318"/>
      <c r="V197" s="318"/>
      <c r="W197" s="319"/>
      <c r="X197" s="36"/>
      <c r="Y197" s="153">
        <v>5</v>
      </c>
      <c r="Z197" s="154" t="s">
        <v>386</v>
      </c>
      <c r="AA197" s="154"/>
      <c r="AB197" s="154"/>
      <c r="AC197" s="154"/>
      <c r="AD197" s="154"/>
      <c r="AE197" s="154"/>
      <c r="AF197" s="154"/>
      <c r="AG197" s="154"/>
      <c r="AH197" s="318"/>
      <c r="AI197" s="318"/>
      <c r="AJ197" s="318"/>
      <c r="AK197" s="318"/>
      <c r="AL197" s="318"/>
      <c r="AM197" s="319"/>
      <c r="AN197" s="36"/>
      <c r="AO197" s="153">
        <v>8</v>
      </c>
      <c r="AP197" s="154"/>
      <c r="AQ197" s="154"/>
      <c r="AR197" s="154"/>
      <c r="AS197" s="154"/>
      <c r="AT197" s="154"/>
      <c r="AU197" s="154"/>
      <c r="AV197" s="154"/>
      <c r="AW197" s="154"/>
      <c r="AX197" s="318"/>
      <c r="AY197" s="318"/>
      <c r="AZ197" s="318"/>
      <c r="BA197" s="319"/>
      <c r="BB197" s="36"/>
      <c r="BC197" s="36"/>
      <c r="BF197" s="321" t="s">
        <v>387</v>
      </c>
      <c r="BG197" s="322"/>
      <c r="BH197" s="322"/>
      <c r="BI197" s="322"/>
      <c r="BJ197" s="323">
        <f>BJ200/BK200*100</f>
        <v>100</v>
      </c>
      <c r="BK197" s="324"/>
      <c r="BL197" s="321" t="s">
        <v>388</v>
      </c>
      <c r="BM197" s="322"/>
      <c r="BN197" s="322"/>
      <c r="BO197" s="322"/>
      <c r="BP197" s="323">
        <f>BP200/BQ200*100</f>
        <v>100</v>
      </c>
      <c r="BQ197" s="324"/>
      <c r="BR197" s="321" t="s">
        <v>389</v>
      </c>
      <c r="BS197" s="322"/>
      <c r="BT197" s="322"/>
      <c r="BU197" s="322"/>
      <c r="BV197" s="323">
        <f>BV200/BW200*100</f>
        <v>100</v>
      </c>
      <c r="BW197" s="324"/>
      <c r="BX197" s="321" t="s">
        <v>390</v>
      </c>
      <c r="BY197" s="322"/>
      <c r="BZ197" s="322"/>
      <c r="CA197" s="322"/>
      <c r="CB197" s="323">
        <f>CB200/CC200*100</f>
        <v>93.333333333333329</v>
      </c>
      <c r="CC197" s="324"/>
      <c r="CD197" s="36"/>
      <c r="CE197" s="36"/>
      <c r="CF197" s="36"/>
      <c r="CG197" s="36"/>
      <c r="CH197" s="36"/>
      <c r="CI197" s="36"/>
      <c r="CJ197" s="245"/>
      <c r="CK197" s="245"/>
    </row>
    <row r="198" spans="1:173" s="118" customFormat="1" ht="31" customHeight="1">
      <c r="A198" s="127" t="s">
        <v>243</v>
      </c>
      <c r="B198" s="127" t="s">
        <v>244</v>
      </c>
      <c r="C198" s="127" t="s">
        <v>245</v>
      </c>
      <c r="D198" s="128" t="str">
        <f>IFERROR(INDEX([2]!Table1RM[#Data],MATCH($M$56,[2]!Table1RM[Athlete],0),MATCH(#REF!,[2]!Table1RM[#Headers],0)),"")</f>
        <v/>
      </c>
      <c r="E198" s="127" t="str">
        <f>IF($B198="PE",INDEX([2]ExerciseInventory!$J$2:$L$276,MATCH(#REF!,[2]ExerciseInventory!$J$2:$J$287,0),2),"")</f>
        <v/>
      </c>
      <c r="F198" s="128" t="str">
        <f>IF($B198="PE",INDEX([2]ExerciseInventory!$J$2:$L$276,MATCH(#REF!,[2]ExerciseInventory!$J$2:$J$287,0),3),"")</f>
        <v/>
      </c>
      <c r="G198" s="128"/>
      <c r="H198" s="127"/>
      <c r="I198" s="86"/>
      <c r="K198" s="162"/>
      <c r="L198" s="163"/>
      <c r="M198" s="163"/>
      <c r="N198" s="163"/>
      <c r="O198" s="163"/>
      <c r="P198" s="163"/>
      <c r="Q198" s="163"/>
      <c r="R198" s="326">
        <v>1</v>
      </c>
      <c r="S198" s="326"/>
      <c r="T198" s="326"/>
      <c r="U198" s="327">
        <v>2</v>
      </c>
      <c r="V198" s="327">
        <v>3</v>
      </c>
      <c r="W198" s="328">
        <v>4</v>
      </c>
      <c r="X198" s="36"/>
      <c r="Y198" s="162"/>
      <c r="Z198" s="163"/>
      <c r="AA198" s="163"/>
      <c r="AB198" s="163"/>
      <c r="AC198" s="163"/>
      <c r="AD198" s="163"/>
      <c r="AE198" s="163"/>
      <c r="AF198" s="163"/>
      <c r="AG198" s="163"/>
      <c r="AH198" s="327">
        <v>1</v>
      </c>
      <c r="AI198" s="327">
        <v>2</v>
      </c>
      <c r="AJ198" s="326">
        <v>3</v>
      </c>
      <c r="AK198" s="326"/>
      <c r="AL198" s="326"/>
      <c r="AM198" s="328">
        <v>4</v>
      </c>
      <c r="AN198" s="36"/>
      <c r="AO198" s="162"/>
      <c r="AP198" s="163"/>
      <c r="AQ198" s="163"/>
      <c r="AR198" s="163"/>
      <c r="AS198" s="163"/>
      <c r="AT198" s="163"/>
      <c r="AU198" s="163"/>
      <c r="AV198" s="163"/>
      <c r="AW198" s="163"/>
      <c r="AX198" s="327">
        <v>1</v>
      </c>
      <c r="AY198" s="327">
        <v>2</v>
      </c>
      <c r="AZ198" s="327">
        <v>3</v>
      </c>
      <c r="BA198" s="328">
        <v>4</v>
      </c>
      <c r="BB198" s="36"/>
      <c r="BC198" s="36"/>
      <c r="BD198" s="34"/>
      <c r="BE198" s="34"/>
      <c r="BF198" s="329"/>
      <c r="BG198" s="63"/>
      <c r="BH198" s="63"/>
      <c r="BI198" s="63"/>
      <c r="BJ198" s="330"/>
      <c r="BK198" s="331"/>
      <c r="BL198" s="329"/>
      <c r="BM198" s="63"/>
      <c r="BN198" s="63"/>
      <c r="BO198" s="63"/>
      <c r="BP198" s="330"/>
      <c r="BQ198" s="331"/>
      <c r="BR198" s="329"/>
      <c r="BS198" s="63"/>
      <c r="BT198" s="63"/>
      <c r="BU198" s="63"/>
      <c r="BV198" s="330"/>
      <c r="BW198" s="331"/>
      <c r="BX198" s="329"/>
      <c r="BY198" s="63"/>
      <c r="BZ198" s="63"/>
      <c r="CA198" s="63"/>
      <c r="CB198" s="330"/>
      <c r="CC198" s="331"/>
      <c r="CD198" s="36"/>
      <c r="CF198" s="36" t="str">
        <f>BF197</f>
        <v>K2W</v>
      </c>
      <c r="CG198" s="379">
        <f>BJ197</f>
        <v>100</v>
      </c>
      <c r="CH198" s="36"/>
      <c r="CI198" s="36"/>
      <c r="CJ198" s="245"/>
      <c r="CK198" s="245"/>
      <c r="CL198" s="34"/>
      <c r="CM198" s="34"/>
      <c r="CN198" s="34"/>
      <c r="CO198" s="34"/>
      <c r="CP198" s="34"/>
      <c r="CQ198" s="34"/>
      <c r="CR198" s="34"/>
      <c r="CS198" s="34"/>
      <c r="CT198" s="34"/>
      <c r="CU198" s="34"/>
      <c r="CV198" s="34"/>
      <c r="CW198" s="34"/>
      <c r="CX198" s="34"/>
      <c r="CY198" s="34"/>
      <c r="CZ198" s="34"/>
      <c r="DA198" s="34"/>
      <c r="DB198" s="34"/>
      <c r="DC198" s="34"/>
      <c r="DD198" s="34"/>
      <c r="DE198" s="34"/>
      <c r="DF198" s="34"/>
      <c r="DG198" s="34"/>
      <c r="DH198" s="34"/>
      <c r="DI198" s="34"/>
      <c r="DJ198" s="34"/>
      <c r="DK198" s="34"/>
      <c r="DL198" s="34"/>
      <c r="DM198" s="34"/>
      <c r="DN198" s="34"/>
      <c r="DO198" s="34"/>
      <c r="DP198" s="34"/>
      <c r="DQ198" s="34"/>
      <c r="DR198" s="34"/>
      <c r="DS198" s="34"/>
      <c r="DT198" s="34"/>
      <c r="DU198" s="34"/>
      <c r="DV198" s="34"/>
      <c r="DW198" s="34"/>
      <c r="DX198" s="34"/>
      <c r="DY198" s="34"/>
      <c r="DZ198" s="34"/>
      <c r="EA198" s="34"/>
      <c r="EB198" s="34"/>
      <c r="EC198" s="34"/>
      <c r="ED198" s="34"/>
      <c r="EE198" s="34"/>
      <c r="EF198" s="34"/>
      <c r="EG198" s="34"/>
      <c r="EH198" s="34"/>
      <c r="EI198" s="34"/>
      <c r="EJ198" s="34"/>
      <c r="EK198" s="34"/>
      <c r="EL198" s="34"/>
      <c r="EM198" s="34"/>
      <c r="EN198" s="34"/>
      <c r="EO198" s="34"/>
      <c r="EP198" s="34"/>
      <c r="EQ198" s="34"/>
      <c r="ER198" s="34"/>
      <c r="ES198" s="34"/>
      <c r="ET198" s="34"/>
      <c r="EU198" s="34"/>
      <c r="EV198" s="34"/>
      <c r="EW198" s="34"/>
      <c r="EX198" s="34"/>
      <c r="EY198" s="34"/>
      <c r="EZ198" s="34"/>
      <c r="FA198" s="34"/>
      <c r="FB198" s="34"/>
      <c r="FC198" s="34"/>
      <c r="FD198" s="34"/>
      <c r="FE198" s="34"/>
      <c r="FF198" s="34"/>
      <c r="FG198" s="34"/>
      <c r="FH198" s="34"/>
      <c r="FI198" s="34"/>
      <c r="FJ198" s="34"/>
      <c r="FK198" s="34"/>
      <c r="FL198" s="34"/>
      <c r="FM198" s="34"/>
      <c r="FN198" s="34"/>
      <c r="FO198" s="34"/>
      <c r="FP198" s="34"/>
      <c r="FQ198" s="34"/>
    </row>
    <row r="199" spans="1:173" s="220" customFormat="1" ht="31" customHeight="1" thickBot="1">
      <c r="A199" s="129"/>
      <c r="B199" s="129"/>
      <c r="C199" s="129"/>
      <c r="D199" s="128"/>
      <c r="E199" s="129"/>
      <c r="F199" s="128"/>
      <c r="G199" s="128"/>
      <c r="H199" s="129"/>
      <c r="I199" s="114"/>
      <c r="K199" s="332"/>
      <c r="L199" s="333" t="str">
        <f>IFERROR(INDEX(TableAccessoryTriplets,MATCH(L197,AccessoryTriplets,0),2),"")</f>
        <v/>
      </c>
      <c r="M199" s="333"/>
      <c r="N199" s="333"/>
      <c r="O199" s="333"/>
      <c r="P199" s="333"/>
      <c r="Q199" s="333"/>
      <c r="R199" s="334" t="s">
        <v>383</v>
      </c>
      <c r="S199" s="334"/>
      <c r="T199" s="334"/>
      <c r="U199" s="335" t="s">
        <v>383</v>
      </c>
      <c r="V199" s="335" t="s">
        <v>383</v>
      </c>
      <c r="W199" s="336" t="s">
        <v>383</v>
      </c>
      <c r="X199" s="36"/>
      <c r="Y199" s="332"/>
      <c r="Z199" s="333" t="str">
        <f>IFERROR(INDEX(TableAccessoryTriplets,MATCH(Z197,AccessoryTriplets,0),2),"")</f>
        <v/>
      </c>
      <c r="AA199" s="333"/>
      <c r="AB199" s="333"/>
      <c r="AC199" s="333"/>
      <c r="AD199" s="333"/>
      <c r="AE199" s="333"/>
      <c r="AF199" s="333"/>
      <c r="AG199" s="333"/>
      <c r="AH199" s="335" t="s">
        <v>383</v>
      </c>
      <c r="AI199" s="335" t="s">
        <v>383</v>
      </c>
      <c r="AJ199" s="334" t="s">
        <v>383</v>
      </c>
      <c r="AK199" s="334"/>
      <c r="AL199" s="334"/>
      <c r="AM199" s="336" t="s">
        <v>383</v>
      </c>
      <c r="AN199" s="36"/>
      <c r="AO199" s="332"/>
      <c r="AP199" s="333" t="str">
        <f>IFERROR(INDEX(TableAccessoryTriplets,MATCH(AP197,AccessoryTriplets,0),2),"")</f>
        <v/>
      </c>
      <c r="AQ199" s="333"/>
      <c r="AR199" s="333"/>
      <c r="AS199" s="333"/>
      <c r="AT199" s="333"/>
      <c r="AU199" s="333"/>
      <c r="AV199" s="333"/>
      <c r="AW199" s="333"/>
      <c r="AX199" s="335" t="s">
        <v>383</v>
      </c>
      <c r="AY199" s="335" t="s">
        <v>383</v>
      </c>
      <c r="AZ199" s="335" t="s">
        <v>383</v>
      </c>
      <c r="BA199" s="336" t="s">
        <v>383</v>
      </c>
      <c r="BB199" s="36"/>
      <c r="BC199" s="36"/>
      <c r="BD199" s="34"/>
      <c r="BE199" s="34"/>
      <c r="BF199" s="346" t="e">
        <f>INDEX([2]ControlPanel!$BK$16:$BQ$136,MATCH(BF$307,[2]ControlPanel!$BQ$16:$BQ$136,0),4)</f>
        <v>#VALUE!</v>
      </c>
      <c r="BG199" s="347" t="e">
        <f>INDEX([2]ControlPanel!$BK$16:$BQ$136,MATCH(BG$307,[2]ControlPanel!$BQ$16:$BQ$136,0),4)</f>
        <v>#VALUE!</v>
      </c>
      <c r="BH199" s="347" t="e">
        <f>INDEX([2]ControlPanel!$BK$16:$BQ$136,MATCH(BH$307,[2]ControlPanel!$BQ$16:$BQ$136,0),4)</f>
        <v>#VALUE!</v>
      </c>
      <c r="BI199" s="347" t="e">
        <f>INDEX([2]ControlPanel!$BK$16:$BQ$136,MATCH(BI$307,[2]ControlPanel!$BQ$16:$BQ$136,0),4)</f>
        <v>#VALUE!</v>
      </c>
      <c r="BJ199" s="347">
        <f>INDEX([2]ControlPanel!$BK$16:$BQ$136,MATCH(BJ$307,[2]ControlPanel!$BQ$16:$BQ$136,0),4)</f>
        <v>13</v>
      </c>
      <c r="BK199" s="339">
        <f t="array" ref="BK199">MAX(IF([2]ControlPanel!$BK$16:$BK$139=BF$197,[2]ControlPanel!$BN$16:$BN$139))</f>
        <v>13</v>
      </c>
      <c r="BL199" s="347" t="e">
        <f>INDEX([2]ControlPanel!$BK$16:$BQ$136,MATCH(BL$307,[2]ControlPanel!$BQ$16:$BQ$136,0),4)</f>
        <v>#N/A</v>
      </c>
      <c r="BM199" s="347" t="e">
        <f>INDEX([2]ControlPanel!$BK$16:$BQ$136,MATCH(BM$307,[2]ControlPanel!$BQ$16:$BQ$136,0),4)</f>
        <v>#N/A</v>
      </c>
      <c r="BN199" s="347" t="e">
        <f>INDEX([2]ControlPanel!$BK$16:$BQ$136,MATCH(BN$307,[2]ControlPanel!$BQ$16:$BQ$136,0),4)</f>
        <v>#N/A</v>
      </c>
      <c r="BO199" s="347" t="e">
        <f>INDEX([2]ControlPanel!$BK$16:$BQ$136,MATCH(BO$307,[2]ControlPanel!$BQ$16:$BQ$136,0),4)</f>
        <v>#N/A</v>
      </c>
      <c r="BP199" s="347">
        <f>INDEX([2]ControlPanel!$BK$16:$BQ$136,MATCH(BP$307,[2]ControlPanel!$BQ$16:$BQ$136,0),4)</f>
        <v>80</v>
      </c>
      <c r="BQ199" s="339">
        <f t="array" ref="BQ199">MAX(IF([2]ControlPanel!$BK$16:$BK$139=BL$197,[2]ControlPanel!$BN$16:$BN$139))</f>
        <v>80</v>
      </c>
      <c r="BR199" s="347" t="e">
        <f>INDEX([2]ControlPanel!$BK$16:$BQ$136,MATCH(BR$307,[2]ControlPanel!$BQ$16:$BQ$136,0),4)</f>
        <v>#N/A</v>
      </c>
      <c r="BS199" s="347" t="e">
        <f>INDEX([2]ControlPanel!$BK$16:$BQ$136,MATCH(BS$307,[2]ControlPanel!$BQ$16:$BQ$136,0),4)</f>
        <v>#N/A</v>
      </c>
      <c r="BT199" s="347" t="e">
        <f>INDEX([2]ControlPanel!$BK$16:$BQ$136,MATCH(BT$307,[2]ControlPanel!$BQ$16:$BQ$136,0),4)</f>
        <v>#N/A</v>
      </c>
      <c r="BU199" s="347" t="e">
        <f>INDEX([2]ControlPanel!$BK$16:$BQ$136,MATCH(BU$307,[2]ControlPanel!$BQ$16:$BQ$136,0),4)</f>
        <v>#N/A</v>
      </c>
      <c r="BV199" s="347">
        <f>INDEX([2]ControlPanel!$BK$16:$BQ$136,MATCH(BV$307,[2]ControlPanel!$BQ$16:$BQ$136,0),4)</f>
        <v>63</v>
      </c>
      <c r="BW199" s="339">
        <f t="array" ref="BW199">MAX(IF([2]ControlPanel!$BK$16:$BK$139=BR$197,[2]ControlPanel!$BN$16:$BN$139))</f>
        <v>63</v>
      </c>
      <c r="BX199" s="347" t="e">
        <f>INDEX([2]ControlPanel!$BK$16:$BQ$136,MATCH(BX$307,[2]ControlPanel!$BQ$16:$BQ$136,0),4)</f>
        <v>#N/A</v>
      </c>
      <c r="BY199" s="347" t="e">
        <f>INDEX([2]ControlPanel!$BK$16:$BQ$136,MATCH(BY$307,[2]ControlPanel!$BQ$16:$BQ$136,0),4)</f>
        <v>#N/A</v>
      </c>
      <c r="BZ199" s="347">
        <f>INDEX([2]ControlPanel!$BK$16:$BQ$136,MATCH(BZ$307,[2]ControlPanel!$BQ$16:$BQ$136,0),4)</f>
        <v>40</v>
      </c>
      <c r="CA199" s="347">
        <f>INDEX([2]ControlPanel!$BK$16:$BQ$136,MATCH(CA$307,[2]ControlPanel!$BQ$16:$BQ$136,0),4)</f>
        <v>45</v>
      </c>
      <c r="CB199" s="347">
        <f>INDEX([2]ControlPanel!$BK$16:$BQ$136,MATCH(CB$307,[2]ControlPanel!$BQ$16:$BQ$136,0),4)</f>
        <v>41</v>
      </c>
      <c r="CC199" s="339">
        <f t="array" ref="CC199">MAX(IF([2]ControlPanel!$BK$16:$BK$139=BX$197,[2]ControlPanel!$BN$16:$BN$139))</f>
        <v>45</v>
      </c>
      <c r="CD199" s="36"/>
      <c r="CF199" s="36" t="str">
        <f>BL197</f>
        <v>ASLR</v>
      </c>
      <c r="CG199" s="379">
        <f>BP197</f>
        <v>100</v>
      </c>
      <c r="CH199" s="36"/>
      <c r="CI199" s="36"/>
      <c r="CJ199" s="245"/>
      <c r="CK199" s="245"/>
      <c r="CL199" s="34"/>
      <c r="CM199" s="34"/>
      <c r="CN199" s="34"/>
      <c r="CO199" s="34"/>
      <c r="CP199" s="34"/>
      <c r="CQ199" s="34"/>
      <c r="CR199" s="34"/>
      <c r="CS199" s="34"/>
      <c r="CT199" s="34"/>
      <c r="CU199" s="34"/>
      <c r="CV199" s="34"/>
      <c r="CW199" s="34"/>
      <c r="CX199" s="34"/>
      <c r="CY199" s="34"/>
      <c r="CZ199" s="34"/>
      <c r="DA199" s="34"/>
      <c r="DB199" s="34"/>
      <c r="DC199" s="34"/>
      <c r="DD199" s="34"/>
      <c r="DE199" s="34"/>
      <c r="DF199" s="34"/>
      <c r="DG199" s="34"/>
      <c r="DH199" s="34"/>
      <c r="DI199" s="34"/>
      <c r="DJ199" s="34"/>
      <c r="DK199" s="34"/>
      <c r="DL199" s="34"/>
      <c r="DM199" s="34"/>
      <c r="DN199" s="34"/>
      <c r="DO199" s="34"/>
      <c r="DP199" s="34"/>
      <c r="DQ199" s="34"/>
      <c r="DR199" s="34"/>
      <c r="DS199" s="34"/>
      <c r="DT199" s="34"/>
      <c r="DU199" s="34"/>
      <c r="DV199" s="34"/>
      <c r="DW199" s="34"/>
      <c r="DX199" s="34"/>
      <c r="DY199" s="34"/>
      <c r="DZ199" s="34"/>
      <c r="EA199" s="34"/>
      <c r="EB199" s="34"/>
      <c r="EC199" s="34"/>
      <c r="ED199" s="34"/>
      <c r="EE199" s="34"/>
      <c r="EF199" s="34"/>
      <c r="EG199" s="34"/>
      <c r="EH199" s="34"/>
      <c r="EI199" s="34"/>
      <c r="EJ199" s="34"/>
      <c r="EK199" s="34"/>
      <c r="EL199" s="34"/>
      <c r="EM199" s="34"/>
      <c r="EN199" s="34"/>
      <c r="EO199" s="34"/>
      <c r="EP199" s="34"/>
      <c r="EQ199" s="34"/>
      <c r="ER199" s="34"/>
      <c r="ES199" s="34"/>
      <c r="ET199" s="34"/>
      <c r="EU199" s="34"/>
      <c r="EV199" s="34"/>
      <c r="EW199" s="34"/>
      <c r="EX199" s="34"/>
      <c r="EY199" s="34"/>
      <c r="EZ199" s="34"/>
      <c r="FA199" s="34"/>
      <c r="FB199" s="34"/>
      <c r="FC199" s="34"/>
      <c r="FD199" s="34"/>
      <c r="FE199" s="34"/>
      <c r="FF199" s="34"/>
      <c r="FG199" s="34"/>
      <c r="FH199" s="34"/>
      <c r="FI199" s="34"/>
      <c r="FJ199" s="34"/>
      <c r="FK199" s="34"/>
      <c r="FL199" s="34"/>
      <c r="FM199" s="34"/>
      <c r="FN199" s="34"/>
      <c r="FO199" s="34"/>
      <c r="FP199" s="34"/>
      <c r="FQ199" s="34"/>
    </row>
    <row r="200" spans="1:173" ht="31" customHeight="1">
      <c r="A200" s="127" t="s">
        <v>243</v>
      </c>
      <c r="B200" s="127" t="s">
        <v>244</v>
      </c>
      <c r="C200" s="127" t="s">
        <v>245</v>
      </c>
      <c r="D200" s="128" t="str">
        <f>IFERROR(INDEX([2]!Table1RM[#Data],MATCH($M$56,[2]!Table1RM[Athlete],0),MATCH(#REF!,[2]!Table1RM[#Headers],0)),"")</f>
        <v/>
      </c>
      <c r="E200" s="127" t="str">
        <f>IF($B200="PE",INDEX([2]ExerciseInventory!$J$2:$L$276,MATCH(#REF!,[2]ExerciseInventory!$J$2:$J$287,0),2),"")</f>
        <v/>
      </c>
      <c r="F200" s="128" t="str">
        <f>IF($B200="PE",INDEX([2]ExerciseInventory!$J$2:$L$276,MATCH(#REF!,[2]ExerciseInventory!$J$2:$J$287,0),3),"")</f>
        <v/>
      </c>
      <c r="G200" s="128"/>
      <c r="H200" s="127"/>
      <c r="K200" s="340" t="s">
        <v>52</v>
      </c>
      <c r="L200" s="341" t="str">
        <f>IFERROR(INDEX(TableAccessoryTriplets,MATCH(L197,AccessoryTriplets,0),3),"")</f>
        <v/>
      </c>
      <c r="M200" s="341"/>
      <c r="N200" s="341"/>
      <c r="O200" s="341"/>
      <c r="P200" s="341"/>
      <c r="Q200" s="342"/>
      <c r="R200" s="343" t="str">
        <f>IFERROR(INDEX(TableAccessoryTriplets,MATCH(L197,AccessoryTriplets,0),COLUMNS($P200:T200)),"")</f>
        <v/>
      </c>
      <c r="S200" s="344"/>
      <c r="T200" s="345"/>
      <c r="U200" s="267" t="str">
        <f>IFERROR(INDEX(TableAccessoryTriplets,MATCH($L197,AccessoryTriplets,0),COLUMNS($O200:T200)),"")</f>
        <v/>
      </c>
      <c r="V200" s="267" t="str">
        <f>IFERROR(INDEX(TableAccessoryTriplets,MATCH($L197,AccessoryTriplets,0),COLUMNS($O200:U200)),"")</f>
        <v/>
      </c>
      <c r="W200" s="273" t="str">
        <f>IFERROR(INDEX(TableAccessoryTriplets,MATCH($L197,AccessoryTriplets,0),COLUMNS($O200:V200)),"")</f>
        <v/>
      </c>
      <c r="Y200" s="340" t="s">
        <v>52</v>
      </c>
      <c r="Z200" s="341" t="str">
        <f>IFERROR(INDEX(TableAccessoryTriplets,MATCH(Z197,AccessoryTriplets,0),3),"")</f>
        <v>Plank w/ DB Reach and Place</v>
      </c>
      <c r="AA200" s="341"/>
      <c r="AB200" s="341"/>
      <c r="AC200" s="341"/>
      <c r="AD200" s="341"/>
      <c r="AE200" s="341"/>
      <c r="AF200" s="341"/>
      <c r="AG200" s="342"/>
      <c r="AH200" s="267" t="str">
        <f>IFERROR(INDEX(TableAccessoryTriplets,MATCH(Z197,AccessoryTriplets,0),COLUMNS($AD200:AH200)),"")</f>
        <v>8/s</v>
      </c>
      <c r="AI200" s="267">
        <f>IFERROR(INDEX(TableAccessoryTriplets,MATCH($Z197,AccessoryTriplets,0),COLUMNS($AC200:AH200)),"")</f>
        <v>8</v>
      </c>
      <c r="AJ200" s="269">
        <f>IFERROR(INDEX(TableAccessoryTriplets,MATCH($Z197,AccessoryTriplets,0),COLUMNS($AC200:AI200)),"")</f>
        <v>8</v>
      </c>
      <c r="AK200" s="270"/>
      <c r="AL200" s="271"/>
      <c r="AM200" s="273">
        <f>IFERROR(INDEX(TableAccessoryTriplets,MATCH($Z197,AccessoryTriplets,0),COLUMNS($AC200:AJ200)),"")</f>
        <v>9</v>
      </c>
      <c r="AO200" s="340" t="s">
        <v>52</v>
      </c>
      <c r="AP200" s="341" t="str">
        <f>IFERROR(INDEX(TableAccessoryTriplets,MATCH(AP197,AccessoryTriplets,0),3),"")</f>
        <v/>
      </c>
      <c r="AQ200" s="341"/>
      <c r="AR200" s="341"/>
      <c r="AS200" s="341"/>
      <c r="AT200" s="341"/>
      <c r="AU200" s="341"/>
      <c r="AV200" s="341"/>
      <c r="AW200" s="342"/>
      <c r="AX200" s="267" t="str">
        <f>IFERROR(INDEX(TableAccessoryTriplets,MATCH(AP197,AccessoryTriplets,0),COLUMNS($AT200:AX200)),"")</f>
        <v/>
      </c>
      <c r="AY200" s="267" t="str">
        <f>IFERROR(INDEX(TableAccessoryTriplets,MATCH($AP197,AccessoryTriplets,0),COLUMNS($AS200:AX200)),"")</f>
        <v/>
      </c>
      <c r="AZ200" s="267" t="str">
        <f>IFERROR(INDEX(TableAccessoryTriplets,MATCH($AP197,AccessoryTriplets,0),COLUMNS($AS200:AY200)),"")</f>
        <v/>
      </c>
      <c r="BA200" s="273" t="str">
        <f>IFERROR(INDEX(TableAccessoryTriplets,MATCH($AP197,AccessoryTriplets,0),COLUMNS($AS200:AZ200)),"")</f>
        <v/>
      </c>
      <c r="BB200" s="36"/>
      <c r="BD200" s="34"/>
      <c r="BE200" s="34"/>
      <c r="BF200" s="346" t="e">
        <f>INDEX([2]ControlPanel!$BK$16:$BQ$136,MATCH(BF$307,[2]ControlPanel!$BQ$16:$BQ$136,0),3)</f>
        <v>#VALUE!</v>
      </c>
      <c r="BG200" s="347" t="e">
        <f>INDEX([2]ControlPanel!$BK$16:$BQ$136,MATCH(BG$307,[2]ControlPanel!$BQ$16:$BQ$136,0),3)</f>
        <v>#VALUE!</v>
      </c>
      <c r="BH200" s="347" t="e">
        <f>INDEX([2]ControlPanel!$BK$16:$BQ$136,MATCH(BH$307,[2]ControlPanel!$BQ$16:$BQ$136,0),3)</f>
        <v>#VALUE!</v>
      </c>
      <c r="BI200" s="347" t="e">
        <f>INDEX([2]ControlPanel!$BK$16:$BQ$136,MATCH(BI$307,[2]ControlPanel!$BQ$16:$BQ$136,0),3)</f>
        <v>#VALUE!</v>
      </c>
      <c r="BJ200" s="347">
        <f>INDEX([2]ControlPanel!$BK$16:$BQ$136,MATCH(BJ$307,[2]ControlPanel!$BQ$16:$BQ$136,0),3)</f>
        <v>14</v>
      </c>
      <c r="BK200" s="339">
        <f t="array" ref="BK200">MAX(IF([2]ControlPanel!$BK$16:$BK$139=BF$197,[2]ControlPanel!$BM$16:$BM$139))</f>
        <v>14</v>
      </c>
      <c r="BL200" s="347" t="e">
        <f>INDEX([2]ControlPanel!$BK$16:$BQ$136,MATCH(BL$307,[2]ControlPanel!$BQ$16:$BQ$136,0),3)</f>
        <v>#N/A</v>
      </c>
      <c r="BM200" s="347" t="e">
        <f>INDEX([2]ControlPanel!$BK$16:$BQ$136,MATCH(BM$307,[2]ControlPanel!$BQ$16:$BQ$136,0),3)</f>
        <v>#N/A</v>
      </c>
      <c r="BN200" s="347" t="e">
        <f>INDEX([2]ControlPanel!$BK$16:$BQ$136,MATCH(BN$307,[2]ControlPanel!$BQ$16:$BQ$136,0),3)</f>
        <v>#N/A</v>
      </c>
      <c r="BO200" s="347" t="e">
        <f>INDEX([2]ControlPanel!$BK$16:$BQ$136,MATCH(BO$307,[2]ControlPanel!$BQ$16:$BQ$136,0),3)</f>
        <v>#N/A</v>
      </c>
      <c r="BP200" s="347">
        <f>INDEX([2]ControlPanel!$BK$16:$BQ$136,MATCH(BP$307,[2]ControlPanel!$BQ$16:$BQ$136,0),3)</f>
        <v>85</v>
      </c>
      <c r="BQ200" s="339">
        <f t="array" ref="BQ200">MAX(IF([2]ControlPanel!$BK$16:$BK$139=BL$197,[2]ControlPanel!$BM$16:$BM$139))</f>
        <v>85</v>
      </c>
      <c r="BR200" s="347" t="e">
        <f>INDEX([2]ControlPanel!$BK$16:$BQ$136,MATCH(BR$307,[2]ControlPanel!$BQ$16:$BQ$136,0),3)</f>
        <v>#N/A</v>
      </c>
      <c r="BS200" s="347" t="e">
        <f>INDEX([2]ControlPanel!$BK$16:$BQ$136,MATCH(BS$307,[2]ControlPanel!$BQ$16:$BQ$136,0),3)</f>
        <v>#N/A</v>
      </c>
      <c r="BT200" s="347" t="e">
        <f>INDEX([2]ControlPanel!$BK$16:$BQ$136,MATCH(BT$307,[2]ControlPanel!$BQ$16:$BQ$136,0),3)</f>
        <v>#N/A</v>
      </c>
      <c r="BU200" s="347" t="e">
        <f>INDEX([2]ControlPanel!$BK$16:$BQ$136,MATCH(BU$307,[2]ControlPanel!$BQ$16:$BQ$136,0),3)</f>
        <v>#N/A</v>
      </c>
      <c r="BV200" s="347">
        <f>INDEX([2]ControlPanel!$BK$16:$BQ$136,MATCH(BV$307,[2]ControlPanel!$BQ$16:$BQ$136,0),3)</f>
        <v>65</v>
      </c>
      <c r="BW200" s="339">
        <f t="array" ref="BW200">MAX(IF([2]ControlPanel!$BK$16:$BK$139=BR$197,[2]ControlPanel!$BM$16:$BM$139))</f>
        <v>65</v>
      </c>
      <c r="BX200" s="347" t="e">
        <f>INDEX([2]ControlPanel!$BK$16:$BQ$136,MATCH(BX$307,[2]ControlPanel!$BQ$16:$BQ$136,0),3)</f>
        <v>#N/A</v>
      </c>
      <c r="BY200" s="347" t="e">
        <f>INDEX([2]ControlPanel!$BK$16:$BQ$136,MATCH(BY$307,[2]ControlPanel!$BQ$16:$BQ$136,0),3)</f>
        <v>#N/A</v>
      </c>
      <c r="BZ200" s="347">
        <f>INDEX([2]ControlPanel!$BK$16:$BQ$136,MATCH(BZ$307,[2]ControlPanel!$BQ$16:$BQ$136,0),3)</f>
        <v>35</v>
      </c>
      <c r="CA200" s="347">
        <f>INDEX([2]ControlPanel!$BK$16:$BQ$136,MATCH(CA$307,[2]ControlPanel!$BQ$16:$BQ$136,0),3)</f>
        <v>45</v>
      </c>
      <c r="CB200" s="347">
        <f>INDEX([2]ControlPanel!$BK$16:$BQ$136,MATCH(CB$307,[2]ControlPanel!$BQ$16:$BQ$136,0),3)</f>
        <v>42</v>
      </c>
      <c r="CC200" s="339">
        <f t="array" ref="CC200">MAX(IF([2]ControlPanel!$BK$16:$BK$139=BX$197,[2]ControlPanel!$BM$16:$BM$139))</f>
        <v>45</v>
      </c>
      <c r="CF200" s="36" t="str">
        <f>BR197</f>
        <v>FABER</v>
      </c>
      <c r="CG200" s="379">
        <f>BV197</f>
        <v>100</v>
      </c>
      <c r="CJ200" s="245"/>
      <c r="CK200" s="245"/>
      <c r="CQ200" s="34"/>
      <c r="CX200" s="34"/>
      <c r="CY200" s="34"/>
      <c r="CZ200" s="34"/>
      <c r="DA200" s="34"/>
      <c r="DB200" s="34"/>
      <c r="DC200" s="34"/>
    </row>
    <row r="201" spans="1:173" ht="31" customHeight="1">
      <c r="A201" s="129"/>
      <c r="B201" s="129"/>
      <c r="C201" s="129"/>
      <c r="D201" s="128"/>
      <c r="E201" s="129"/>
      <c r="F201" s="128"/>
      <c r="G201" s="128"/>
      <c r="H201" s="129"/>
      <c r="K201" s="348"/>
      <c r="L201" s="349" t="str">
        <f>IFERROR(INDEX(TableAccessoryTriplets,MATCH(L197,AccessoryTriplets,0),4),"")</f>
        <v/>
      </c>
      <c r="M201" s="349"/>
      <c r="N201" s="349"/>
      <c r="O201" s="349"/>
      <c r="P201" s="349"/>
      <c r="Q201" s="350"/>
      <c r="R201" s="293"/>
      <c r="S201" s="294"/>
      <c r="T201" s="295"/>
      <c r="U201" s="351"/>
      <c r="V201" s="351"/>
      <c r="W201" s="352"/>
      <c r="Y201" s="348"/>
      <c r="Z201" s="349" t="str">
        <f>IFERROR(INDEX(TableAccessoryTriplets,MATCH(Z197,AccessoryTriplets,0),4),"")</f>
        <v>squeeze quads and glutes, pelvis stable</v>
      </c>
      <c r="AA201" s="349"/>
      <c r="AB201" s="349"/>
      <c r="AC201" s="349"/>
      <c r="AD201" s="349"/>
      <c r="AE201" s="349"/>
      <c r="AF201" s="349"/>
      <c r="AG201" s="350"/>
      <c r="AH201" s="291"/>
      <c r="AI201" s="291"/>
      <c r="AJ201" s="293"/>
      <c r="AK201" s="294"/>
      <c r="AL201" s="295"/>
      <c r="AM201" s="353"/>
      <c r="AO201" s="348"/>
      <c r="AP201" s="349" t="str">
        <f>IFERROR(INDEX(TableAccessoryTriplets,MATCH(AP197,AccessoryTriplets,0),4),"")</f>
        <v/>
      </c>
      <c r="AQ201" s="349"/>
      <c r="AR201" s="349"/>
      <c r="AS201" s="349"/>
      <c r="AT201" s="349"/>
      <c r="AU201" s="349"/>
      <c r="AV201" s="349"/>
      <c r="AW201" s="350"/>
      <c r="AX201" s="291"/>
      <c r="AY201" s="291"/>
      <c r="AZ201" s="351"/>
      <c r="BA201" s="352"/>
      <c r="BB201" s="36"/>
      <c r="BD201" s="34"/>
      <c r="BE201" s="34"/>
      <c r="BF201" s="354"/>
      <c r="BG201" s="355"/>
      <c r="BH201" s="355"/>
      <c r="BI201" s="355"/>
      <c r="BJ201" s="355"/>
      <c r="BK201" s="356"/>
      <c r="BL201" s="354"/>
      <c r="BM201" s="355"/>
      <c r="BN201" s="355"/>
      <c r="BO201" s="355"/>
      <c r="BP201" s="355"/>
      <c r="BQ201" s="356"/>
      <c r="BR201" s="354"/>
      <c r="BS201" s="355"/>
      <c r="BT201" s="355"/>
      <c r="BU201" s="355"/>
      <c r="BV201" s="355"/>
      <c r="BW201" s="356"/>
      <c r="BX201" s="354"/>
      <c r="BY201" s="355"/>
      <c r="BZ201" s="355"/>
      <c r="CA201" s="355"/>
      <c r="CB201" s="355"/>
      <c r="CC201" s="356"/>
      <c r="CF201" s="36" t="str">
        <f>BX197</f>
        <v>TPI T-Spine</v>
      </c>
      <c r="CG201" s="379">
        <f>CB197</f>
        <v>93.333333333333329</v>
      </c>
      <c r="CJ201" s="245"/>
      <c r="CK201" s="245"/>
      <c r="CQ201" s="34"/>
      <c r="CX201" s="34"/>
      <c r="CY201" s="34"/>
      <c r="CZ201" s="34"/>
      <c r="DA201" s="34"/>
      <c r="DB201" s="34"/>
      <c r="DC201" s="34"/>
    </row>
    <row r="202" spans="1:173" ht="31" customHeight="1">
      <c r="A202" s="127" t="s">
        <v>243</v>
      </c>
      <c r="B202" s="127" t="s">
        <v>244</v>
      </c>
      <c r="C202" s="127" t="s">
        <v>245</v>
      </c>
      <c r="D202" s="128" t="str">
        <f>IFERROR(INDEX([2]!Table1RM[#Data],MATCH($M$56,[2]!Table1RM[Athlete],0),MATCH(#REF!,[2]!Table1RM[#Headers],0)),"")</f>
        <v/>
      </c>
      <c r="E202" s="127" t="str">
        <f>IF($B202="PE",INDEX([2]ExerciseInventory!$J$2:$L$276,MATCH(#REF!,[2]ExerciseInventory!$J$2:$J$287,0),2),"")</f>
        <v/>
      </c>
      <c r="F202" s="128" t="str">
        <f>IF($B202="PE",INDEX([2]ExerciseInventory!$J$2:$L$276,MATCH(#REF!,[2]ExerciseInventory!$J$2:$J$287,0),3),"")</f>
        <v/>
      </c>
      <c r="G202" s="128"/>
      <c r="H202" s="127"/>
      <c r="K202" s="357" t="s">
        <v>53</v>
      </c>
      <c r="L202" s="358" t="str">
        <f>IFERROR(INDEX(TableAccessoryTriplets,MATCH(L197,AccessoryTriplets,0)+1,3),"")</f>
        <v/>
      </c>
      <c r="M202" s="358"/>
      <c r="N202" s="358"/>
      <c r="O202" s="358"/>
      <c r="P202" s="358"/>
      <c r="Q202" s="359"/>
      <c r="R202" s="360" t="str">
        <f>IFERROR(INDEX(TableAccessoryTriplets,MATCH(L197,AccessoryTriplets,0)+1,COLUMNS($P202:T202)),"")</f>
        <v/>
      </c>
      <c r="S202" s="361"/>
      <c r="T202" s="362"/>
      <c r="U202" s="363" t="str">
        <f>IFERROR(INDEX(TableAccessoryTriplets,MATCH($L197,AccessoryTriplets,0)+1,COLUMNS($O200:T200)),"")</f>
        <v/>
      </c>
      <c r="V202" s="363" t="str">
        <f>IFERROR(INDEX(TableAccessoryTriplets,MATCH($L197,AccessoryTriplets,0)+1,COLUMNS($O200:U200)),"")</f>
        <v/>
      </c>
      <c r="W202" s="364" t="str">
        <f>IFERROR(INDEX(TableAccessoryTriplets,MATCH($L197,AccessoryTriplets,0)+1,COLUMNS($O200:V200)),"")</f>
        <v/>
      </c>
      <c r="Y202" s="357" t="s">
        <v>53</v>
      </c>
      <c r="Z202" s="358" t="str">
        <f>IFERROR(INDEX(TableAccessoryTriplets,MATCH(Z197,AccessoryTriplets,0)+1,3),"")</f>
        <v>Pike Seated Paloff Press (:03 ISO)</v>
      </c>
      <c r="AA202" s="358"/>
      <c r="AB202" s="358"/>
      <c r="AC202" s="358"/>
      <c r="AD202" s="358"/>
      <c r="AE202" s="358"/>
      <c r="AF202" s="358"/>
      <c r="AG202" s="359"/>
      <c r="AH202" s="363" t="str">
        <f>IFERROR(INDEX(TableAccessoryTriplets,MATCH(Z197,AccessoryTriplets,0)+1,COLUMNS($AD202:AH202)),"")</f>
        <v>8/s</v>
      </c>
      <c r="AI202" s="363">
        <f>IFERROR(INDEX(TableAccessoryTriplets,MATCH($Z197,AccessoryTriplets,0)+1,COLUMNS($AC202:AH202)),"")</f>
        <v>8</v>
      </c>
      <c r="AJ202" s="365">
        <f>IFERROR(INDEX(TableAccessoryTriplets,MATCH($Z197,AccessoryTriplets,0)+1,COLUMNS($AC202:AI202)),"")</f>
        <v>8</v>
      </c>
      <c r="AK202" s="366"/>
      <c r="AL202" s="367"/>
      <c r="AM202" s="364">
        <f>IFERROR(INDEX(TableAccessoryTriplets,MATCH($Z197,AccessoryTriplets,0)+1,COLUMNS($AC202:AJ202)),"")</f>
        <v>9</v>
      </c>
      <c r="AO202" s="357" t="s">
        <v>53</v>
      </c>
      <c r="AP202" s="358" t="str">
        <f>IFERROR(INDEX(TableAccessoryTriplets,MATCH(AP197,AccessoryTriplets,0)+1,3),"")</f>
        <v/>
      </c>
      <c r="AQ202" s="358"/>
      <c r="AR202" s="358"/>
      <c r="AS202" s="358"/>
      <c r="AT202" s="358"/>
      <c r="AU202" s="358"/>
      <c r="AV202" s="358"/>
      <c r="AW202" s="359"/>
      <c r="AX202" s="363" t="str">
        <f>IFERROR(INDEX(TableAccessoryTriplets,MATCH(AP197,AccessoryTriplets,0)+1,COLUMNS($AT202:AX202)),"")</f>
        <v/>
      </c>
      <c r="AY202" s="363" t="str">
        <f>IFERROR(INDEX(TableAccessoryTriplets,MATCH($AP197,AccessoryTriplets,0)+1,COLUMNS($AS202:AX202)),"")</f>
        <v/>
      </c>
      <c r="AZ202" s="363" t="str">
        <f>IFERROR(INDEX(TableAccessoryTriplets,MATCH($AP197,AccessoryTriplets,0)+1,COLUMNS($AS202:AY202)),"")</f>
        <v/>
      </c>
      <c r="BA202" s="364" t="str">
        <f>IFERROR(INDEX(TableAccessoryTriplets,MATCH($AP197,AccessoryTriplets,0)+1,COLUMNS($AS202:AZ202)),"")</f>
        <v/>
      </c>
      <c r="BB202" s="36"/>
      <c r="BD202" s="34"/>
      <c r="BE202" s="34"/>
      <c r="BF202" s="354"/>
      <c r="BG202" s="355"/>
      <c r="BH202" s="355"/>
      <c r="BI202" s="355"/>
      <c r="BJ202" s="355"/>
      <c r="BK202" s="356"/>
      <c r="BL202" s="354"/>
      <c r="BM202" s="355"/>
      <c r="BN202" s="355"/>
      <c r="BO202" s="355"/>
      <c r="BP202" s="355"/>
      <c r="BQ202" s="356"/>
      <c r="BR202" s="354"/>
      <c r="BS202" s="355"/>
      <c r="BT202" s="355"/>
      <c r="BU202" s="355"/>
      <c r="BV202" s="355"/>
      <c r="BW202" s="356"/>
      <c r="BX202" s="354"/>
      <c r="BY202" s="355"/>
      <c r="BZ202" s="355"/>
      <c r="CA202" s="355"/>
      <c r="CB202" s="355"/>
      <c r="CC202" s="356"/>
      <c r="CJ202" s="245"/>
      <c r="CK202" s="245"/>
      <c r="CQ202" s="34"/>
      <c r="CX202" s="34"/>
      <c r="CY202" s="34"/>
      <c r="CZ202" s="34"/>
      <c r="DA202" s="34"/>
      <c r="DB202" s="34"/>
      <c r="DC202" s="34"/>
    </row>
    <row r="203" spans="1:173" ht="31" customHeight="1" thickBot="1">
      <c r="A203" s="129"/>
      <c r="B203" s="129"/>
      <c r="C203" s="129"/>
      <c r="D203" s="128"/>
      <c r="E203" s="129"/>
      <c r="F203" s="128"/>
      <c r="G203" s="128"/>
      <c r="H203" s="129"/>
      <c r="K203" s="348"/>
      <c r="L203" s="349" t="str">
        <f>IFERROR(INDEX(TableAccessoryTriplets,MATCH(L197,AccessoryTriplets,0)+1,4),"")</f>
        <v/>
      </c>
      <c r="M203" s="349"/>
      <c r="N203" s="349"/>
      <c r="O203" s="349"/>
      <c r="P203" s="349"/>
      <c r="Q203" s="350"/>
      <c r="R203" s="293"/>
      <c r="S203" s="294"/>
      <c r="T203" s="295"/>
      <c r="U203" s="351"/>
      <c r="V203" s="351"/>
      <c r="W203" s="352"/>
      <c r="Y203" s="348"/>
      <c r="Z203" s="349" t="str">
        <f>IFERROR(INDEX(TableAccessoryTriplets,MATCH(Z197,AccessoryTriplets,0)+1,4),"")</f>
        <v>tall torso, good head position</v>
      </c>
      <c r="AA203" s="349"/>
      <c r="AB203" s="349"/>
      <c r="AC203" s="349"/>
      <c r="AD203" s="349"/>
      <c r="AE203" s="349"/>
      <c r="AF203" s="349"/>
      <c r="AG203" s="350"/>
      <c r="AH203" s="291"/>
      <c r="AI203" s="291"/>
      <c r="AJ203" s="293"/>
      <c r="AK203" s="294"/>
      <c r="AL203" s="295"/>
      <c r="AM203" s="353"/>
      <c r="AO203" s="348"/>
      <c r="AP203" s="349" t="str">
        <f>IFERROR(INDEX(TableAccessoryTriplets,MATCH(AP197,AccessoryTriplets,0)+1,4),"")</f>
        <v/>
      </c>
      <c r="AQ203" s="349"/>
      <c r="AR203" s="349"/>
      <c r="AS203" s="349"/>
      <c r="AT203" s="349"/>
      <c r="AU203" s="349"/>
      <c r="AV203" s="349"/>
      <c r="AW203" s="350"/>
      <c r="AX203" s="291"/>
      <c r="AY203" s="291"/>
      <c r="AZ203" s="291"/>
      <c r="BA203" s="353"/>
      <c r="BB203" s="36"/>
      <c r="BD203" s="34"/>
      <c r="BE203" s="34"/>
      <c r="BF203" s="368" t="e">
        <f t="array" ref="BF203">MAX(IF([2]ControlPanel!$BK$16:$BK$139=$BF$197,IF([2]ControlPanel!$BL$16:$BL$139&lt;BG$203,[2]ControlPanel!$BL$16:$BL$139)))</f>
        <v>#VALUE!</v>
      </c>
      <c r="BG203" s="369" t="e">
        <f t="array" ref="BG203">MAX(IF([2]ControlPanel!$BK$16:$BK$139=$BF$197,IF([2]ControlPanel!$BL$16:$BL$139&lt;BH$203,[2]ControlPanel!$BL$16:$BL$139)))</f>
        <v>#VALUE!</v>
      </c>
      <c r="BH203" s="369" t="e">
        <f t="array" ref="BH203">MAX(IF([2]ControlPanel!$BK$16:$BK$139=$BF$197,IF([2]ControlPanel!$BL$16:$BL$139&lt;BI$203,[2]ControlPanel!$BL$16:$BL$139)))</f>
        <v>#VALUE!</v>
      </c>
      <c r="BI203" s="369" t="e">
        <f>MAX(IF([2]ControlPanel!$BK$16:$BK$139=$BF$197,IF([2]ControlPanel!$BL$16:$BL$139&lt;BJ$203,[2]ControlPanel!$BL$16:$BL$139)))</f>
        <v>#VALUE!</v>
      </c>
      <c r="BJ203" s="369">
        <f t="array" ref="BJ203">MAX(IF([2]ControlPanel!$BK$16:$BK$139=BF$197,[2]ControlPanel!$BL$16:$BL$139))</f>
        <v>43622</v>
      </c>
      <c r="BK203" s="370" t="s">
        <v>384</v>
      </c>
      <c r="BL203" s="369">
        <f t="array" ref="BL203">MAX(IF([2]ControlPanel!$BK$16:$BK$139=$BL$197,IF([2]ControlPanel!$BL$16:$BL$139&lt;BM$203,[2]ControlPanel!$BL$16:$BL$139)))</f>
        <v>0</v>
      </c>
      <c r="BM203" s="369">
        <f t="array" ref="BM203">MAX(IF([2]ControlPanel!$BK$16:$BK$139=$BL$197,IF([2]ControlPanel!$BL$16:$BL$139&lt;BN$203,[2]ControlPanel!$BL$16:$BL$139)))</f>
        <v>0</v>
      </c>
      <c r="BN203" s="369">
        <f t="array" ref="BN203">MAX(IF([2]ControlPanel!$BK$16:$BK$139=$BL$197,IF([2]ControlPanel!$BL$16:$BL$139&lt;BO$203,[2]ControlPanel!$BL$16:$BL$139)))</f>
        <v>0</v>
      </c>
      <c r="BO203" s="369">
        <f t="array" ref="BO203">MAX(IF([2]ControlPanel!$BK$16:$BK$139=$BL$197,IF([2]ControlPanel!$BL$16:$BL$139&lt;BP$203,[2]ControlPanel!$BL$16:$BL$139)))</f>
        <v>0</v>
      </c>
      <c r="BP203" s="369">
        <f t="array" ref="BP203">MAX(IF([2]ControlPanel!$BK$16:$BK$139=BL$197,[2]ControlPanel!$BL$16:$BL$139))</f>
        <v>43622</v>
      </c>
      <c r="BQ203" s="370" t="s">
        <v>384</v>
      </c>
      <c r="BR203" s="369">
        <f t="array" ref="BR203">MAX(IF([2]ControlPanel!$BK$16:$BK$139=$BR$197,IF([2]ControlPanel!$BL$16:$BL$139&lt;BS$203,[2]ControlPanel!$BL$16:$BL$139)))</f>
        <v>0</v>
      </c>
      <c r="BS203" s="369">
        <f t="array" ref="BS203">MAX(IF([2]ControlPanel!$BK$16:$BK$139=$BR$197,IF([2]ControlPanel!$BL$16:$BL$139&lt;BT$203,[2]ControlPanel!$BL$16:$BL$139)))</f>
        <v>0</v>
      </c>
      <c r="BT203" s="369">
        <f t="array" ref="BT203">MAX(IF([2]ControlPanel!$BK$16:$BK$139=$BR$197,IF([2]ControlPanel!$BL$16:$BL$139&lt;BU$203,[2]ControlPanel!$BL$16:$BL$139)))</f>
        <v>0</v>
      </c>
      <c r="BU203" s="369">
        <f t="array" ref="BU203">MAX(IF([2]ControlPanel!$BK$16:$BK$139=$BR$197,IF([2]ControlPanel!$BL$16:$BL$139&lt;BV$203,[2]ControlPanel!$BL$16:$BL$139)))</f>
        <v>0</v>
      </c>
      <c r="BV203" s="369">
        <f t="array" ref="BV203">MAX(IF([2]ControlPanel!$BK$16:$BK$139=BR$197,[2]ControlPanel!$BL$16:$BL$139))</f>
        <v>43605</v>
      </c>
      <c r="BW203" s="370" t="s">
        <v>384</v>
      </c>
      <c r="BX203" s="369">
        <f t="array" ref="BX203">MAX(IF([2]ControlPanel!$BK$16:$BK$139=$BX$197,IF([2]ControlPanel!$BL$16:$BL$139&lt;BY$203,[2]ControlPanel!$BL$16:$BL$139)))</f>
        <v>0</v>
      </c>
      <c r="BY203" s="369">
        <f t="array" ref="BY203">MAX(IF([2]ControlPanel!$BK$16:$BK$139=$BX$197,IF([2]ControlPanel!$BL$16:$BL$139&lt;BZ$203,[2]ControlPanel!$BL$16:$BL$139)))</f>
        <v>0</v>
      </c>
      <c r="BZ203" s="369">
        <f t="array" ref="BZ203">MAX(IF([2]ControlPanel!$BK$16:$BK$139=$BX$197,IF([2]ControlPanel!$BL$16:$BL$139&lt;CA$203,[2]ControlPanel!$BL$16:$BL$139)))</f>
        <v>43598</v>
      </c>
      <c r="CA203" s="369">
        <f t="array" ref="CA203">MAX(IF([2]ControlPanel!$BK$16:$BK$139=$BX$197,IF([2]ControlPanel!$BL$16:$BL$139&lt;CB$203,[2]ControlPanel!$BL$16:$BL$139)))</f>
        <v>43614</v>
      </c>
      <c r="CB203" s="369">
        <f t="array" ref="CB203">MAX(IF([2]ControlPanel!$BK$16:$BK$139=BX$197,[2]ControlPanel!$BL$16:$BL$139))</f>
        <v>43622</v>
      </c>
      <c r="CC203" s="370" t="s">
        <v>384</v>
      </c>
      <c r="CJ203" s="245"/>
      <c r="CK203" s="245"/>
      <c r="CQ203" s="34"/>
      <c r="CX203" s="34"/>
      <c r="CY203" s="34"/>
      <c r="CZ203" s="34"/>
      <c r="DA203" s="34"/>
      <c r="DB203" s="34"/>
      <c r="DC203" s="34"/>
    </row>
    <row r="204" spans="1:173" ht="31" customHeight="1" thickBot="1">
      <c r="A204" s="127" t="s">
        <v>243</v>
      </c>
      <c r="B204" s="127" t="s">
        <v>244</v>
      </c>
      <c r="C204" s="127" t="s">
        <v>245</v>
      </c>
      <c r="D204" s="128" t="str">
        <f>IFERROR(INDEX([2]!Table1RM[#Data],MATCH($M$56,[2]!Table1RM[Athlete],0),MATCH(#REF!,[2]!Table1RM[#Headers],0)),"")</f>
        <v/>
      </c>
      <c r="E204" s="127" t="str">
        <f>IF($B204="PE",INDEX([2]ExerciseInventory!$J$2:$L$276,MATCH(#REF!,[2]ExerciseInventory!$J$2:$J$287,0),2),"")</f>
        <v/>
      </c>
      <c r="F204" s="128" t="str">
        <f>IF($B204="PE",INDEX([2]ExerciseInventory!$J$2:$L$276,MATCH(#REF!,[2]ExerciseInventory!$J$2:$J$287,0),3),"")</f>
        <v/>
      </c>
      <c r="G204" s="128"/>
      <c r="H204" s="127"/>
      <c r="K204" s="371" t="s">
        <v>54</v>
      </c>
      <c r="L204" s="372" t="str">
        <f>IFERROR(INDEX(TableAccessoryTriplets,MATCH(L197,AccessoryTriplets,0)+2,3),"")</f>
        <v/>
      </c>
      <c r="M204" s="372"/>
      <c r="N204" s="372"/>
      <c r="O204" s="372"/>
      <c r="P204" s="372"/>
      <c r="Q204" s="373"/>
      <c r="R204" s="360" t="str">
        <f>IFERROR(INDEX(TableAccessoryTriplets,MATCH(L197,AccessoryTriplets,0)+2,COLUMNS($P204:T204)),"")</f>
        <v/>
      </c>
      <c r="S204" s="361"/>
      <c r="T204" s="362"/>
      <c r="U204" s="363" t="str">
        <f>IFERROR(INDEX(TableAccessoryTriplets,MATCH($L197,AccessoryTriplets,0)+2,COLUMNS($O204:T204)),"")</f>
        <v/>
      </c>
      <c r="V204" s="363" t="str">
        <f>IFERROR(INDEX(TableAccessoryTriplets,MATCH($L197,AccessoryTriplets,0)+2,COLUMNS($O204:U204)),"")</f>
        <v/>
      </c>
      <c r="W204" s="364" t="str">
        <f>IFERROR(INDEX(TableAccessoryTriplets,MATCH($L197,AccessoryTriplets,0)+2,COLUMNS($O204:V204)),"")</f>
        <v/>
      </c>
      <c r="Y204" s="371" t="s">
        <v>54</v>
      </c>
      <c r="Z204" s="372" t="str">
        <f>IFERROR(INDEX(TableAccessoryTriplets,MATCH(Z197,AccessoryTriplets,0)+2,3),"")</f>
        <v>Lying Down Knee Tucks w/ band</v>
      </c>
      <c r="AA204" s="372"/>
      <c r="AB204" s="372"/>
      <c r="AC204" s="372"/>
      <c r="AD204" s="372"/>
      <c r="AE204" s="372"/>
      <c r="AF204" s="372"/>
      <c r="AG204" s="373"/>
      <c r="AH204" s="363">
        <f>IFERROR(INDEX(TableAccessoryTriplets,MATCH(Z197,AccessoryTriplets,0)+2,COLUMNS($AD204:AH204)),"")</f>
        <v>10</v>
      </c>
      <c r="AI204" s="363">
        <f>IFERROR(INDEX(TableAccessoryTriplets,MATCH($Z197,AccessoryTriplets,0)+2,COLUMNS($AC204:AH204)),"")</f>
        <v>10</v>
      </c>
      <c r="AJ204" s="365">
        <f>IFERROR(INDEX(TableAccessoryTriplets,MATCH($Z197,AccessoryTriplets,0)+2,COLUMNS($AC204:AI204)),"")</f>
        <v>10</v>
      </c>
      <c r="AK204" s="366"/>
      <c r="AL204" s="367"/>
      <c r="AM204" s="364">
        <f>IFERROR(INDEX(TableAccessoryTriplets,MATCH($Z197,AccessoryTriplets,0)+2,COLUMNS($AC204:AJ204)),"")</f>
        <v>12</v>
      </c>
      <c r="AO204" s="371" t="s">
        <v>54</v>
      </c>
      <c r="AP204" s="372" t="str">
        <f>IFERROR(INDEX(TableAccessoryTriplets,MATCH(AP197,AccessoryTriplets,0)+2,3),"")</f>
        <v/>
      </c>
      <c r="AQ204" s="372"/>
      <c r="AR204" s="372"/>
      <c r="AS204" s="372"/>
      <c r="AT204" s="372"/>
      <c r="AU204" s="372"/>
      <c r="AV204" s="372"/>
      <c r="AW204" s="373"/>
      <c r="AX204" s="363" t="str">
        <f>IFERROR(INDEX(TableAccessoryTriplets,MATCH(AP197,AccessoryTriplets,0)+2,COLUMNS($AT204:AX204)),"")</f>
        <v/>
      </c>
      <c r="AY204" s="363" t="str">
        <f>IFERROR(INDEX(TableAccessoryTriplets,MATCH($AP197,AccessoryTriplets,0)+2,COLUMNS($AS204:AX204)),"")</f>
        <v/>
      </c>
      <c r="AZ204" s="363" t="str">
        <f>IFERROR(INDEX(TableAccessoryTriplets,MATCH($AP197,AccessoryTriplets,0)+2,COLUMNS($AS204:AY204)),"")</f>
        <v/>
      </c>
      <c r="BA204" s="364" t="str">
        <f>IFERROR(INDEX(TableAccessoryTriplets,MATCH($AP197,AccessoryTriplets,0)+2,COLUMNS($AS204:AZ204)),"")</f>
        <v/>
      </c>
      <c r="BB204" s="36"/>
      <c r="BD204" s="34"/>
      <c r="BE204" s="34"/>
      <c r="BF204" s="245"/>
      <c r="BG204" s="245"/>
      <c r="BH204" s="245"/>
      <c r="BI204" s="245"/>
      <c r="BJ204" s="245"/>
      <c r="BK204" s="245"/>
      <c r="BL204" s="245"/>
      <c r="BM204" s="245"/>
      <c r="BN204" s="245"/>
      <c r="BO204" s="245"/>
      <c r="BP204" s="298"/>
      <c r="BQ204" s="298"/>
      <c r="BR204" s="298"/>
      <c r="BS204" s="298"/>
      <c r="BT204" s="298"/>
      <c r="BU204" s="298"/>
      <c r="BV204" s="298"/>
      <c r="BW204" s="298"/>
      <c r="BX204" s="245"/>
      <c r="BY204" s="245"/>
      <c r="BZ204" s="245"/>
      <c r="CA204" s="245"/>
      <c r="CB204" s="245"/>
      <c r="CC204" s="245"/>
      <c r="CD204" s="245"/>
      <c r="CE204" s="245"/>
      <c r="CF204" s="245"/>
      <c r="CG204" s="245"/>
      <c r="CH204" s="245"/>
      <c r="CI204" s="245"/>
      <c r="CJ204" s="245"/>
      <c r="CK204" s="245"/>
      <c r="CQ204" s="34"/>
      <c r="CX204" s="34"/>
      <c r="CY204" s="34"/>
      <c r="CZ204" s="34"/>
      <c r="DA204" s="34"/>
      <c r="DB204" s="34"/>
      <c r="DC204" s="34"/>
    </row>
    <row r="205" spans="1:173" ht="31" customHeight="1" thickBot="1">
      <c r="A205" s="129"/>
      <c r="B205" s="129"/>
      <c r="C205" s="129"/>
      <c r="D205" s="128"/>
      <c r="E205" s="129"/>
      <c r="F205" s="128"/>
      <c r="G205" s="128"/>
      <c r="H205" s="129"/>
      <c r="K205" s="375"/>
      <c r="L205" s="376" t="str">
        <f>IFERROR(INDEX(TableAccessoryTriplets,MATCH(L197,AccessoryTriplets,0)+2,4),"")</f>
        <v/>
      </c>
      <c r="M205" s="376"/>
      <c r="N205" s="376"/>
      <c r="O205" s="376"/>
      <c r="P205" s="376"/>
      <c r="Q205" s="377"/>
      <c r="R205" s="306"/>
      <c r="S205" s="307"/>
      <c r="T205" s="308"/>
      <c r="U205" s="304"/>
      <c r="V205" s="304"/>
      <c r="W205" s="378"/>
      <c r="Y205" s="375"/>
      <c r="Z205" s="376" t="str">
        <f>IFERROR(INDEX(TableAccessoryTriplets,MATCH(Z197,AccessoryTriplets,0)+2,4),"")</f>
        <v>slow and controlled</v>
      </c>
      <c r="AA205" s="376"/>
      <c r="AB205" s="376"/>
      <c r="AC205" s="376"/>
      <c r="AD205" s="376"/>
      <c r="AE205" s="376"/>
      <c r="AF205" s="376"/>
      <c r="AG205" s="377"/>
      <c r="AH205" s="304"/>
      <c r="AI205" s="304"/>
      <c r="AJ205" s="306"/>
      <c r="AK205" s="307"/>
      <c r="AL205" s="308"/>
      <c r="AM205" s="378"/>
      <c r="AO205" s="375"/>
      <c r="AP205" s="376" t="str">
        <f>IFERROR(INDEX(TableAccessoryTriplets,MATCH(AP197,AccessoryTriplets,0)+2,4),"")</f>
        <v/>
      </c>
      <c r="AQ205" s="376"/>
      <c r="AR205" s="376"/>
      <c r="AS205" s="376"/>
      <c r="AT205" s="376"/>
      <c r="AU205" s="376"/>
      <c r="AV205" s="376"/>
      <c r="AW205" s="377"/>
      <c r="AX205" s="304"/>
      <c r="AY205" s="304"/>
      <c r="AZ205" s="304"/>
      <c r="BA205" s="378"/>
      <c r="BB205" s="36"/>
      <c r="BD205" s="34"/>
      <c r="BE205" s="34"/>
      <c r="BF205" s="380" t="str">
        <f>[2]VBT!B2</f>
        <v>Back Squat</v>
      </c>
      <c r="BG205" s="381"/>
      <c r="BH205" s="382" t="str">
        <f>[2]VBT!D2</f>
        <v>1RM:</v>
      </c>
      <c r="BI205" s="383">
        <f>[2]VBT!E2</f>
        <v>140</v>
      </c>
      <c r="BJ205" s="384">
        <f>[2]VBT!F2</f>
        <v>0</v>
      </c>
      <c r="BK205" s="384">
        <f>[2]VBT!G2</f>
        <v>0</v>
      </c>
      <c r="BL205" s="385">
        <f>[2]VBT!H2</f>
        <v>0</v>
      </c>
      <c r="BM205" s="386">
        <f>[2]VBT!I2</f>
        <v>0</v>
      </c>
      <c r="BP205" s="118"/>
      <c r="BQ205" s="118"/>
      <c r="BR205" s="118"/>
      <c r="BS205" s="118"/>
      <c r="BT205" s="118"/>
      <c r="BU205" s="118"/>
      <c r="BV205" s="118"/>
      <c r="BW205" s="118"/>
      <c r="BX205" s="387" t="s">
        <v>391</v>
      </c>
      <c r="BY205" s="388"/>
      <c r="BZ205" s="388"/>
      <c r="CA205" s="388"/>
      <c r="CB205" s="388"/>
      <c r="CC205" s="389"/>
      <c r="CD205" s="245"/>
      <c r="CE205" s="245"/>
      <c r="CF205" s="245"/>
      <c r="CG205" s="245"/>
      <c r="CH205" s="245"/>
      <c r="CI205" s="245"/>
      <c r="CJ205" s="245"/>
      <c r="CK205" s="245"/>
      <c r="CQ205" s="34"/>
      <c r="CX205" s="34"/>
      <c r="CY205" s="34"/>
      <c r="CZ205" s="34"/>
      <c r="DA205" s="34"/>
      <c r="DB205" s="34"/>
      <c r="DC205" s="34"/>
    </row>
    <row r="206" spans="1:173" ht="31" customHeight="1" thickBot="1">
      <c r="A206" s="127" t="s">
        <v>243</v>
      </c>
      <c r="B206" s="127" t="s">
        <v>244</v>
      </c>
      <c r="C206" s="127" t="s">
        <v>245</v>
      </c>
      <c r="D206" s="128" t="str">
        <f>IFERROR(INDEX([2]!Table1RM[#Data],MATCH($M$56,[2]!Table1RM[Athlete],0),MATCH(#REF!,[2]!Table1RM[#Headers],0)),"")</f>
        <v/>
      </c>
      <c r="E206" s="127" t="str">
        <f>IF($B206="PE",INDEX([2]ExerciseInventory!$J$2:$L$276,MATCH(#REF!,[2]ExerciseInventory!$J$2:$J$287,0),2),"")</f>
        <v/>
      </c>
      <c r="F206" s="128" t="str">
        <f>IF($B206="PE",INDEX([2]ExerciseInventory!$J$2:$L$276,MATCH(#REF!,[2]ExerciseInventory!$J$2:$J$287,0),3),"")</f>
        <v/>
      </c>
      <c r="G206" s="128"/>
      <c r="H206" s="127"/>
      <c r="R206" s="177"/>
      <c r="S206" s="177"/>
      <c r="T206" s="177"/>
      <c r="AA206" s="36"/>
      <c r="AC206" s="36"/>
      <c r="AJ206" s="36"/>
      <c r="AL206" s="36"/>
      <c r="AU206" s="36"/>
      <c r="BB206" s="36"/>
      <c r="BD206" s="34"/>
      <c r="BE206" s="34"/>
      <c r="BF206" s="390" t="str">
        <f>[2]VBT!B3</f>
        <v>% 1RM</v>
      </c>
      <c r="BG206" s="391" t="str">
        <f>[2]VBT!C3</f>
        <v>Load</v>
      </c>
      <c r="BH206" s="392" t="str">
        <f>[2]VBT!D3</f>
        <v>Mean V</v>
      </c>
      <c r="BI206" s="392" t="str">
        <f>[2]VBT!E3</f>
        <v>Max V</v>
      </c>
      <c r="BJ206" s="393" t="str">
        <f>[2]VBT!F3</f>
        <v>Last</v>
      </c>
      <c r="BK206" s="392" t="str">
        <f>[2]VBT!G3</f>
        <v>2Last</v>
      </c>
      <c r="BL206" s="394" t="str">
        <f>[2]VBT!H3</f>
        <v>3Last</v>
      </c>
      <c r="BM206" s="395" t="str">
        <f>[2]VBT!I3</f>
        <v>4Last</v>
      </c>
      <c r="BP206" s="118"/>
      <c r="BQ206" s="118"/>
      <c r="BR206" s="118"/>
      <c r="BX206" s="396"/>
      <c r="BY206" s="397"/>
      <c r="BZ206" s="398" t="s">
        <v>392</v>
      </c>
      <c r="CA206" s="398" t="s">
        <v>393</v>
      </c>
      <c r="CB206" s="398" t="s">
        <v>394</v>
      </c>
      <c r="CC206" s="399" t="s">
        <v>395</v>
      </c>
      <c r="CD206" s="245"/>
      <c r="CE206" s="245"/>
      <c r="CF206" s="245"/>
      <c r="CG206" s="245"/>
      <c r="CH206" s="245"/>
      <c r="CI206" s="245"/>
      <c r="CJ206" s="245"/>
      <c r="CK206" s="245"/>
      <c r="CX206" s="34"/>
      <c r="CY206" s="34"/>
      <c r="CZ206" s="34"/>
      <c r="DA206" s="34"/>
      <c r="DB206" s="34"/>
      <c r="DC206" s="34"/>
    </row>
    <row r="207" spans="1:173" ht="31" customHeight="1">
      <c r="A207" s="129"/>
      <c r="B207" s="129"/>
      <c r="C207" s="129"/>
      <c r="D207" s="128"/>
      <c r="E207" s="129"/>
      <c r="F207" s="128"/>
      <c r="G207" s="128"/>
      <c r="H207" s="129"/>
      <c r="K207" s="153">
        <v>3</v>
      </c>
      <c r="L207" s="154"/>
      <c r="M207" s="154"/>
      <c r="N207" s="154"/>
      <c r="O207" s="154"/>
      <c r="P207" s="154"/>
      <c r="Q207" s="154"/>
      <c r="R207" s="318"/>
      <c r="S207" s="318"/>
      <c r="T207" s="318"/>
      <c r="U207" s="318"/>
      <c r="V207" s="318"/>
      <c r="W207" s="319"/>
      <c r="Y207" s="153">
        <v>6</v>
      </c>
      <c r="Z207" s="154" t="s">
        <v>396</v>
      </c>
      <c r="AA207" s="154"/>
      <c r="AB207" s="154"/>
      <c r="AC207" s="154"/>
      <c r="AD207" s="154"/>
      <c r="AE207" s="154"/>
      <c r="AF207" s="154"/>
      <c r="AG207" s="154"/>
      <c r="AH207" s="318"/>
      <c r="AI207" s="318"/>
      <c r="AJ207" s="318"/>
      <c r="AK207" s="318"/>
      <c r="AL207" s="318"/>
      <c r="AM207" s="319"/>
      <c r="AO207" s="153">
        <v>9</v>
      </c>
      <c r="AP207" s="154"/>
      <c r="AQ207" s="154"/>
      <c r="AR207" s="154"/>
      <c r="AS207" s="154"/>
      <c r="AT207" s="154"/>
      <c r="AU207" s="154"/>
      <c r="AV207" s="154"/>
      <c r="AW207" s="154"/>
      <c r="AX207" s="318"/>
      <c r="AY207" s="318"/>
      <c r="AZ207" s="318"/>
      <c r="BA207" s="319"/>
      <c r="BB207" s="36"/>
      <c r="BD207" s="34"/>
      <c r="BE207" s="34"/>
      <c r="BF207" s="400">
        <f>[2]VBT!B12</f>
        <v>0.5714285714285714</v>
      </c>
      <c r="BG207" s="401">
        <f>[2]VBT!C12</f>
        <v>80</v>
      </c>
      <c r="BH207" s="402" t="str">
        <f>[2]VBT!D12</f>
        <v/>
      </c>
      <c r="BI207" s="402">
        <f>[2]VBT!E12</f>
        <v>0</v>
      </c>
      <c r="BJ207" s="402" t="e">
        <f>[2]VBT!F12</f>
        <v>#N/A</v>
      </c>
      <c r="BK207" s="402" t="e">
        <f>[2]VBT!G12</f>
        <v>#N/A</v>
      </c>
      <c r="BL207" s="402" t="e">
        <f>[2]VBT!H12</f>
        <v>#N/A</v>
      </c>
      <c r="BM207" s="403" t="e">
        <f>[2]VBT!I12</f>
        <v>#N/A</v>
      </c>
      <c r="BP207" s="118"/>
      <c r="BQ207" s="118"/>
      <c r="BR207" s="118"/>
      <c r="BX207" s="404" t="s">
        <v>296</v>
      </c>
      <c r="BY207" s="405"/>
      <c r="BZ207" s="220">
        <f>$X$225</f>
        <v>0</v>
      </c>
      <c r="CA207" s="220">
        <f>$AG$225</f>
        <v>0</v>
      </c>
      <c r="CB207" s="220">
        <f>$AP$225</f>
        <v>0</v>
      </c>
      <c r="CC207" s="406">
        <f>$AY$225</f>
        <v>0</v>
      </c>
      <c r="CD207" s="245"/>
      <c r="CE207" s="245"/>
      <c r="CF207" s="245"/>
      <c r="CG207" s="245"/>
      <c r="CH207" s="245"/>
      <c r="CI207" s="245"/>
      <c r="CJ207" s="245"/>
      <c r="CK207" s="245"/>
      <c r="CX207" s="34"/>
      <c r="CY207" s="34"/>
      <c r="CZ207" s="34"/>
      <c r="DA207" s="34"/>
      <c r="DB207" s="34"/>
      <c r="DC207" s="34"/>
    </row>
    <row r="208" spans="1:173" ht="31" customHeight="1" thickBot="1">
      <c r="A208" s="127" t="s">
        <v>243</v>
      </c>
      <c r="B208" s="127" t="s">
        <v>244</v>
      </c>
      <c r="C208" s="127" t="s">
        <v>245</v>
      </c>
      <c r="D208" s="128" t="str">
        <f>IFERROR(INDEX([2]!Table1RM[#Data],MATCH($M$56,[2]!Table1RM[Athlete],0),MATCH(#REF!,[2]!Table1RM[#Headers],0)),"")</f>
        <v/>
      </c>
      <c r="E208" s="127" t="str">
        <f>IF($B208="PE",INDEX([2]ExerciseInventory!$J$2:$L$276,MATCH(#REF!,[2]ExerciseInventory!$J$2:$J$287,0),2),"")</f>
        <v/>
      </c>
      <c r="F208" s="128" t="str">
        <f>IF($B208="PE",INDEX([2]ExerciseInventory!$J$2:$L$276,MATCH(#REF!,[2]ExerciseInventory!$J$2:$J$287,0),3),"")</f>
        <v/>
      </c>
      <c r="G208" s="128"/>
      <c r="H208" s="127"/>
      <c r="K208" s="162"/>
      <c r="L208" s="163"/>
      <c r="M208" s="163"/>
      <c r="N208" s="163"/>
      <c r="O208" s="163"/>
      <c r="P208" s="163"/>
      <c r="Q208" s="163"/>
      <c r="R208" s="326">
        <v>1</v>
      </c>
      <c r="S208" s="326"/>
      <c r="T208" s="326"/>
      <c r="U208" s="327">
        <v>2</v>
      </c>
      <c r="V208" s="327">
        <v>3</v>
      </c>
      <c r="W208" s="328">
        <v>4</v>
      </c>
      <c r="Y208" s="162"/>
      <c r="Z208" s="163"/>
      <c r="AA208" s="163"/>
      <c r="AB208" s="163"/>
      <c r="AC208" s="163"/>
      <c r="AD208" s="163"/>
      <c r="AE208" s="163"/>
      <c r="AF208" s="163"/>
      <c r="AG208" s="163"/>
      <c r="AH208" s="327">
        <v>1</v>
      </c>
      <c r="AI208" s="327">
        <v>2</v>
      </c>
      <c r="AJ208" s="326">
        <v>3</v>
      </c>
      <c r="AK208" s="326"/>
      <c r="AL208" s="326"/>
      <c r="AM208" s="328">
        <v>4</v>
      </c>
      <c r="AO208" s="162"/>
      <c r="AP208" s="163"/>
      <c r="AQ208" s="163"/>
      <c r="AR208" s="163"/>
      <c r="AS208" s="163"/>
      <c r="AT208" s="163"/>
      <c r="AU208" s="163"/>
      <c r="AV208" s="163"/>
      <c r="AW208" s="163"/>
      <c r="AX208" s="327">
        <v>1</v>
      </c>
      <c r="AY208" s="327">
        <v>2</v>
      </c>
      <c r="AZ208" s="327">
        <v>3</v>
      </c>
      <c r="BA208" s="328">
        <v>4</v>
      </c>
      <c r="BB208" s="36"/>
      <c r="BD208" s="34"/>
      <c r="BE208" s="34"/>
      <c r="BF208" s="400">
        <f>[2]VBT!B13</f>
        <v>0.6071428571428571</v>
      </c>
      <c r="BG208" s="401">
        <f>[2]VBT!C13</f>
        <v>85</v>
      </c>
      <c r="BH208" s="402" t="str">
        <f>[2]VBT!D13</f>
        <v/>
      </c>
      <c r="BI208" s="402">
        <f>[2]VBT!E13</f>
        <v>0</v>
      </c>
      <c r="BJ208" s="402" t="e">
        <f>[2]VBT!F13</f>
        <v>#N/A</v>
      </c>
      <c r="BK208" s="402" t="e">
        <f>[2]VBT!G13</f>
        <v>#N/A</v>
      </c>
      <c r="BL208" s="402" t="e">
        <f>[2]VBT!H13</f>
        <v>#N/A</v>
      </c>
      <c r="BM208" s="403" t="e">
        <f>[2]VBT!I13</f>
        <v>#N/A</v>
      </c>
      <c r="BP208" s="118"/>
      <c r="BQ208" s="118"/>
      <c r="BR208" s="118"/>
      <c r="BX208" s="407" t="s">
        <v>332</v>
      </c>
      <c r="BY208" s="408"/>
      <c r="BZ208" s="409">
        <f>$X$233</f>
        <v>0</v>
      </c>
      <c r="CA208" s="409">
        <f>$AG$233</f>
        <v>0</v>
      </c>
      <c r="CB208" s="409" t="e">
        <f>$AP$233</f>
        <v>#VALUE!</v>
      </c>
      <c r="CC208" s="410" t="e">
        <f>$AY$233</f>
        <v>#VALUE!</v>
      </c>
      <c r="CD208" s="245"/>
      <c r="CE208" s="245"/>
      <c r="CF208" s="245"/>
      <c r="CG208" s="245"/>
      <c r="CH208" s="245"/>
      <c r="CI208" s="245"/>
      <c r="CJ208" s="245"/>
      <c r="CK208" s="245"/>
      <c r="CX208" s="34"/>
      <c r="CY208" s="34"/>
      <c r="CZ208" s="34"/>
      <c r="DA208" s="34"/>
      <c r="DB208" s="34"/>
      <c r="DC208" s="34"/>
    </row>
    <row r="209" spans="1:183" ht="31" customHeight="1" thickBot="1">
      <c r="A209" s="129"/>
      <c r="B209" s="129"/>
      <c r="C209" s="129"/>
      <c r="D209" s="128"/>
      <c r="E209" s="129"/>
      <c r="F209" s="128"/>
      <c r="G209" s="128"/>
      <c r="H209" s="129"/>
      <c r="K209" s="332"/>
      <c r="L209" s="333" t="str">
        <f>IFERROR(INDEX(TableAccessoryTriplets,MATCH(L207,AccessoryTriplets,0),2),"")</f>
        <v/>
      </c>
      <c r="M209" s="333"/>
      <c r="N209" s="333"/>
      <c r="O209" s="333"/>
      <c r="P209" s="333"/>
      <c r="Q209" s="333"/>
      <c r="R209" s="334" t="s">
        <v>383</v>
      </c>
      <c r="S209" s="334"/>
      <c r="T209" s="334"/>
      <c r="U209" s="335" t="s">
        <v>383</v>
      </c>
      <c r="V209" s="335" t="s">
        <v>383</v>
      </c>
      <c r="W209" s="336" t="s">
        <v>383</v>
      </c>
      <c r="Y209" s="332"/>
      <c r="Z209" s="333" t="str">
        <f>IFERROR(INDEX(TableAccessoryTriplets,MATCH(Z207,AccessoryTriplets,0),2),"")</f>
        <v>L-Sit Progression</v>
      </c>
      <c r="AA209" s="333"/>
      <c r="AB209" s="333"/>
      <c r="AC209" s="333"/>
      <c r="AD209" s="333"/>
      <c r="AE209" s="333"/>
      <c r="AF209" s="333"/>
      <c r="AG209" s="333"/>
      <c r="AH209" s="335" t="s">
        <v>383</v>
      </c>
      <c r="AI209" s="335" t="s">
        <v>383</v>
      </c>
      <c r="AJ209" s="334" t="s">
        <v>383</v>
      </c>
      <c r="AK209" s="334"/>
      <c r="AL209" s="334"/>
      <c r="AM209" s="336" t="s">
        <v>383</v>
      </c>
      <c r="AO209" s="332"/>
      <c r="AP209" s="333" t="str">
        <f>IFERROR(INDEX(TableAccessoryTriplets,MATCH(AP207,AccessoryTriplets,0),2),"")</f>
        <v/>
      </c>
      <c r="AQ209" s="333"/>
      <c r="AR209" s="333"/>
      <c r="AS209" s="333"/>
      <c r="AT209" s="333"/>
      <c r="AU209" s="333"/>
      <c r="AV209" s="333"/>
      <c r="AW209" s="333"/>
      <c r="AX209" s="335" t="s">
        <v>383</v>
      </c>
      <c r="AY209" s="335" t="s">
        <v>383</v>
      </c>
      <c r="AZ209" s="335" t="s">
        <v>383</v>
      </c>
      <c r="BA209" s="336" t="s">
        <v>383</v>
      </c>
      <c r="BB209" s="36"/>
      <c r="BD209" s="34"/>
      <c r="BE209" s="34"/>
      <c r="BF209" s="400">
        <f>[2]VBT!B14</f>
        <v>0.6428571428571429</v>
      </c>
      <c r="BG209" s="401">
        <f>[2]VBT!C14</f>
        <v>90</v>
      </c>
      <c r="BH209" s="402" t="str">
        <f>[2]VBT!D14</f>
        <v/>
      </c>
      <c r="BI209" s="402">
        <f>[2]VBT!E14</f>
        <v>0</v>
      </c>
      <c r="BJ209" s="402" t="e">
        <f>[2]VBT!F14</f>
        <v>#N/A</v>
      </c>
      <c r="BK209" s="402" t="e">
        <f>[2]VBT!G14</f>
        <v>#N/A</v>
      </c>
      <c r="BL209" s="402" t="e">
        <f>[2]VBT!H14</f>
        <v>#N/A</v>
      </c>
      <c r="BM209" s="403" t="e">
        <f>[2]VBT!I14</f>
        <v>#N/A</v>
      </c>
      <c r="BP209" s="118"/>
      <c r="BQ209" s="118"/>
      <c r="BR209" s="118"/>
      <c r="CD209" s="245"/>
      <c r="CE209" s="245"/>
      <c r="CF209" s="245"/>
      <c r="CG209" s="245"/>
      <c r="CH209" s="245"/>
      <c r="CI209" s="245"/>
      <c r="CJ209" s="245"/>
      <c r="CK209" s="245"/>
      <c r="CQ209" s="34"/>
      <c r="CX209" s="34"/>
      <c r="CY209" s="34"/>
      <c r="CZ209" s="34"/>
      <c r="DA209" s="34"/>
      <c r="DB209" s="34"/>
      <c r="DC209" s="34"/>
    </row>
    <row r="210" spans="1:183" ht="31" customHeight="1">
      <c r="A210" s="127" t="s">
        <v>243</v>
      </c>
      <c r="B210" s="127" t="s">
        <v>244</v>
      </c>
      <c r="C210" s="127" t="s">
        <v>245</v>
      </c>
      <c r="D210" s="128" t="str">
        <f>IFERROR(INDEX([2]!Table1RM[#Data],MATCH($M$56,[2]!Table1RM[Athlete],0),MATCH(#REF!,[2]!Table1RM[#Headers],0)),"")</f>
        <v/>
      </c>
      <c r="E210" s="127" t="str">
        <f>IF($B210="PE",INDEX([2]ExerciseInventory!$J$2:$L$276,MATCH(#REF!,[2]ExerciseInventory!$J$2:$J$287,0),2),"")</f>
        <v/>
      </c>
      <c r="F210" s="128" t="str">
        <f>IF($B210="PE",INDEX([2]ExerciseInventory!$J$2:$L$276,MATCH(#REF!,[2]ExerciseInventory!$J$2:$J$287,0),3),"")</f>
        <v/>
      </c>
      <c r="G210" s="128"/>
      <c r="H210" s="127"/>
      <c r="K210" s="340" t="s">
        <v>52</v>
      </c>
      <c r="L210" s="341" t="str">
        <f>IFERROR(INDEX(TableAccessoryTriplets,MATCH(L207,AccessoryTriplets,0),3),"")</f>
        <v/>
      </c>
      <c r="M210" s="341"/>
      <c r="N210" s="341"/>
      <c r="O210" s="341"/>
      <c r="P210" s="341"/>
      <c r="Q210" s="342"/>
      <c r="R210" s="343" t="str">
        <f>IFERROR(INDEX(TableAccessoryTriplets,MATCH(L207,AccessoryTriplets,0),COLUMNS($P210:T210)),"")</f>
        <v/>
      </c>
      <c r="S210" s="344"/>
      <c r="T210" s="345"/>
      <c r="U210" s="267" t="str">
        <f>IFERROR(INDEX(TableAccessoryTriplets,MATCH($L207,AccessoryTriplets,0),COLUMNS($O210:T210)),"")</f>
        <v/>
      </c>
      <c r="V210" s="267" t="str">
        <f>IFERROR(INDEX(TableAccessoryTriplets,MATCH($L207,AccessoryTriplets,0),COLUMNS($O210:U210)),"")</f>
        <v/>
      </c>
      <c r="W210" s="273" t="str">
        <f>IFERROR(INDEX(TableAccessoryTriplets,MATCH($L207,AccessoryTriplets,0),COLUMNS($O210:V210)),"")</f>
        <v/>
      </c>
      <c r="Y210" s="340" t="s">
        <v>52</v>
      </c>
      <c r="Z210" s="341" t="str">
        <f>IFERROR(INDEX(TableAccessoryTriplets,MATCH(Z207,AccessoryTriplets,0),3),"")</f>
        <v>Pike Seated L-Sit Lifts</v>
      </c>
      <c r="AA210" s="341"/>
      <c r="AB210" s="341"/>
      <c r="AC210" s="341"/>
      <c r="AD210" s="341"/>
      <c r="AE210" s="341"/>
      <c r="AF210" s="341"/>
      <c r="AG210" s="342"/>
      <c r="AH210" s="267">
        <f>IFERROR(INDEX(TableAccessoryTriplets,MATCH(Z207,AccessoryTriplets,0),COLUMNS($AD210:AH210)),"")</f>
        <v>10</v>
      </c>
      <c r="AI210" s="267">
        <f>IFERROR(INDEX(TableAccessoryTriplets,MATCH($Z207,AccessoryTriplets,0),COLUMNS($AC210:AH210)),"")</f>
        <v>0</v>
      </c>
      <c r="AJ210" s="269">
        <f>IFERROR(INDEX(TableAccessoryTriplets,MATCH($Z207,AccessoryTriplets,0),COLUMNS($AC210:AI210)),"")</f>
        <v>0</v>
      </c>
      <c r="AK210" s="270"/>
      <c r="AL210" s="271"/>
      <c r="AM210" s="273">
        <f>IFERROR(INDEX(TableAccessoryTriplets,MATCH($Z207,AccessoryTriplets,0),COLUMNS($AC210:AJ210)),"")</f>
        <v>0</v>
      </c>
      <c r="AO210" s="340" t="s">
        <v>52</v>
      </c>
      <c r="AP210" s="341" t="str">
        <f>IFERROR(INDEX(TableAccessoryTriplets,MATCH(AP207,AccessoryTriplets,0),3),"")</f>
        <v/>
      </c>
      <c r="AQ210" s="341"/>
      <c r="AR210" s="341"/>
      <c r="AS210" s="341"/>
      <c r="AT210" s="341"/>
      <c r="AU210" s="341"/>
      <c r="AV210" s="341"/>
      <c r="AW210" s="342"/>
      <c r="AX210" s="267" t="str">
        <f>IFERROR(INDEX(TableAccessoryTriplets,MATCH(AP207,AccessoryTriplets,0),COLUMNS($AT210:AX210)),"")</f>
        <v/>
      </c>
      <c r="AY210" s="267" t="str">
        <f>IFERROR(INDEX(TableAccessoryTriplets,MATCH($AP207,AccessoryTriplets,0),COLUMNS($AS210:AX210)),"")</f>
        <v/>
      </c>
      <c r="AZ210" s="267" t="str">
        <f>IFERROR(INDEX(TableAccessoryTriplets,MATCH($AP207,AccessoryTriplets,0),COLUMNS($AS210:AY210)),"")</f>
        <v/>
      </c>
      <c r="BA210" s="273" t="str">
        <f>IFERROR(INDEX(TableAccessoryTriplets,MATCH($AP207,AccessoryTriplets,0),COLUMNS($AS210:AZ210)),"")</f>
        <v/>
      </c>
      <c r="BB210" s="36"/>
      <c r="BD210" s="34"/>
      <c r="BE210" s="34"/>
      <c r="BF210" s="400">
        <f>[2]VBT!B15</f>
        <v>0.6785714285714286</v>
      </c>
      <c r="BG210" s="401">
        <f>[2]VBT!C15</f>
        <v>95</v>
      </c>
      <c r="BH210" s="402" t="str">
        <f>[2]VBT!D15</f>
        <v/>
      </c>
      <c r="BI210" s="402">
        <f>[2]VBT!E15</f>
        <v>0</v>
      </c>
      <c r="BJ210" s="402" t="e">
        <f>[2]VBT!F15</f>
        <v>#N/A</v>
      </c>
      <c r="BK210" s="402" t="e">
        <f>[2]VBT!G15</f>
        <v>#N/A</v>
      </c>
      <c r="BL210" s="402" t="e">
        <f>[2]VBT!H15</f>
        <v>#N/A</v>
      </c>
      <c r="BM210" s="403" t="e">
        <f>[2]VBT!I15</f>
        <v>#N/A</v>
      </c>
      <c r="BP210" s="118"/>
      <c r="BQ210" s="118"/>
      <c r="BR210" s="118"/>
      <c r="BX210" s="387" t="s">
        <v>397</v>
      </c>
      <c r="BY210" s="388"/>
      <c r="BZ210" s="388"/>
      <c r="CA210" s="388"/>
      <c r="CB210" s="388"/>
      <c r="CC210" s="389"/>
      <c r="CD210" s="245"/>
      <c r="CE210" s="245"/>
      <c r="CF210" s="245"/>
      <c r="CG210" s="245"/>
      <c r="CH210" s="245"/>
      <c r="CI210" s="245"/>
      <c r="CJ210" s="245"/>
      <c r="CK210" s="245"/>
      <c r="CQ210" s="34"/>
      <c r="CX210" s="34"/>
      <c r="CY210" s="34"/>
      <c r="CZ210" s="34"/>
      <c r="DA210" s="34"/>
      <c r="DB210" s="34"/>
      <c r="DC210" s="34"/>
    </row>
    <row r="211" spans="1:183" ht="31" customHeight="1" thickBot="1">
      <c r="A211" s="129"/>
      <c r="B211" s="129"/>
      <c r="C211" s="129"/>
      <c r="D211" s="128"/>
      <c r="E211" s="129"/>
      <c r="F211" s="128"/>
      <c r="G211" s="128"/>
      <c r="H211" s="129"/>
      <c r="K211" s="348"/>
      <c r="L211" s="349" t="str">
        <f>IFERROR(INDEX(TableAccessoryTriplets,MATCH(L207,AccessoryTriplets,0),4),"")</f>
        <v/>
      </c>
      <c r="M211" s="349"/>
      <c r="N211" s="349"/>
      <c r="O211" s="349"/>
      <c r="P211" s="349"/>
      <c r="Q211" s="350"/>
      <c r="R211" s="293"/>
      <c r="S211" s="294"/>
      <c r="T211" s="295"/>
      <c r="U211" s="351"/>
      <c r="V211" s="351"/>
      <c r="W211" s="352"/>
      <c r="Y211" s="348"/>
      <c r="Z211" s="349" t="str">
        <f>IFERROR(INDEX(TableAccessoryTriplets,MATCH(Z207,AccessoryTriplets,0),4),"")</f>
        <v>legs straight, toes pointed, hands on floor</v>
      </c>
      <c r="AA211" s="349"/>
      <c r="AB211" s="349"/>
      <c r="AC211" s="349"/>
      <c r="AD211" s="349"/>
      <c r="AE211" s="349"/>
      <c r="AF211" s="349"/>
      <c r="AG211" s="350"/>
      <c r="AH211" s="291"/>
      <c r="AI211" s="291"/>
      <c r="AJ211" s="293"/>
      <c r="AK211" s="294"/>
      <c r="AL211" s="295"/>
      <c r="AM211" s="353"/>
      <c r="AO211" s="348"/>
      <c r="AP211" s="349" t="str">
        <f>IFERROR(INDEX(TableAccessoryTriplets,MATCH(AP207,AccessoryTriplets,0),4),"")</f>
        <v/>
      </c>
      <c r="AQ211" s="349"/>
      <c r="AR211" s="349"/>
      <c r="AS211" s="349"/>
      <c r="AT211" s="349"/>
      <c r="AU211" s="349"/>
      <c r="AV211" s="349"/>
      <c r="AW211" s="350"/>
      <c r="AX211" s="291"/>
      <c r="AY211" s="291"/>
      <c r="AZ211" s="351"/>
      <c r="BA211" s="352"/>
      <c r="BB211" s="36"/>
      <c r="BD211" s="34"/>
      <c r="BE211" s="34"/>
      <c r="BF211" s="400">
        <f>[2]VBT!B16</f>
        <v>0.7142857142857143</v>
      </c>
      <c r="BG211" s="401">
        <f>[2]VBT!C16</f>
        <v>100</v>
      </c>
      <c r="BH211" s="402" t="str">
        <f>[2]VBT!D16</f>
        <v/>
      </c>
      <c r="BI211" s="402">
        <f>[2]VBT!E16</f>
        <v>0</v>
      </c>
      <c r="BJ211" s="402" t="e">
        <f>[2]VBT!F16</f>
        <v>#N/A</v>
      </c>
      <c r="BK211" s="402" t="e">
        <f>[2]VBT!G16</f>
        <v>#N/A</v>
      </c>
      <c r="BL211" s="402" t="e">
        <f>[2]VBT!H16</f>
        <v>#N/A</v>
      </c>
      <c r="BM211" s="403" t="e">
        <f>[2]VBT!I16</f>
        <v>#N/A</v>
      </c>
      <c r="BP211" s="118"/>
      <c r="BQ211" s="220"/>
      <c r="BR211" s="220"/>
      <c r="BX211" s="396"/>
      <c r="BY211" s="397"/>
      <c r="BZ211" s="398" t="s">
        <v>392</v>
      </c>
      <c r="CA211" s="398" t="s">
        <v>393</v>
      </c>
      <c r="CB211" s="398" t="s">
        <v>394</v>
      </c>
      <c r="CC211" s="399" t="s">
        <v>395</v>
      </c>
      <c r="CD211" s="245"/>
      <c r="CE211" s="245"/>
      <c r="CF211" s="245"/>
      <c r="CG211" s="245"/>
      <c r="CH211" s="245"/>
      <c r="CI211" s="245"/>
      <c r="CJ211" s="245"/>
      <c r="CK211" s="245"/>
      <c r="CQ211" s="34"/>
      <c r="CX211" s="34"/>
      <c r="CY211" s="34"/>
      <c r="CZ211" s="34"/>
      <c r="DA211" s="34"/>
      <c r="DB211" s="34"/>
      <c r="DC211" s="34"/>
    </row>
    <row r="212" spans="1:183" ht="31" customHeight="1">
      <c r="A212" s="127" t="s">
        <v>243</v>
      </c>
      <c r="B212" s="127" t="s">
        <v>244</v>
      </c>
      <c r="C212" s="127" t="s">
        <v>245</v>
      </c>
      <c r="D212" s="128" t="str">
        <f>IFERROR(INDEX([2]!Table1RM[#Data],MATCH($M$56,[2]!Table1RM[Athlete],0),MATCH(#REF!,[2]!Table1RM[#Headers],0)),"")</f>
        <v/>
      </c>
      <c r="E212" s="127" t="str">
        <f>IF($B212="PE",INDEX([2]ExerciseInventory!$J$2:$L$276,MATCH(#REF!,[2]ExerciseInventory!$J$2:$J$287,0),2),"")</f>
        <v/>
      </c>
      <c r="F212" s="128" t="str">
        <f>IF($B212="PE",INDEX([2]ExerciseInventory!$J$2:$L$276,MATCH(#REF!,[2]ExerciseInventory!$J$2:$J$287,0),3),"")</f>
        <v/>
      </c>
      <c r="G212" s="128"/>
      <c r="H212" s="127"/>
      <c r="K212" s="357" t="s">
        <v>53</v>
      </c>
      <c r="L212" s="358" t="str">
        <f>IFERROR(INDEX(TableAccessoryTriplets,MATCH(L207,AccessoryTriplets,0)+1,3),"")</f>
        <v/>
      </c>
      <c r="M212" s="358"/>
      <c r="N212" s="358"/>
      <c r="O212" s="358"/>
      <c r="P212" s="358"/>
      <c r="Q212" s="359"/>
      <c r="R212" s="360" t="str">
        <f>IFERROR(INDEX(TableAccessoryTriplets,MATCH(L207,AccessoryTriplets,0)+1,COLUMNS($P212:T212)),"")</f>
        <v/>
      </c>
      <c r="S212" s="361"/>
      <c r="T212" s="362"/>
      <c r="U212" s="363" t="str">
        <f>IFERROR(INDEX(TableAccessoryTriplets,MATCH($L207,AccessoryTriplets,0)+1,COLUMNS($O210:T210)),"")</f>
        <v/>
      </c>
      <c r="V212" s="363" t="str">
        <f>IFERROR(INDEX(TableAccessoryTriplets,MATCH($L207,AccessoryTriplets,0)+1,COLUMNS($O210:U210)),"")</f>
        <v/>
      </c>
      <c r="W212" s="364" t="str">
        <f>IFERROR(INDEX(TableAccessoryTriplets,MATCH($L207,AccessoryTriplets,0)+1,COLUMNS($O210:V210)),"")</f>
        <v/>
      </c>
      <c r="Y212" s="357" t="s">
        <v>53</v>
      </c>
      <c r="Z212" s="358" t="str">
        <f>IFERROR(INDEX(TableAccessoryTriplets,MATCH(Z207,AccessoryTriplets,0)+1,3),"")</f>
        <v>Russian Twist w/ plate</v>
      </c>
      <c r="AA212" s="358"/>
      <c r="AB212" s="358"/>
      <c r="AC212" s="358"/>
      <c r="AD212" s="358"/>
      <c r="AE212" s="358"/>
      <c r="AF212" s="358"/>
      <c r="AG212" s="359"/>
      <c r="AH212" s="363">
        <f>IFERROR(INDEX(TableAccessoryTriplets,MATCH(Z207,AccessoryTriplets,0)+1,COLUMNS($AD212:AH212)),"")</f>
        <v>20</v>
      </c>
      <c r="AI212" s="363">
        <f>IFERROR(INDEX(TableAccessoryTriplets,MATCH($Z207,AccessoryTriplets,0)+1,COLUMNS($AC212:AH212)),"")</f>
        <v>0</v>
      </c>
      <c r="AJ212" s="365">
        <f>IFERROR(INDEX(TableAccessoryTriplets,MATCH($Z207,AccessoryTriplets,0)+1,COLUMNS($AC212:AI212)),"")</f>
        <v>0</v>
      </c>
      <c r="AK212" s="366"/>
      <c r="AL212" s="367"/>
      <c r="AM212" s="364">
        <f>IFERROR(INDEX(TableAccessoryTriplets,MATCH($Z207,AccessoryTriplets,0)+1,COLUMNS($AC212:AJ212)),"")</f>
        <v>0</v>
      </c>
      <c r="AO212" s="357" t="s">
        <v>53</v>
      </c>
      <c r="AP212" s="358" t="str">
        <f>IFERROR(INDEX(TableAccessoryTriplets,MATCH(AP207,AccessoryTriplets,0)+1,3),"")</f>
        <v/>
      </c>
      <c r="AQ212" s="358"/>
      <c r="AR212" s="358"/>
      <c r="AS212" s="358"/>
      <c r="AT212" s="358"/>
      <c r="AU212" s="358"/>
      <c r="AV212" s="358"/>
      <c r="AW212" s="359"/>
      <c r="AX212" s="363" t="str">
        <f>IFERROR(INDEX(TableAccessoryTriplets,MATCH(AP207,AccessoryTriplets,0)+1,COLUMNS($AT212:AX212)),"")</f>
        <v/>
      </c>
      <c r="AY212" s="363" t="str">
        <f>IFERROR(INDEX(TableAccessoryTriplets,MATCH($AP207,AccessoryTriplets,0)+1,COLUMNS($AS212:AX212)),"")</f>
        <v/>
      </c>
      <c r="AZ212" s="363" t="str">
        <f>IFERROR(INDEX(TableAccessoryTriplets,MATCH($AP207,AccessoryTriplets,0)+1,COLUMNS($AS212:AY212)),"")</f>
        <v/>
      </c>
      <c r="BA212" s="364" t="str">
        <f>IFERROR(INDEX(TableAccessoryTriplets,MATCH($AP207,AccessoryTriplets,0)+1,COLUMNS($AS212:AZ212)),"")</f>
        <v/>
      </c>
      <c r="BB212" s="36"/>
      <c r="BD212" s="34"/>
      <c r="BE212" s="34"/>
      <c r="BF212" s="400">
        <f>[2]VBT!B17</f>
        <v>0.75</v>
      </c>
      <c r="BG212" s="401">
        <f>[2]VBT!C17</f>
        <v>105</v>
      </c>
      <c r="BH212" s="402" t="str">
        <f>[2]VBT!D17</f>
        <v/>
      </c>
      <c r="BI212" s="402">
        <f>[2]VBT!E17</f>
        <v>0</v>
      </c>
      <c r="BJ212" s="402" t="e">
        <f>[2]VBT!F17</f>
        <v>#N/A</v>
      </c>
      <c r="BK212" s="402" t="e">
        <f>[2]VBT!G17</f>
        <v>#N/A</v>
      </c>
      <c r="BL212" s="402" t="e">
        <f>[2]VBT!H17</f>
        <v>#N/A</v>
      </c>
      <c r="BM212" s="403" t="e">
        <f>[2]VBT!I17</f>
        <v>#N/A</v>
      </c>
      <c r="BP212" s="220"/>
      <c r="BX212" s="404" t="s">
        <v>296</v>
      </c>
      <c r="BY212" s="411" t="s">
        <v>308</v>
      </c>
      <c r="BZ212" s="220">
        <f>$BT$81</f>
        <v>0</v>
      </c>
      <c r="CA212" s="220">
        <f>$BU$81</f>
        <v>0</v>
      </c>
      <c r="CB212" s="220">
        <f>$BV$81</f>
        <v>0</v>
      </c>
      <c r="CC212" s="406">
        <f>$BW$81</f>
        <v>0</v>
      </c>
      <c r="CD212" s="245"/>
      <c r="CE212" s="245" t="e">
        <f>BZ213+BZ215</f>
        <v>#N/A</v>
      </c>
      <c r="CF212" s="245">
        <f>CA213+CA215</f>
        <v>0</v>
      </c>
      <c r="CG212" s="245">
        <f>CB213+CB215</f>
        <v>0</v>
      </c>
      <c r="CH212" s="245">
        <f>CC213+CC215</f>
        <v>0</v>
      </c>
      <c r="CI212" s="245"/>
      <c r="CJ212" s="245"/>
      <c r="CK212" s="245"/>
      <c r="CQ212" s="34"/>
      <c r="CX212" s="34"/>
      <c r="CY212" s="34"/>
      <c r="CZ212" s="34"/>
      <c r="DA212" s="34"/>
      <c r="DB212" s="34"/>
      <c r="DC212" s="34"/>
    </row>
    <row r="213" spans="1:183" ht="31" customHeight="1" thickBot="1">
      <c r="A213" s="129"/>
      <c r="B213" s="129"/>
      <c r="C213" s="129"/>
      <c r="D213" s="128"/>
      <c r="E213" s="129"/>
      <c r="F213" s="128"/>
      <c r="G213" s="128"/>
      <c r="H213" s="129"/>
      <c r="K213" s="348"/>
      <c r="L213" s="349" t="str">
        <f>IFERROR(INDEX(TableAccessoryTriplets,MATCH(L207,AccessoryTriplets,0)+1,4),"")</f>
        <v/>
      </c>
      <c r="M213" s="349"/>
      <c r="N213" s="349"/>
      <c r="O213" s="349"/>
      <c r="P213" s="349"/>
      <c r="Q213" s="350"/>
      <c r="R213" s="293"/>
      <c r="S213" s="294"/>
      <c r="T213" s="295"/>
      <c r="U213" s="351"/>
      <c r="V213" s="351"/>
      <c r="W213" s="352"/>
      <c r="Y213" s="348"/>
      <c r="Z213" s="349" t="str">
        <f>IFERROR(INDEX(TableAccessoryTriplets,MATCH(Z207,AccessoryTriplets,0)+1,4),"")</f>
        <v>legs straight, toes pointed</v>
      </c>
      <c r="AA213" s="349"/>
      <c r="AB213" s="349"/>
      <c r="AC213" s="349"/>
      <c r="AD213" s="349"/>
      <c r="AE213" s="349"/>
      <c r="AF213" s="349"/>
      <c r="AG213" s="350"/>
      <c r="AH213" s="291"/>
      <c r="AI213" s="291"/>
      <c r="AJ213" s="293"/>
      <c r="AK213" s="294"/>
      <c r="AL213" s="295"/>
      <c r="AM213" s="353"/>
      <c r="AO213" s="348"/>
      <c r="AP213" s="349" t="str">
        <f>IFERROR(INDEX(TableAccessoryTriplets,MATCH(AP207,AccessoryTriplets,0)+1,4),"")</f>
        <v/>
      </c>
      <c r="AQ213" s="349"/>
      <c r="AR213" s="349"/>
      <c r="AS213" s="349"/>
      <c r="AT213" s="349"/>
      <c r="AU213" s="349"/>
      <c r="AV213" s="349"/>
      <c r="AW213" s="350"/>
      <c r="AX213" s="291"/>
      <c r="AY213" s="291"/>
      <c r="AZ213" s="291"/>
      <c r="BA213" s="353"/>
      <c r="BB213" s="36"/>
      <c r="BD213" s="34"/>
      <c r="BE213" s="34"/>
      <c r="BF213" s="400">
        <f>[2]VBT!B18</f>
        <v>0.7857142857142857</v>
      </c>
      <c r="BG213" s="401">
        <f>[2]VBT!C18</f>
        <v>110</v>
      </c>
      <c r="BH213" s="402" t="str">
        <f>[2]VBT!D18</f>
        <v/>
      </c>
      <c r="BI213" s="402">
        <f>[2]VBT!E18</f>
        <v>0</v>
      </c>
      <c r="BJ213" s="402" t="e">
        <f>[2]VBT!F18</f>
        <v>#N/A</v>
      </c>
      <c r="BK213" s="402" t="e">
        <f>[2]VBT!G18</f>
        <v>#N/A</v>
      </c>
      <c r="BL213" s="402" t="e">
        <f>[2]VBT!H18</f>
        <v>#N/A</v>
      </c>
      <c r="BM213" s="403" t="e">
        <f>[2]VBT!I18</f>
        <v>#N/A</v>
      </c>
      <c r="BX213" s="412"/>
      <c r="BY213" s="413" t="s">
        <v>303</v>
      </c>
      <c r="BZ213" s="220">
        <f>$BT$79</f>
        <v>0</v>
      </c>
      <c r="CA213" s="220">
        <f>$BU$80</f>
        <v>0</v>
      </c>
      <c r="CB213" s="220">
        <f>$BV$80</f>
        <v>0</v>
      </c>
      <c r="CC213" s="406">
        <f>$BW$80</f>
        <v>0</v>
      </c>
      <c r="CD213" s="245"/>
      <c r="CE213" s="245"/>
      <c r="CF213" s="245"/>
      <c r="CG213" s="245"/>
      <c r="CH213" s="245"/>
      <c r="CI213" s="245"/>
      <c r="CJ213" s="245"/>
      <c r="CK213" s="245"/>
      <c r="CQ213" s="34"/>
      <c r="CX213" s="34"/>
      <c r="CY213" s="34"/>
      <c r="CZ213" s="34"/>
      <c r="DA213" s="34"/>
      <c r="DB213" s="34"/>
      <c r="DC213" s="34"/>
    </row>
    <row r="214" spans="1:183" ht="31" customHeight="1">
      <c r="A214" s="127" t="s">
        <v>243</v>
      </c>
      <c r="B214" s="127" t="s">
        <v>244</v>
      </c>
      <c r="C214" s="127" t="s">
        <v>245</v>
      </c>
      <c r="D214" s="128" t="str">
        <f>IFERROR(INDEX([2]!Table1RM[#Data],MATCH($M$56,[2]!Table1RM[Athlete],0),MATCH(#REF!,[2]!Table1RM[#Headers],0)),"")</f>
        <v/>
      </c>
      <c r="E214" s="127" t="str">
        <f>IF($B214="PE",INDEX([2]ExerciseInventory!$J$2:$L$276,MATCH(#REF!,[2]ExerciseInventory!$J$2:$J$287,0),2),"")</f>
        <v/>
      </c>
      <c r="F214" s="128" t="str">
        <f>IF($B214="PE",INDEX([2]ExerciseInventory!$J$2:$L$276,MATCH(#REF!,[2]ExerciseInventory!$J$2:$J$287,0),3),"")</f>
        <v/>
      </c>
      <c r="G214" s="128"/>
      <c r="H214" s="127"/>
      <c r="K214" s="371" t="s">
        <v>54</v>
      </c>
      <c r="L214" s="372" t="str">
        <f>IFERROR(INDEX(TableAccessoryTriplets,MATCH(L207,AccessoryTriplets,0)+2,3),"")</f>
        <v/>
      </c>
      <c r="M214" s="372"/>
      <c r="N214" s="372"/>
      <c r="O214" s="372"/>
      <c r="P214" s="372"/>
      <c r="Q214" s="373"/>
      <c r="R214" s="360" t="str">
        <f>IFERROR(INDEX(TableAccessoryTriplets,MATCH(L207,AccessoryTriplets,0)+2,COLUMNS($P214:T214)),"")</f>
        <v/>
      </c>
      <c r="S214" s="361"/>
      <c r="T214" s="362"/>
      <c r="U214" s="363" t="str">
        <f>IFERROR(INDEX(TableAccessoryTriplets,MATCH($L207,AccessoryTriplets,0)+2,COLUMNS($O214:T214)),"")</f>
        <v/>
      </c>
      <c r="V214" s="363" t="str">
        <f>IFERROR(INDEX(TableAccessoryTriplets,MATCH($L207,AccessoryTriplets,0)+2,COLUMNS($O214:U214)),"")</f>
        <v/>
      </c>
      <c r="W214" s="364" t="str">
        <f>IFERROR(INDEX(TableAccessoryTriplets,MATCH($L207,AccessoryTriplets,0)+2,COLUMNS($O214:V214)),"")</f>
        <v/>
      </c>
      <c r="Y214" s="371" t="s">
        <v>54</v>
      </c>
      <c r="Z214" s="372" t="str">
        <f>IFERROR(INDEX(TableAccessoryTriplets,MATCH(Z207,AccessoryTriplets,0)+2,3),"")</f>
        <v>2 Limb Dead Bug w/ plate</v>
      </c>
      <c r="AA214" s="372"/>
      <c r="AB214" s="372"/>
      <c r="AC214" s="372"/>
      <c r="AD214" s="372"/>
      <c r="AE214" s="372"/>
      <c r="AF214" s="372"/>
      <c r="AG214" s="373"/>
      <c r="AH214" s="363">
        <f>IFERROR(INDEX(TableAccessoryTriplets,MATCH(Z207,AccessoryTriplets,0)+2,COLUMNS($AD214:AH214)),"")</f>
        <v>8</v>
      </c>
      <c r="AI214" s="363">
        <f>IFERROR(INDEX(TableAccessoryTriplets,MATCH($Z207,AccessoryTriplets,0)+2,COLUMNS($AC214:AH214)),"")</f>
        <v>0</v>
      </c>
      <c r="AJ214" s="365">
        <f>IFERROR(INDEX(TableAccessoryTriplets,MATCH($Z207,AccessoryTriplets,0)+2,COLUMNS($AC214:AI214)),"")</f>
        <v>0</v>
      </c>
      <c r="AK214" s="366"/>
      <c r="AL214" s="367"/>
      <c r="AM214" s="364">
        <f>IFERROR(INDEX(TableAccessoryTriplets,MATCH($Z207,AccessoryTriplets,0)+2,COLUMNS($AC214:AJ214)),"")</f>
        <v>0</v>
      </c>
      <c r="AO214" s="371" t="s">
        <v>54</v>
      </c>
      <c r="AP214" s="372" t="str">
        <f>IFERROR(INDEX(TableAccessoryTriplets,MATCH(AP207,AccessoryTriplets,0)+2,3),"")</f>
        <v/>
      </c>
      <c r="AQ214" s="372"/>
      <c r="AR214" s="372"/>
      <c r="AS214" s="372"/>
      <c r="AT214" s="372"/>
      <c r="AU214" s="372"/>
      <c r="AV214" s="372"/>
      <c r="AW214" s="373"/>
      <c r="AX214" s="363" t="str">
        <f>IFERROR(INDEX(TableAccessoryTriplets,MATCH(AP207,AccessoryTriplets,0)+2,COLUMNS($AT214:AX214)),"")</f>
        <v/>
      </c>
      <c r="AY214" s="363" t="str">
        <f>IFERROR(INDEX(TableAccessoryTriplets,MATCH($AP207,AccessoryTriplets,0)+2,COLUMNS($AS214:AX214)),"")</f>
        <v/>
      </c>
      <c r="AZ214" s="363" t="str">
        <f>IFERROR(INDEX(TableAccessoryTriplets,MATCH($AP207,AccessoryTriplets,0)+2,COLUMNS($AS214:AY214)),"")</f>
        <v/>
      </c>
      <c r="BA214" s="364" t="str">
        <f>IFERROR(INDEX(TableAccessoryTriplets,MATCH($AP207,AccessoryTriplets,0)+2,COLUMNS($AS214:AZ214)),"")</f>
        <v/>
      </c>
      <c r="BB214" s="36"/>
      <c r="BD214" s="34"/>
      <c r="BE214" s="34"/>
      <c r="BF214" s="400">
        <f>[2]VBT!B19</f>
        <v>0.8214285714285714</v>
      </c>
      <c r="BG214" s="401">
        <f>[2]VBT!C19</f>
        <v>115</v>
      </c>
      <c r="BH214" s="402" t="str">
        <f>[2]VBT!D19</f>
        <v/>
      </c>
      <c r="BI214" s="402">
        <f>[2]VBT!E19</f>
        <v>0</v>
      </c>
      <c r="BJ214" s="402" t="e">
        <f>[2]VBT!F19</f>
        <v>#N/A</v>
      </c>
      <c r="BK214" s="402" t="e">
        <f>[2]VBT!G19</f>
        <v>#N/A</v>
      </c>
      <c r="BL214" s="402" t="e">
        <f>[2]VBT!H19</f>
        <v>#N/A</v>
      </c>
      <c r="BM214" s="403" t="e">
        <f>[2]VBT!I19</f>
        <v>#N/A</v>
      </c>
      <c r="BX214" s="404" t="s">
        <v>332</v>
      </c>
      <c r="BY214" s="411" t="s">
        <v>308</v>
      </c>
      <c r="BZ214" s="414">
        <f>$CY$172</f>
        <v>0</v>
      </c>
      <c r="CA214" s="414">
        <f>$CZ$172</f>
        <v>0</v>
      </c>
      <c r="CB214" s="414">
        <f>$DA$172</f>
        <v>0</v>
      </c>
      <c r="CC214" s="415">
        <f>$DB$172</f>
        <v>0</v>
      </c>
      <c r="CD214" s="298"/>
      <c r="CE214" s="245"/>
      <c r="CF214" s="245"/>
      <c r="CG214" s="245"/>
      <c r="CH214" s="245"/>
      <c r="CI214" s="245"/>
      <c r="CJ214" s="245"/>
      <c r="CK214" s="245"/>
      <c r="CQ214" s="34"/>
      <c r="CX214" s="34"/>
      <c r="CY214" s="34"/>
      <c r="CZ214" s="34"/>
      <c r="DA214" s="34"/>
      <c r="DB214" s="34"/>
      <c r="DC214" s="34"/>
      <c r="FR214" s="34"/>
      <c r="FS214" s="34"/>
      <c r="FT214" s="34"/>
      <c r="FU214" s="34"/>
      <c r="FV214" s="34"/>
      <c r="FW214" s="34"/>
      <c r="FX214" s="34"/>
      <c r="FY214" s="34"/>
      <c r="FZ214" s="34"/>
      <c r="GA214" s="34"/>
    </row>
    <row r="215" spans="1:183" ht="31" customHeight="1" thickBot="1">
      <c r="A215" s="129"/>
      <c r="B215" s="129"/>
      <c r="C215" s="129"/>
      <c r="D215" s="128"/>
      <c r="E215" s="129"/>
      <c r="F215" s="128"/>
      <c r="G215" s="128"/>
      <c r="H215" s="129"/>
      <c r="K215" s="375"/>
      <c r="L215" s="376" t="str">
        <f>IFERROR(INDEX(TableAccessoryTriplets,MATCH(L207,AccessoryTriplets,0)+2,4),"")</f>
        <v/>
      </c>
      <c r="M215" s="376"/>
      <c r="N215" s="376"/>
      <c r="O215" s="376"/>
      <c r="P215" s="376"/>
      <c r="Q215" s="377"/>
      <c r="R215" s="306"/>
      <c r="S215" s="307"/>
      <c r="T215" s="308"/>
      <c r="U215" s="304"/>
      <c r="V215" s="304"/>
      <c r="W215" s="378"/>
      <c r="Y215" s="375"/>
      <c r="Z215" s="376" t="str">
        <f>IFERROR(INDEX(TableAccessoryTriplets,MATCH(Z207,AccessoryTriplets,0)+2,4),"")</f>
        <v>keep rib cage locked down to pelvis</v>
      </c>
      <c r="AA215" s="376"/>
      <c r="AB215" s="376"/>
      <c r="AC215" s="376"/>
      <c r="AD215" s="376"/>
      <c r="AE215" s="376"/>
      <c r="AF215" s="376"/>
      <c r="AG215" s="377"/>
      <c r="AH215" s="304"/>
      <c r="AI215" s="304"/>
      <c r="AJ215" s="306"/>
      <c r="AK215" s="307"/>
      <c r="AL215" s="308"/>
      <c r="AM215" s="378"/>
      <c r="AO215" s="375"/>
      <c r="AP215" s="376" t="str">
        <f>IFERROR(INDEX(TableAccessoryTriplets,MATCH(AP207,AccessoryTriplets,0)+2,4),"")</f>
        <v/>
      </c>
      <c r="AQ215" s="376"/>
      <c r="AR215" s="376"/>
      <c r="AS215" s="376"/>
      <c r="AT215" s="376"/>
      <c r="AU215" s="376"/>
      <c r="AV215" s="376"/>
      <c r="AW215" s="377"/>
      <c r="AX215" s="304"/>
      <c r="AY215" s="304"/>
      <c r="AZ215" s="304"/>
      <c r="BA215" s="378"/>
      <c r="BB215" s="36"/>
      <c r="BD215" s="34"/>
      <c r="BE215" s="34"/>
      <c r="BF215" s="416">
        <f>[2]VBT!B20</f>
        <v>0.8571428571428571</v>
      </c>
      <c r="BG215" s="417">
        <f>[2]VBT!C20</f>
        <v>120</v>
      </c>
      <c r="BH215" s="418" t="str">
        <f>[2]VBT!D20</f>
        <v/>
      </c>
      <c r="BI215" s="418">
        <f>[2]VBT!E20</f>
        <v>0</v>
      </c>
      <c r="BJ215" s="418" t="e">
        <f>[2]VBT!F20</f>
        <v>#N/A</v>
      </c>
      <c r="BK215" s="418" t="e">
        <f>[2]VBT!G20</f>
        <v>#N/A</v>
      </c>
      <c r="BL215" s="418" t="e">
        <f>[2]VBT!H20</f>
        <v>#N/A</v>
      </c>
      <c r="BM215" s="419" t="e">
        <f>[2]VBT!I20</f>
        <v>#N/A</v>
      </c>
      <c r="BX215" s="407"/>
      <c r="BY215" s="420" t="s">
        <v>303</v>
      </c>
      <c r="BZ215" s="409" t="e">
        <f>$BT$99</f>
        <v>#N/A</v>
      </c>
      <c r="CA215" s="409">
        <f>$BU$100</f>
        <v>0</v>
      </c>
      <c r="CB215" s="409">
        <f>$BV$100</f>
        <v>0</v>
      </c>
      <c r="CC215" s="410">
        <f>$BW$100</f>
        <v>0</v>
      </c>
      <c r="CD215" s="245"/>
      <c r="CE215" s="245"/>
      <c r="CF215" s="245"/>
      <c r="CG215" s="245"/>
      <c r="CH215" s="245"/>
      <c r="CI215" s="245"/>
      <c r="CJ215" s="245"/>
      <c r="CK215" s="245"/>
      <c r="CQ215" s="34"/>
      <c r="CX215" s="34"/>
      <c r="CY215" s="34"/>
      <c r="CZ215" s="34"/>
      <c r="DA215" s="34"/>
      <c r="DB215" s="34"/>
      <c r="DC215" s="34"/>
      <c r="FR215" s="34"/>
      <c r="FS215" s="34"/>
      <c r="FT215" s="34"/>
      <c r="FU215" s="34"/>
      <c r="FV215" s="34"/>
      <c r="FW215" s="34"/>
      <c r="FX215" s="34"/>
      <c r="FY215" s="34"/>
      <c r="FZ215" s="34"/>
      <c r="GA215" s="34"/>
    </row>
    <row r="216" spans="1:183" ht="19" customHeight="1">
      <c r="L216" s="133"/>
      <c r="M216" s="133"/>
      <c r="N216" s="133"/>
      <c r="O216" s="133"/>
      <c r="P216" s="133"/>
      <c r="Q216" s="133"/>
      <c r="R216" s="133"/>
      <c r="S216" s="133"/>
      <c r="T216" s="133"/>
      <c r="U216" s="133"/>
      <c r="V216" s="133"/>
      <c r="W216" s="133"/>
      <c r="X216" s="133"/>
      <c r="Y216" s="133"/>
      <c r="AA216" s="36"/>
      <c r="AC216" s="36"/>
      <c r="AJ216" s="36"/>
      <c r="AL216" s="36"/>
      <c r="AU216" s="36"/>
      <c r="BB216" s="36"/>
      <c r="BD216" s="34"/>
      <c r="BE216" s="34"/>
      <c r="BF216" s="245"/>
      <c r="BG216" s="245"/>
      <c r="BH216" s="245"/>
      <c r="BI216" s="245"/>
      <c r="BJ216" s="245"/>
      <c r="BK216" s="245"/>
      <c r="BL216" s="245"/>
      <c r="BM216" s="245"/>
      <c r="BN216" s="245"/>
      <c r="BO216" s="245"/>
      <c r="BP216" s="245"/>
      <c r="BQ216" s="245"/>
      <c r="BR216" s="245"/>
      <c r="BS216" s="245"/>
      <c r="BT216" s="245"/>
      <c r="BU216" s="245"/>
      <c r="BV216" s="245"/>
      <c r="BW216" s="245"/>
      <c r="BX216" s="245"/>
      <c r="BY216" s="245"/>
      <c r="BZ216" s="245"/>
      <c r="CA216" s="245"/>
      <c r="CB216" s="245"/>
      <c r="CC216" s="245"/>
      <c r="CD216" s="245"/>
      <c r="CE216" s="245"/>
      <c r="CF216" s="245"/>
      <c r="CG216" s="245"/>
      <c r="CH216" s="245"/>
      <c r="CI216" s="245"/>
      <c r="CJ216" s="245"/>
      <c r="CK216" s="245"/>
      <c r="CQ216" s="34"/>
      <c r="CX216" s="34"/>
      <c r="CY216" s="34"/>
      <c r="CZ216" s="34"/>
      <c r="DA216" s="34"/>
      <c r="DB216" s="34"/>
      <c r="DC216" s="34"/>
      <c r="FR216" s="34"/>
      <c r="FS216" s="34"/>
      <c r="FT216" s="34"/>
      <c r="FU216" s="34"/>
      <c r="FV216" s="34"/>
      <c r="FW216" s="34"/>
      <c r="FX216" s="34"/>
      <c r="FY216" s="34"/>
      <c r="FZ216" s="34"/>
      <c r="GA216" s="34"/>
    </row>
    <row r="217" spans="1:183" ht="31" customHeight="1">
      <c r="J217" s="34"/>
      <c r="K217" s="34"/>
      <c r="L217" s="34"/>
      <c r="M217" s="34"/>
      <c r="N217" s="34"/>
      <c r="O217" s="34"/>
      <c r="P217" s="34"/>
      <c r="Q217" s="34"/>
      <c r="R217" s="34"/>
      <c r="S217" s="34"/>
      <c r="T217" s="34"/>
      <c r="U217" s="34"/>
      <c r="V217" s="34"/>
      <c r="W217" s="34"/>
      <c r="X217" s="34"/>
      <c r="Y217" s="34"/>
      <c r="Z217" s="34"/>
      <c r="AA217" s="34"/>
      <c r="AB217" s="34"/>
      <c r="AC217" s="34"/>
      <c r="AD217" s="34"/>
      <c r="AE217" s="34"/>
      <c r="AF217" s="34"/>
      <c r="AG217" s="34"/>
      <c r="AH217" s="34"/>
      <c r="AI217" s="34"/>
      <c r="AJ217" s="34"/>
      <c r="AK217" s="34"/>
      <c r="AL217" s="34"/>
      <c r="AM217" s="34"/>
      <c r="AN217" s="34"/>
      <c r="AO217" s="34"/>
      <c r="AP217" s="34"/>
      <c r="AQ217" s="34"/>
      <c r="AR217" s="34"/>
      <c r="AS217" s="34"/>
      <c r="AT217" s="34"/>
      <c r="AU217" s="34"/>
      <c r="AV217" s="34"/>
      <c r="AW217" s="34"/>
      <c r="AX217" s="34"/>
      <c r="AY217" s="34"/>
      <c r="AZ217" s="34"/>
      <c r="BA217" s="34"/>
      <c r="BB217" s="34"/>
      <c r="BC217" s="34"/>
      <c r="BD217" s="34"/>
      <c r="BE217" s="34"/>
      <c r="BF217" s="34"/>
      <c r="BG217" s="34"/>
      <c r="BH217" s="34"/>
      <c r="BI217" s="34"/>
      <c r="BJ217" s="34"/>
      <c r="BK217" s="34"/>
      <c r="BL217" s="34"/>
      <c r="BM217" s="34"/>
      <c r="BN217" s="34"/>
      <c r="BO217" s="34"/>
      <c r="BP217" s="34"/>
      <c r="BQ217" s="34"/>
      <c r="BR217" s="34"/>
      <c r="BS217" s="34"/>
      <c r="BT217" s="34"/>
      <c r="BU217" s="34"/>
      <c r="BV217" s="34"/>
      <c r="BW217" s="34"/>
      <c r="BX217" s="34"/>
      <c r="BY217" s="34"/>
      <c r="BZ217" s="34"/>
      <c r="CA217" s="34"/>
      <c r="CB217" s="34"/>
      <c r="CC217" s="34"/>
      <c r="CD217" s="34"/>
      <c r="CE217" s="34"/>
      <c r="CF217" s="34"/>
      <c r="CG217" s="34"/>
      <c r="CH217" s="34"/>
      <c r="CI217" s="34"/>
      <c r="CJ217" s="34"/>
      <c r="CK217" s="34"/>
      <c r="CQ217" s="34"/>
      <c r="CX217" s="34"/>
      <c r="CY217" s="34"/>
      <c r="CZ217" s="34"/>
      <c r="DA217" s="34"/>
      <c r="DB217" s="34"/>
      <c r="DC217" s="34"/>
    </row>
    <row r="218" spans="1:183" ht="31" customHeight="1">
      <c r="J218" s="34"/>
      <c r="K218" s="34"/>
      <c r="L218" s="34"/>
      <c r="M218" s="34"/>
      <c r="N218" s="34"/>
      <c r="O218" s="34"/>
      <c r="P218" s="34"/>
      <c r="Q218" s="34"/>
      <c r="R218" s="34"/>
      <c r="S218" s="34"/>
      <c r="T218" s="34"/>
      <c r="U218" s="34"/>
      <c r="V218" s="34"/>
      <c r="W218" s="34"/>
      <c r="X218" s="34"/>
      <c r="Y218" s="34"/>
      <c r="Z218" s="34"/>
      <c r="AA218" s="34"/>
      <c r="AB218" s="34"/>
      <c r="AC218" s="34"/>
      <c r="AD218" s="34"/>
      <c r="AE218" s="34"/>
      <c r="AF218" s="34"/>
      <c r="AG218" s="34"/>
      <c r="AH218" s="34"/>
      <c r="AI218" s="34"/>
      <c r="AJ218" s="34"/>
      <c r="AK218" s="34"/>
      <c r="AL218" s="34"/>
      <c r="AM218" s="34"/>
      <c r="AN218" s="34"/>
      <c r="AO218" s="34"/>
      <c r="AP218" s="34"/>
      <c r="AQ218" s="34"/>
      <c r="AR218" s="34"/>
      <c r="AS218" s="34"/>
      <c r="AT218" s="34"/>
      <c r="AU218" s="34"/>
      <c r="AV218" s="34"/>
      <c r="AW218" s="34"/>
      <c r="AX218" s="34"/>
      <c r="AY218" s="34"/>
      <c r="AZ218" s="34"/>
      <c r="BA218" s="34"/>
      <c r="BB218" s="34"/>
      <c r="BC218" s="34"/>
      <c r="BD218" s="34"/>
      <c r="BE218" s="34"/>
      <c r="BF218" s="34"/>
      <c r="BG218" s="34"/>
      <c r="BH218" s="34"/>
      <c r="BI218" s="34"/>
      <c r="BJ218" s="34"/>
      <c r="BK218" s="34"/>
      <c r="BL218" s="34"/>
      <c r="BM218" s="34"/>
      <c r="BN218" s="34"/>
      <c r="BO218" s="34"/>
      <c r="BP218" s="34"/>
      <c r="BQ218" s="34"/>
      <c r="BR218" s="34"/>
      <c r="BS218" s="34"/>
      <c r="BT218" s="34"/>
      <c r="BU218" s="34"/>
      <c r="BV218" s="34"/>
      <c r="BW218" s="34"/>
      <c r="BX218" s="34"/>
      <c r="BY218" s="34"/>
      <c r="BZ218" s="34"/>
      <c r="CA218" s="34"/>
      <c r="CB218" s="34"/>
      <c r="CC218" s="34"/>
      <c r="CD218" s="34"/>
      <c r="CE218" s="34"/>
      <c r="CF218" s="34"/>
      <c r="CG218" s="34"/>
      <c r="CH218" s="34"/>
      <c r="CI218" s="34"/>
      <c r="CJ218" s="34"/>
      <c r="CK218" s="34"/>
      <c r="CQ218" s="34"/>
      <c r="CX218" s="34"/>
      <c r="CY218" s="34"/>
      <c r="CZ218" s="34"/>
      <c r="DA218" s="34"/>
      <c r="DB218" s="34"/>
      <c r="DC218" s="34"/>
    </row>
    <row r="219" spans="1:183" ht="31" customHeight="1">
      <c r="J219" s="34"/>
      <c r="K219" s="34"/>
      <c r="L219" s="34"/>
      <c r="M219" s="34"/>
      <c r="N219" s="34"/>
      <c r="O219" s="34"/>
      <c r="P219" s="34"/>
      <c r="Q219" s="34"/>
      <c r="R219" s="34"/>
      <c r="S219" s="34"/>
      <c r="T219" s="34"/>
      <c r="U219" s="34"/>
      <c r="V219" s="34"/>
      <c r="W219" s="421" t="str">
        <f>$K$61</f>
        <v>Lift 1</v>
      </c>
      <c r="X219" s="34"/>
      <c r="Y219" s="34"/>
      <c r="Z219" s="34"/>
      <c r="AA219" s="34"/>
      <c r="AB219" s="34"/>
      <c r="AC219" s="34"/>
      <c r="AD219" s="34"/>
      <c r="AE219" s="34"/>
      <c r="AF219" s="421" t="str">
        <f>$K$61</f>
        <v>Lift 1</v>
      </c>
      <c r="AG219" s="34"/>
      <c r="AH219" s="34"/>
      <c r="AI219" s="34"/>
      <c r="AJ219" s="34"/>
      <c r="AK219" s="34"/>
      <c r="AL219" s="34"/>
      <c r="AM219" s="34"/>
      <c r="AN219" s="34"/>
      <c r="AO219" s="421" t="str">
        <f>$K$61</f>
        <v>Lift 1</v>
      </c>
      <c r="AP219" s="34"/>
      <c r="AQ219" s="34"/>
      <c r="AR219" s="34"/>
      <c r="AS219" s="34"/>
      <c r="AT219" s="34"/>
      <c r="AU219" s="34"/>
      <c r="AV219" s="34"/>
      <c r="AW219" s="34"/>
      <c r="AX219" s="421" t="str">
        <f>$K$61</f>
        <v>Lift 1</v>
      </c>
      <c r="AY219" s="34"/>
      <c r="AZ219" s="34"/>
      <c r="BA219" s="34"/>
      <c r="BB219" s="34"/>
      <c r="BC219" s="34"/>
      <c r="BD219" s="34"/>
      <c r="BE219" s="34"/>
      <c r="BF219" s="34"/>
      <c r="BG219" s="34"/>
      <c r="BH219" s="34"/>
      <c r="BI219" s="34"/>
      <c r="BJ219" s="34"/>
      <c r="BK219" s="34"/>
      <c r="BL219" s="34"/>
      <c r="BM219" s="34"/>
      <c r="BN219" s="34"/>
      <c r="BO219" s="34"/>
      <c r="BP219" s="34"/>
      <c r="BQ219" s="34"/>
      <c r="BR219" s="34"/>
      <c r="BS219" s="34"/>
      <c r="BT219" s="34"/>
      <c r="BU219" s="34"/>
      <c r="BV219" s="34"/>
      <c r="BW219" s="34"/>
      <c r="BX219" s="34"/>
      <c r="BY219" s="34"/>
      <c r="BZ219" s="34"/>
      <c r="CA219" s="34"/>
      <c r="CB219" s="34"/>
      <c r="CC219" s="34"/>
      <c r="CD219" s="34"/>
      <c r="CE219" s="34"/>
      <c r="CF219" s="34"/>
      <c r="CG219" s="34"/>
      <c r="CH219" s="34"/>
      <c r="CI219" s="34"/>
      <c r="CJ219" s="34"/>
      <c r="CK219" s="34"/>
      <c r="CX219" s="34"/>
      <c r="CY219" s="34"/>
      <c r="CZ219" s="34"/>
      <c r="DA219" s="34"/>
      <c r="DB219" s="34"/>
      <c r="DC219" s="34"/>
    </row>
    <row r="220" spans="1:183" ht="31" customHeight="1">
      <c r="J220" s="34"/>
      <c r="K220" s="34"/>
      <c r="L220" s="34"/>
      <c r="M220" s="34"/>
      <c r="N220" s="34"/>
      <c r="O220" s="34"/>
      <c r="P220" s="34"/>
      <c r="Q220" s="34"/>
      <c r="R220" s="34"/>
      <c r="S220" s="34"/>
      <c r="T220" s="34"/>
      <c r="U220" s="34"/>
      <c r="V220" s="34"/>
      <c r="W220" s="422" t="s">
        <v>302</v>
      </c>
      <c r="X220" s="422" t="s">
        <v>0</v>
      </c>
      <c r="Y220" s="34"/>
      <c r="Z220" s="34"/>
      <c r="AA220" s="34"/>
      <c r="AB220" s="34"/>
      <c r="AC220" s="34"/>
      <c r="AD220" s="34"/>
      <c r="AE220" s="34"/>
      <c r="AF220" s="422" t="s">
        <v>302</v>
      </c>
      <c r="AG220" s="422" t="s">
        <v>1</v>
      </c>
      <c r="AH220" s="34"/>
      <c r="AI220" s="34"/>
      <c r="AJ220" s="34"/>
      <c r="AK220" s="34"/>
      <c r="AL220" s="34"/>
      <c r="AM220" s="34"/>
      <c r="AN220" s="34"/>
      <c r="AO220" s="422" t="s">
        <v>302</v>
      </c>
      <c r="AP220" s="422" t="s">
        <v>2</v>
      </c>
      <c r="AQ220" s="34"/>
      <c r="AR220" s="34"/>
      <c r="AS220" s="34"/>
      <c r="AT220" s="34"/>
      <c r="AU220" s="34"/>
      <c r="AV220" s="34"/>
      <c r="AW220" s="34"/>
      <c r="AX220" s="422" t="s">
        <v>302</v>
      </c>
      <c r="AY220" s="422" t="s">
        <v>2</v>
      </c>
      <c r="AZ220" s="34"/>
      <c r="BA220" s="34"/>
      <c r="BB220" s="34"/>
      <c r="BC220" s="34"/>
      <c r="BD220" s="34"/>
      <c r="BE220" s="34"/>
      <c r="BF220" s="34"/>
      <c r="BG220" s="34"/>
      <c r="BH220" s="34"/>
      <c r="BI220" s="34"/>
      <c r="BJ220" s="34"/>
      <c r="BK220" s="34"/>
      <c r="BL220" s="34"/>
      <c r="BM220" s="34"/>
      <c r="BN220" s="34"/>
      <c r="BO220" s="34"/>
      <c r="BP220" s="34"/>
      <c r="BQ220" s="34"/>
      <c r="BR220" s="34"/>
      <c r="BS220" s="34"/>
      <c r="BT220" s="34"/>
      <c r="BU220" s="34"/>
      <c r="BV220" s="34"/>
      <c r="BW220" s="34"/>
      <c r="BX220" s="34"/>
      <c r="BY220" s="34"/>
      <c r="BZ220" s="34"/>
      <c r="CA220" s="34"/>
      <c r="CB220" s="34"/>
      <c r="CC220" s="34"/>
      <c r="CD220" s="34"/>
      <c r="CE220" s="34"/>
      <c r="CF220" s="34"/>
      <c r="CG220" s="34"/>
      <c r="CH220" s="34"/>
      <c r="CI220" s="34"/>
      <c r="CJ220" s="34"/>
      <c r="CK220" s="34"/>
      <c r="CX220" s="34"/>
      <c r="CY220" s="34"/>
      <c r="CZ220" s="34"/>
      <c r="DA220" s="34"/>
      <c r="DB220" s="34"/>
      <c r="DC220" s="34"/>
    </row>
    <row r="221" spans="1:183" ht="19" customHeight="1">
      <c r="J221" s="34"/>
      <c r="K221" s="34"/>
      <c r="L221" s="34"/>
      <c r="M221" s="34"/>
      <c r="N221" s="34"/>
      <c r="O221" s="34"/>
      <c r="P221" s="34"/>
      <c r="Q221" s="34"/>
      <c r="R221" s="34"/>
      <c r="S221" s="34"/>
      <c r="T221" s="34"/>
      <c r="U221" s="34"/>
      <c r="V221" s="34"/>
      <c r="W221" s="423" t="s">
        <v>309</v>
      </c>
      <c r="X221" s="423">
        <f>IF($B$63="PE",(BH$64),0)+IF($B$65="PE",(BH$66),0)+IF($B$67="PE",(BH$68),0)+IF($B$69="PE",(BH$70),0)+IF($B$71="PE",(BH$72),0)+IF($B$73="PE",(BH$74),0)+IF($B$75="PE",(BH$76),0)+IF($B$77="PE",(BH$78),0)</f>
        <v>0</v>
      </c>
      <c r="Y221" s="34"/>
      <c r="Z221" s="34"/>
      <c r="AA221" s="34"/>
      <c r="AB221" s="34"/>
      <c r="AC221" s="34"/>
      <c r="AD221" s="34"/>
      <c r="AE221" s="34"/>
      <c r="AF221" s="423" t="s">
        <v>309</v>
      </c>
      <c r="AG221" s="423">
        <f>IF($B$63="PE",(BI64),0)+IF($B$65="PE",(BI66),0)+IF($B$67="PE",(BI68),0)+IF($B$69="PE",(BI70),0)+IF($B$71="PE",(BI72),0)+IF($B$73="PE",(BI74),0)+IF($B$75="PE",(BI76),0)+IF($B$77="PE",(BI78),0)</f>
        <v>0</v>
      </c>
      <c r="AH221" s="34"/>
      <c r="AI221" s="34"/>
      <c r="AJ221" s="34"/>
      <c r="AK221" s="34"/>
      <c r="AL221" s="34"/>
      <c r="AM221" s="34"/>
      <c r="AN221" s="34"/>
      <c r="AO221" s="423" t="s">
        <v>309</v>
      </c>
      <c r="AP221" s="423">
        <f>IF($B$63="PE",(BJ64),0)+IF($B$65="PE",(BJ66),0)+IF($B$67="PE",(BJ68),0)+IF($B$69="PE",(BJ70),0)+IF($B$71="PE",(BJ72),0)+IF($B$73="PE",(BJ74),0)+IF($B$75="PE",(BJ76),0)+IF($B$77="PE",(BJ78),0)</f>
        <v>0</v>
      </c>
      <c r="AQ221" s="34"/>
      <c r="AR221" s="34"/>
      <c r="AS221" s="34"/>
      <c r="AT221" s="34"/>
      <c r="AU221" s="34"/>
      <c r="AV221" s="34"/>
      <c r="AW221" s="34"/>
      <c r="AX221" s="423" t="s">
        <v>309</v>
      </c>
      <c r="AY221" s="423">
        <f>IF($B$63="PE",(BK64),0)+IF($B$65="PE",(BK66),0)+IF($B$67="PE",(BK68),0)+IF($B$69="PE",(BK70),0)+IF($B$71="PE",(BK72),0)+IF($B$73="PE",(BK74),0)+IF($B$75="PE",(BK76),0)+IF($B$77="PE",(BK78),0)</f>
        <v>0</v>
      </c>
      <c r="AZ221" s="34"/>
      <c r="BA221" s="34"/>
      <c r="BB221" s="34"/>
      <c r="BC221" s="34"/>
      <c r="BD221" s="34"/>
      <c r="BE221" s="34"/>
      <c r="BF221" s="34"/>
      <c r="BG221" s="34"/>
      <c r="BH221" s="34"/>
      <c r="BI221" s="34"/>
      <c r="BJ221" s="34"/>
      <c r="BK221" s="34"/>
      <c r="BL221" s="34"/>
      <c r="BM221" s="34"/>
      <c r="BN221" s="34"/>
      <c r="BO221" s="34"/>
      <c r="BP221" s="34"/>
      <c r="BQ221" s="34"/>
      <c r="BR221" s="34"/>
      <c r="BS221" s="34"/>
      <c r="BT221" s="34"/>
      <c r="BU221" s="34"/>
      <c r="BV221" s="34"/>
      <c r="BW221" s="34"/>
      <c r="BX221" s="34"/>
      <c r="BY221" s="34"/>
      <c r="BZ221" s="34"/>
      <c r="CA221" s="34"/>
      <c r="CB221" s="34"/>
      <c r="CC221" s="34"/>
      <c r="CD221" s="34"/>
      <c r="CE221" s="34"/>
      <c r="CF221" s="34"/>
      <c r="CG221" s="34"/>
      <c r="CH221" s="34"/>
      <c r="CI221" s="34"/>
      <c r="CJ221" s="34"/>
      <c r="CK221" s="34"/>
      <c r="CX221" s="34"/>
      <c r="CY221" s="34"/>
      <c r="CZ221" s="34"/>
      <c r="DA221" s="34"/>
      <c r="DB221" s="34"/>
      <c r="DC221" s="34"/>
    </row>
    <row r="222" spans="1:183" ht="34" customHeight="1">
      <c r="J222" s="34"/>
      <c r="K222" s="34"/>
      <c r="L222" s="34"/>
      <c r="M222" s="34"/>
      <c r="N222" s="34"/>
      <c r="O222" s="34"/>
      <c r="P222" s="34"/>
      <c r="Q222" s="34"/>
      <c r="R222" s="34"/>
      <c r="S222" s="34"/>
      <c r="T222" s="34"/>
      <c r="U222" s="34"/>
      <c r="V222" s="34"/>
      <c r="W222" s="423" t="s">
        <v>311</v>
      </c>
      <c r="X222" s="423">
        <f>IF($B$63="DE",(BH$64),0)+IF($B$65="DE",(BH$66),0)+IF($B$67="DE",(BH$68),0)+IF($B$69="DE",(BH$70),0)+IF($B$71="DE",(BH$72),0)+IF($B$73="DE",(BH$74),0)+IF($B$75="DE",(BH$76),0)+IF($B$77="DE",(BH$78),0)</f>
        <v>0</v>
      </c>
      <c r="Y222" s="34"/>
      <c r="Z222" s="34"/>
      <c r="AA222" s="34"/>
      <c r="AB222" s="34"/>
      <c r="AC222" s="34"/>
      <c r="AD222" s="34"/>
      <c r="AE222" s="34"/>
      <c r="AF222" s="423" t="s">
        <v>311</v>
      </c>
      <c r="AG222" s="423">
        <f>IF($B$63="DE",(BI$64),0)+IF($B$65="DE",(BI$66),0)+IF($B$67="DE",(BI$68),0)+IF($B$69="DE",(BI$70),0)+IF($B$71="DE",(BI$72),0)+IF($B$73="DE",(BI$74),0)+IF($B$75="DE",(BI$76),0)+IF($B$77="DE",(BI$78),0)</f>
        <v>0</v>
      </c>
      <c r="AH222" s="34"/>
      <c r="AI222" s="34"/>
      <c r="AJ222" s="34"/>
      <c r="AK222" s="34"/>
      <c r="AL222" s="34"/>
      <c r="AM222" s="34"/>
      <c r="AN222" s="34"/>
      <c r="AO222" s="423" t="s">
        <v>311</v>
      </c>
      <c r="AP222" s="423">
        <f>IF($B$63="DE",(BJ$64),0)+IF($B$65="DE",(BJ$66),0)+IF($B$67="DE",(BJ$68),0)+IF($B$69="DE",(BJ$70),0)+IF($B$71="DE",(BJ$72),0)+IF($B$73="DE",(BJ$74),0)+IF($B$75="DE",(BJ$76),0)+IF($B$77="DE",(BJ$78),0)</f>
        <v>0</v>
      </c>
      <c r="AQ222" s="34"/>
      <c r="AR222" s="34"/>
      <c r="AS222" s="34"/>
      <c r="AT222" s="34"/>
      <c r="AU222" s="34"/>
      <c r="AV222" s="34"/>
      <c r="AW222" s="34"/>
      <c r="AX222" s="423" t="s">
        <v>311</v>
      </c>
      <c r="AY222" s="423">
        <f>IF($B$63="DE",(BK$64),0)+IF($B$65="DE",(BK$66),0)+IF($B$67="DE",(BK$68),0)+IF($B$69="DE",(BK$70),0)+IF($B$71="DE",(BK$72),0)+IF($B$73="DE",(BK$74),0)+IF($B$75="DE",(BK$76),0)+IF($B$77="DE",(BK$78),0)</f>
        <v>0</v>
      </c>
      <c r="AZ222" s="34"/>
      <c r="BA222" s="34"/>
      <c r="BB222" s="34"/>
      <c r="BC222" s="34"/>
      <c r="BD222" s="34"/>
      <c r="BE222" s="34"/>
      <c r="BF222" s="34"/>
      <c r="BG222" s="34"/>
      <c r="BH222" s="34"/>
      <c r="BI222" s="34"/>
      <c r="BJ222" s="34"/>
      <c r="BK222" s="34"/>
      <c r="BL222" s="34"/>
      <c r="BM222" s="34"/>
      <c r="BN222" s="34"/>
      <c r="BO222" s="34"/>
      <c r="BP222" s="34"/>
      <c r="BQ222" s="34"/>
      <c r="BR222" s="34"/>
      <c r="BS222" s="34"/>
      <c r="BT222" s="34"/>
      <c r="BU222" s="34"/>
      <c r="BV222" s="34"/>
      <c r="BW222" s="34"/>
      <c r="BX222" s="34"/>
      <c r="BY222" s="34"/>
      <c r="BZ222" s="34"/>
      <c r="CA222" s="34"/>
      <c r="CB222" s="34"/>
      <c r="CC222" s="34"/>
      <c r="CD222" s="34"/>
      <c r="CE222" s="34"/>
      <c r="CF222" s="34"/>
      <c r="CG222" s="34"/>
      <c r="CH222" s="34"/>
      <c r="CI222" s="34"/>
      <c r="CJ222" s="34"/>
      <c r="CK222" s="34"/>
      <c r="CX222" s="34"/>
      <c r="CY222" s="34"/>
      <c r="CZ222" s="34"/>
      <c r="DA222" s="34"/>
      <c r="DB222" s="34"/>
      <c r="DC222" s="34"/>
    </row>
    <row r="223" spans="1:183" ht="24" customHeight="1">
      <c r="J223" s="34"/>
      <c r="K223" s="34"/>
      <c r="L223" s="34"/>
      <c r="M223" s="34"/>
      <c r="N223" s="34"/>
      <c r="O223" s="34"/>
      <c r="P223" s="34"/>
      <c r="Q223" s="34"/>
      <c r="R223" s="34"/>
      <c r="S223" s="34"/>
      <c r="T223" s="34"/>
      <c r="U223" s="34"/>
      <c r="V223" s="34"/>
      <c r="W223" s="423" t="s">
        <v>317</v>
      </c>
      <c r="X223" s="423">
        <f>IF($B$63="ME",(BH$64),0)+IF($B$65="ME",(BH$66),0)+IF($B$67="ME",(BH$68),0)+IF($B$69="ME",(BH$70),0)+IF($B$71="ME",(BH$72),0)+IF($B$73="ME",(BH$74),0)+IF($B$75="ME",(BH$76),0)+IF($B$77="ME",(BH$78),0)</f>
        <v>0</v>
      </c>
      <c r="Y223" s="34"/>
      <c r="Z223" s="34"/>
      <c r="AA223" s="34"/>
      <c r="AB223" s="34"/>
      <c r="AC223" s="34"/>
      <c r="AD223" s="34"/>
      <c r="AE223" s="34"/>
      <c r="AF223" s="423" t="s">
        <v>317</v>
      </c>
      <c r="AG223" s="423">
        <f>IF($B$63="ME",(BI$64),0)+IF($B$65="ME",(BI$66),0)+IF($B$67="ME",(BI$68),0)+IF($B$69="ME",(BI$70),0)+IF($B$71="ME",(BI$72),0)+IF($B$73="ME",(BI$74),0)+IF($B$75="ME",(BI$76),0)+IF($B$77="ME",(BI$78),0)</f>
        <v>0</v>
      </c>
      <c r="AH223" s="34"/>
      <c r="AI223" s="34"/>
      <c r="AJ223" s="34"/>
      <c r="AK223" s="34"/>
      <c r="AL223" s="34"/>
      <c r="AM223" s="34"/>
      <c r="AN223" s="34"/>
      <c r="AO223" s="423" t="s">
        <v>317</v>
      </c>
      <c r="AP223" s="423">
        <f>IF($B$63="ME",(BJ$64),0)+IF($B$65="ME",(BJ$66),0)+IF($B$67="ME",(BJ$68),0)+IF($B$69="ME",(BJ$70),0)+IF($B$71="ME",(BJ$72),0)+IF($B$73="ME",(BJ$74),0)+IF($B$75="ME",(BJ$76),0)+IF($B$77="ME",(BJ$78),0)</f>
        <v>0</v>
      </c>
      <c r="AQ223" s="34"/>
      <c r="AR223" s="34"/>
      <c r="AS223" s="34"/>
      <c r="AT223" s="34"/>
      <c r="AU223" s="34"/>
      <c r="AV223" s="34"/>
      <c r="AW223" s="34"/>
      <c r="AX223" s="423" t="s">
        <v>317</v>
      </c>
      <c r="AY223" s="423">
        <f>IF($B$63="ME",(BK$64),0)+IF($B$65="ME",(BK$66),0)+IF($B$67="ME",(BK$68),0)+IF($B$69="ME",(BK$70),0)+IF($B$71="ME",(BK$72),0)+IF($B$73="ME",(BK$74),0)+IF($B$75="ME",(BK$76),0)+IF($B$77="ME",(BK$78),0)</f>
        <v>0</v>
      </c>
      <c r="AZ223" s="34"/>
      <c r="BA223" s="34"/>
      <c r="BB223" s="34"/>
      <c r="BC223" s="34"/>
      <c r="BD223" s="34"/>
      <c r="BE223" s="34"/>
      <c r="BF223" s="34"/>
      <c r="BG223" s="34"/>
      <c r="BH223" s="34"/>
      <c r="BI223" s="34"/>
      <c r="BJ223" s="34"/>
      <c r="BK223" s="34"/>
      <c r="BL223" s="34"/>
      <c r="BM223" s="34"/>
      <c r="BN223" s="34"/>
      <c r="BO223" s="34"/>
      <c r="BP223" s="34"/>
      <c r="BQ223" s="34"/>
      <c r="BR223" s="34"/>
      <c r="BS223" s="34"/>
      <c r="BT223" s="34"/>
      <c r="BU223" s="34"/>
      <c r="BV223" s="34"/>
      <c r="BW223" s="34"/>
      <c r="BX223" s="34"/>
      <c r="BY223" s="34"/>
      <c r="BZ223" s="34"/>
      <c r="CA223" s="34"/>
      <c r="CB223" s="34"/>
      <c r="CC223" s="34"/>
      <c r="CD223" s="34"/>
      <c r="CE223" s="34"/>
      <c r="CF223" s="34"/>
      <c r="CG223" s="34"/>
      <c r="CH223" s="34"/>
      <c r="CI223" s="34"/>
      <c r="CJ223" s="34"/>
      <c r="CK223" s="34"/>
      <c r="CX223" s="34"/>
      <c r="CY223" s="34"/>
      <c r="CZ223" s="34"/>
      <c r="DA223" s="34"/>
      <c r="DB223" s="34"/>
      <c r="DC223" s="34"/>
    </row>
    <row r="224" spans="1:183" ht="24" customHeight="1">
      <c r="J224" s="34"/>
      <c r="K224" s="34"/>
      <c r="L224" s="34"/>
      <c r="M224" s="34"/>
      <c r="N224" s="34"/>
      <c r="O224" s="34"/>
      <c r="P224" s="34"/>
      <c r="Q224" s="34"/>
      <c r="R224" s="34"/>
      <c r="S224" s="34"/>
      <c r="T224" s="34"/>
      <c r="U224" s="34"/>
      <c r="V224" s="34"/>
      <c r="W224" s="423" t="s">
        <v>244</v>
      </c>
      <c r="X224" s="423">
        <f>IF($B$63="RE",(BH$64),0)+IF($B$65="RE",(BH$66),0)+IF($B$67="RE",(BH$68),0)+IF($B$69="RE",(BH$70),0)+IF($B$71="RE",(BH$72),0)+IF($B$73="RE",(BH$74),0)+IF($B$75="RE",(BH$76),0)+IF($B$77="RE",(BH$78),0)</f>
        <v>0</v>
      </c>
      <c r="Y224" s="34"/>
      <c r="Z224" s="34"/>
      <c r="AA224" s="34"/>
      <c r="AB224" s="34"/>
      <c r="AC224" s="34"/>
      <c r="AD224" s="34"/>
      <c r="AE224" s="34"/>
      <c r="AF224" s="423" t="s">
        <v>244</v>
      </c>
      <c r="AG224" s="423">
        <f>IF($B$63="RE",(BI$64),0)+IF($B$65="RE",(BI$66),0)+IF($B$67="RE",(BI$68),0)+IF($B$69="RE",(BI$70),0)+IF($B$71="RE",(BI$72),0)+IF($B$73="RE",(BI$74),0)+IF($B$75="RE",(BI$76),0)+IF($B$77="RE",(BI$78),0)</f>
        <v>0</v>
      </c>
      <c r="AH224" s="34"/>
      <c r="AI224" s="34"/>
      <c r="AJ224" s="34"/>
      <c r="AK224" s="34"/>
      <c r="AL224" s="34"/>
      <c r="AM224" s="34"/>
      <c r="AN224" s="34"/>
      <c r="AO224" s="423" t="s">
        <v>244</v>
      </c>
      <c r="AP224" s="423">
        <f>IF($B$63="RE",(BJ$64),0)+IF($B$65="RE",(BJ$66),0)+IF($B$67="RE",(BJ$68),0)+IF($B$69="RE",(BJ$70),0)+IF($B$71="RE",(BJ$72),0)+IF($B$73="RE",(BJ$74),0)+IF($B$75="RE",(BJ$76),0)+IF($B$77="RE",(BJ$78),0)</f>
        <v>0</v>
      </c>
      <c r="AQ224" s="34"/>
      <c r="AR224" s="34"/>
      <c r="AS224" s="34"/>
      <c r="AT224" s="34"/>
      <c r="AU224" s="34"/>
      <c r="AV224" s="34"/>
      <c r="AW224" s="34"/>
      <c r="AX224" s="423" t="s">
        <v>244</v>
      </c>
      <c r="AY224" s="423">
        <f>IF($B$63="RE",(BK$64),0)+IF($B$65="RE",(BK$66),0)+IF($B$67="RE",(BK$68),0)+IF($B$69="RE",(BK$70),0)+IF($B$71="RE",(BK$72),0)+IF($B$73="RE",(BK$74),0)+IF($B$75="RE",(BK$76),0)+IF($B$77="RE",(BK$78),0)</f>
        <v>0</v>
      </c>
      <c r="AZ224" s="34"/>
      <c r="BA224" s="34"/>
      <c r="BB224" s="34"/>
      <c r="BC224" s="34"/>
      <c r="BD224" s="34"/>
      <c r="BE224" s="34"/>
      <c r="BF224" s="34"/>
      <c r="BG224" s="34"/>
      <c r="BH224" s="34"/>
      <c r="BI224" s="34"/>
      <c r="BJ224" s="34"/>
      <c r="BK224" s="34"/>
      <c r="BL224" s="34"/>
      <c r="BM224" s="34"/>
      <c r="BN224" s="34"/>
      <c r="BO224" s="34"/>
      <c r="BP224" s="34"/>
      <c r="BQ224" s="34"/>
      <c r="BR224" s="34"/>
      <c r="BS224" s="34"/>
      <c r="BT224" s="34"/>
      <c r="BU224" s="34"/>
      <c r="BV224" s="34"/>
      <c r="BW224" s="34"/>
      <c r="BX224" s="34"/>
      <c r="BY224" s="34"/>
      <c r="BZ224" s="34"/>
      <c r="CA224" s="34"/>
      <c r="CB224" s="34"/>
      <c r="CC224" s="34"/>
      <c r="CD224" s="34"/>
      <c r="CE224" s="34"/>
      <c r="CF224" s="34"/>
      <c r="CG224" s="34"/>
      <c r="CH224" s="34"/>
      <c r="CI224" s="34"/>
      <c r="CJ224" s="34"/>
      <c r="CK224" s="34"/>
      <c r="CX224" s="34"/>
      <c r="CY224" s="34"/>
      <c r="CZ224" s="34"/>
      <c r="DA224" s="34"/>
      <c r="DB224" s="34"/>
      <c r="DC224" s="34"/>
    </row>
    <row r="225" spans="10:183" ht="24" customHeight="1">
      <c r="J225" s="34"/>
      <c r="K225" s="34"/>
      <c r="L225" s="34"/>
      <c r="M225" s="34"/>
      <c r="N225" s="34"/>
      <c r="O225" s="34"/>
      <c r="P225" s="34"/>
      <c r="Q225" s="34"/>
      <c r="R225" s="34"/>
      <c r="S225" s="34"/>
      <c r="T225" s="34"/>
      <c r="U225" s="34"/>
      <c r="V225" s="34"/>
      <c r="W225" s="423" t="s">
        <v>321</v>
      </c>
      <c r="X225" s="423">
        <f>SUM(X221:X224)</f>
        <v>0</v>
      </c>
      <c r="Y225" s="34"/>
      <c r="Z225" s="34"/>
      <c r="AA225" s="34"/>
      <c r="AB225" s="34"/>
      <c r="AC225" s="34"/>
      <c r="AD225" s="34"/>
      <c r="AE225" s="34"/>
      <c r="AF225" s="423" t="s">
        <v>321</v>
      </c>
      <c r="AG225" s="423">
        <f>SUM(AG221:AG224)</f>
        <v>0</v>
      </c>
      <c r="AH225" s="34"/>
      <c r="AI225" s="34"/>
      <c r="AJ225" s="34"/>
      <c r="AK225" s="34"/>
      <c r="AL225" s="34"/>
      <c r="AM225" s="34"/>
      <c r="AN225" s="34"/>
      <c r="AO225" s="423" t="s">
        <v>321</v>
      </c>
      <c r="AP225" s="423">
        <f>SUM(AP221:AP224)</f>
        <v>0</v>
      </c>
      <c r="AQ225" s="34"/>
      <c r="AR225" s="34"/>
      <c r="AS225" s="34"/>
      <c r="AT225" s="34"/>
      <c r="AU225" s="34"/>
      <c r="AV225" s="34"/>
      <c r="AW225" s="34"/>
      <c r="AX225" s="423" t="s">
        <v>321</v>
      </c>
      <c r="AY225" s="423">
        <f>SUM(AY221:AY224)</f>
        <v>0</v>
      </c>
      <c r="AZ225" s="34"/>
      <c r="BA225" s="34"/>
      <c r="BB225" s="34"/>
      <c r="BC225" s="34"/>
      <c r="BD225" s="34"/>
      <c r="BE225" s="34"/>
      <c r="BF225" s="34"/>
      <c r="BG225" s="34"/>
      <c r="BH225" s="34"/>
      <c r="BI225" s="34"/>
      <c r="BJ225" s="34"/>
      <c r="BK225" s="34"/>
      <c r="BL225" s="34"/>
      <c r="BM225" s="34"/>
      <c r="BN225" s="34"/>
      <c r="BO225" s="34"/>
      <c r="BP225" s="34"/>
      <c r="BQ225" s="34"/>
      <c r="BR225" s="34"/>
      <c r="BS225" s="34"/>
      <c r="BT225" s="34"/>
      <c r="BU225" s="34"/>
      <c r="BV225" s="34"/>
      <c r="BW225" s="34"/>
      <c r="BX225" s="34"/>
      <c r="BY225" s="34"/>
      <c r="BZ225" s="34"/>
      <c r="CA225" s="34"/>
      <c r="CB225" s="34"/>
      <c r="CC225" s="34"/>
      <c r="CD225" s="34"/>
      <c r="CE225" s="34"/>
      <c r="CF225" s="34"/>
      <c r="CG225" s="34"/>
      <c r="CH225" s="34"/>
      <c r="CI225" s="34"/>
      <c r="CJ225" s="34"/>
      <c r="CK225" s="34"/>
      <c r="CX225" s="34"/>
      <c r="CY225" s="34"/>
      <c r="CZ225" s="34"/>
      <c r="DA225" s="34"/>
      <c r="DB225" s="34"/>
      <c r="DC225" s="34"/>
    </row>
    <row r="226" spans="10:183" s="34" customFormat="1" ht="24" customHeight="1">
      <c r="W226" s="35"/>
      <c r="X226" s="35"/>
      <c r="AF226" s="35"/>
      <c r="AG226" s="35"/>
      <c r="AO226" s="35"/>
      <c r="AP226" s="35"/>
      <c r="AX226" s="35"/>
      <c r="AY226" s="35"/>
      <c r="FR226" s="36"/>
      <c r="FS226" s="36"/>
      <c r="FT226" s="36"/>
      <c r="FU226" s="36"/>
      <c r="FV226" s="36"/>
      <c r="FW226" s="36"/>
      <c r="FX226" s="36"/>
      <c r="FY226" s="36"/>
      <c r="FZ226" s="36"/>
      <c r="GA226" s="36"/>
    </row>
    <row r="227" spans="10:183" s="34" customFormat="1" ht="24" customHeight="1">
      <c r="W227" s="421" t="str">
        <f>$K$81</f>
        <v>Lift 2</v>
      </c>
      <c r="AF227" s="421" t="str">
        <f>$K$81</f>
        <v>Lift 2</v>
      </c>
      <c r="AO227" s="421" t="str">
        <f>$K$81</f>
        <v>Lift 2</v>
      </c>
      <c r="AX227" s="421" t="str">
        <f>$K$81</f>
        <v>Lift 2</v>
      </c>
      <c r="FR227" s="36"/>
      <c r="FS227" s="36"/>
      <c r="FT227" s="36"/>
      <c r="FU227" s="36"/>
      <c r="FV227" s="36"/>
      <c r="FW227" s="36"/>
      <c r="FX227" s="36"/>
      <c r="FY227" s="36"/>
      <c r="FZ227" s="36"/>
      <c r="GA227" s="36"/>
    </row>
    <row r="228" spans="10:183" s="34" customFormat="1" ht="24" customHeight="1">
      <c r="W228" s="422" t="s">
        <v>302</v>
      </c>
      <c r="X228" s="422" t="s">
        <v>0</v>
      </c>
      <c r="AF228" s="422" t="s">
        <v>302</v>
      </c>
      <c r="AG228" s="422" t="s">
        <v>1</v>
      </c>
      <c r="AO228" s="422" t="s">
        <v>302</v>
      </c>
      <c r="AP228" s="422" t="s">
        <v>2</v>
      </c>
      <c r="AX228" s="422" t="s">
        <v>302</v>
      </c>
      <c r="AY228" s="422" t="s">
        <v>2</v>
      </c>
      <c r="FR228" s="36"/>
      <c r="FS228" s="36"/>
      <c r="FT228" s="36"/>
      <c r="FU228" s="36"/>
      <c r="FV228" s="36"/>
      <c r="FW228" s="36"/>
      <c r="FX228" s="36"/>
      <c r="FY228" s="36"/>
      <c r="FZ228" s="36"/>
      <c r="GA228" s="36"/>
    </row>
    <row r="229" spans="10:183" s="34" customFormat="1" ht="24" customHeight="1">
      <c r="W229" s="423" t="s">
        <v>309</v>
      </c>
      <c r="X229" s="423">
        <f>IF($B$83="PE",(BH$84),0)+IF($B$85="PE",(BH$86),0)+IF($B$87="PE",(BH$88),0)+IF($B$89="PE",(BH$90),0)+IF($B$91="PE",(BH$92),0)+IF($B$93="PE",(BH$94),0)+IF($B$95="PE",(BH$96),0)+IF($B$97="PE",(BH$98),0)</f>
        <v>0</v>
      </c>
      <c r="AF229" s="423" t="s">
        <v>309</v>
      </c>
      <c r="AG229" s="423">
        <f>IF($B$83="PE",(BI$84),0)+IF($B$85="PE",(BI$86),0)+IF($B$87="PE",(BI$88),0)+IF($B$89="PE",(BI$90),0)+IF($B$91="PE",(BI$92),0)+IF($B$93="PE",(BI$94),0)+IF($B$95="PE",(BI$96),0)+IF($B$97="PE",(BI$98),0)</f>
        <v>0</v>
      </c>
      <c r="AO229" s="423" t="s">
        <v>309</v>
      </c>
      <c r="AP229" s="423" t="e">
        <f>IF($B$83="PE",(BJ$84),0)+IF($B$85="PE",(BJ$86),0)+IF($B$87="PE",(BJ$88),0)+IF($B$89="PE",(BJ$90),0)+IF($B$91="PE",(BJ$92),0)+IF($B$93="PE",(BJ$94),0)+IF($B$95="PE",(BJ$96),0)+IF($B$97="PE",(BJ$98),0)</f>
        <v>#VALUE!</v>
      </c>
      <c r="AX229" s="423" t="s">
        <v>309</v>
      </c>
      <c r="AY229" s="423" t="e">
        <f>IF($B$83="PE",(BK$84),0)+IF($B$85="PE",(BK$86),0)+IF($B$87="PE",(BK$88),0)+IF($B$89="PE",(BK$90),0)+IF($B$91="PE",(BK$92),0)+IF($B$93="PE",(BK$94),0)+IF($B$95="PE",(BK$96),0)+IF($B$97="PE",(BK$98),0)</f>
        <v>#VALUE!</v>
      </c>
      <c r="FR229" s="36"/>
      <c r="FS229" s="36"/>
      <c r="FT229" s="36"/>
      <c r="FU229" s="36"/>
      <c r="FV229" s="36"/>
      <c r="FW229" s="36"/>
      <c r="FX229" s="36"/>
      <c r="FY229" s="36"/>
      <c r="FZ229" s="36"/>
      <c r="GA229" s="36"/>
    </row>
    <row r="230" spans="10:183" s="34" customFormat="1" ht="24" customHeight="1">
      <c r="W230" s="423" t="s">
        <v>311</v>
      </c>
      <c r="X230" s="423">
        <f>IF($B$83="DE",(BH$84),0)+IF($B$85="DE",(BH$86),0)+IF($B$87="DE",(BH$88),0)+IF($B$89="DE",(BH$90),0)+IF($B$91="DE",(BH$92),0)+IF($B$93="DE",(BH$94),0)+IF($B$95="DE",(BH$96),0)+IF($B$97="DE",(BH$98),0)</f>
        <v>0</v>
      </c>
      <c r="AF230" s="423" t="s">
        <v>311</v>
      </c>
      <c r="AG230" s="423">
        <f>IF($B$83="DE",(BI$84),0)+IF($B$85="DE",(BI$86),0)+IF($B$87="DE",(BI$88),0)+IF($B$89="DE",(BI$90),0)+IF($B$91="DE",(BI$92),0)+IF($B$93="DE",(BI$94),0)+IF($B$95="DE",(BI$96),0)+IF($B$97="DE",(BI$98),0)</f>
        <v>0</v>
      </c>
      <c r="AO230" s="423" t="s">
        <v>311</v>
      </c>
      <c r="AP230" s="423">
        <f>IF($B$83="DE",(BJ$84),0)+IF($B$85="DE",(BJ$86),0)+IF($B$87="DE",(BJ$88),0)+IF($B$89="DE",(BJ$90),0)+IF($B$91="DE",(BJ$92),0)+IF($B$93="DE",(BJ$94),0)+IF($B$95="DE",(BJ$96),0)+IF($B$97="DE",(BJ$98),0)</f>
        <v>0</v>
      </c>
      <c r="AX230" s="423" t="s">
        <v>311</v>
      </c>
      <c r="AY230" s="423">
        <f>IF($B$83="DE",(BK$84),0)+IF($B$85="DE",(BK$86),0)+IF($B$87="DE",(BK$88),0)+IF($B$89="DE",(BK$90),0)+IF($B$91="DE",(BK$92),0)+IF($B$93="DE",(BK$94),0)+IF($B$95="DE",(BK$96),0)+IF($B$97="DE",(BK$98),0)</f>
        <v>0</v>
      </c>
      <c r="FR230" s="36"/>
      <c r="FS230" s="36"/>
      <c r="FT230" s="36"/>
      <c r="FU230" s="36"/>
      <c r="FV230" s="36"/>
      <c r="FW230" s="36"/>
      <c r="FX230" s="36"/>
      <c r="FY230" s="36"/>
      <c r="FZ230" s="36"/>
      <c r="GA230" s="36"/>
    </row>
    <row r="231" spans="10:183" s="34" customFormat="1" ht="24" customHeight="1">
      <c r="W231" s="423" t="s">
        <v>317</v>
      </c>
      <c r="X231" s="423">
        <f>IF($B$83="ME",(BH$84),0)+IF($B$85="ME",(BH$86),0)+IF($B$87="ME",(BH$88),0)+IF($B$89="ME",(BH$90),0)+IF($B$91="ME",(BH$92),0)+IF($B$93="ME",(BH$94),0)+IF($B$95="ME",(BH$96),0)+IF($B$97="ME",(BH$98),0)</f>
        <v>0</v>
      </c>
      <c r="AF231" s="423" t="s">
        <v>317</v>
      </c>
      <c r="AG231" s="423">
        <f>IF($B$83="ME",(BI$84),0)+IF($B$85="ME",(BI$86),0)+IF($B$87="ME",(BI$88),0)+IF($B$89="ME",(BI$90),0)+IF($B$91="ME",(BI$92),0)+IF($B$93="ME",(BI$94),0)+IF($B$95="ME",(BI$96),0)+IF($B$97="ME",(BI$98),0)</f>
        <v>0</v>
      </c>
      <c r="AO231" s="423" t="s">
        <v>317</v>
      </c>
      <c r="AP231" s="423">
        <f>IF($B$83="ME",(BJ$84),0)+IF($B$85="ME",(BJ$86),0)+IF($B$87="ME",(BJ$88),0)+IF($B$89="ME",(BJ$90),0)+IF($B$91="ME",(BJ$92),0)+IF($B$93="ME",(BJ$94),0)+IF($B$95="ME",(BJ$96),0)+IF($B$97="ME",(BJ$98),0)</f>
        <v>0</v>
      </c>
      <c r="AX231" s="423" t="s">
        <v>317</v>
      </c>
      <c r="AY231" s="423">
        <f>IF($B$83="ME",(BK$84),0)+IF($B$85="ME",(BK$86),0)+IF($B$87="ME",(BK$88),0)+IF($B$89="ME",(BK$90),0)+IF($B$91="ME",(BK$92),0)+IF($B$93="ME",(BK$94),0)+IF($B$95="ME",(BK$96),0)+IF($B$97="ME",(BK$98),0)</f>
        <v>0</v>
      </c>
      <c r="FR231" s="36"/>
      <c r="FS231" s="36"/>
      <c r="FT231" s="36"/>
      <c r="FU231" s="36"/>
      <c r="FV231" s="36"/>
      <c r="FW231" s="36"/>
      <c r="FX231" s="36"/>
      <c r="FY231" s="36"/>
      <c r="FZ231" s="36"/>
      <c r="GA231" s="36"/>
    </row>
    <row r="232" spans="10:183" s="34" customFormat="1" ht="24" customHeight="1">
      <c r="W232" s="423" t="s">
        <v>244</v>
      </c>
      <c r="X232" s="423">
        <f>IF($B$83="RE",(BH$84),0)+IF($B$85="RE",(BH$86),0)+IF($B$87="RE",(BH$88),0)+IF($B$89="RE",(BH$90),0)+IF($B$91="RE",(BH$92),0)+IF($B$93="RE",(BH$94),0)+IF($B$95="RE",(BH$96),0)+IF($B$97="RE",(BH$98),0)</f>
        <v>0</v>
      </c>
      <c r="AF232" s="423" t="s">
        <v>244</v>
      </c>
      <c r="AG232" s="423">
        <f>IF($B$83="RE",(BI$84),0)+IF($B$85="RE",(BI$86),0)+IF($B$87="RE",(BI$88),0)+IF($B$89="RE",(BI$90),0)+IF($B$91="RE",(BI$92),0)+IF($B$93="RE",(BI$94),0)+IF($B$95="RE",(BI$96),0)+IF($B$97="RE",(BI$98),0)</f>
        <v>0</v>
      </c>
      <c r="AO232" s="423" t="s">
        <v>244</v>
      </c>
      <c r="AP232" s="423">
        <f>IF($B$83="RE",(BJ$84),0)+IF($B$85="RE",(BJ$86),0)+IF($B$87="RE",(BJ$88),0)+IF($B$89="RE",(BJ$90),0)+IF($B$91="RE",(BJ$92),0)+IF($B$93="RE",(BJ$94),0)+IF($B$95="RE",(BJ$96),0)+IF($B$97="RE",(BJ$98),0)</f>
        <v>0</v>
      </c>
      <c r="AX232" s="423" t="s">
        <v>244</v>
      </c>
      <c r="AY232" s="423">
        <f>IF($B$83="RE",(BK$84),0)+IF($B$85="RE",(BK$86),0)+IF($B$87="RE",(BK$88),0)+IF($B$89="RE",(BK$90),0)+IF($B$91="RE",(BK$92),0)+IF($B$93="RE",(BK$94),0)+IF($B$95="RE",(BK$96),0)+IF($B$97="RE",(BK$98),0)</f>
        <v>0</v>
      </c>
      <c r="FR232" s="36"/>
      <c r="FS232" s="36"/>
      <c r="FT232" s="36"/>
      <c r="FU232" s="36"/>
      <c r="FV232" s="36"/>
      <c r="FW232" s="36"/>
      <c r="FX232" s="36"/>
      <c r="FY232" s="36"/>
      <c r="FZ232" s="36"/>
      <c r="GA232" s="36"/>
    </row>
    <row r="233" spans="10:183" s="34" customFormat="1" ht="24" customHeight="1">
      <c r="W233" s="423" t="s">
        <v>321</v>
      </c>
      <c r="X233" s="423">
        <f>SUM(X229:X232)</f>
        <v>0</v>
      </c>
      <c r="AF233" s="423" t="s">
        <v>321</v>
      </c>
      <c r="AG233" s="423">
        <f>SUM(AG229:AG232)</f>
        <v>0</v>
      </c>
      <c r="AO233" s="423" t="s">
        <v>321</v>
      </c>
      <c r="AP233" s="423" t="e">
        <f>SUM(AP229:AP232)</f>
        <v>#VALUE!</v>
      </c>
      <c r="AX233" s="423" t="s">
        <v>321</v>
      </c>
      <c r="AY233" s="423" t="e">
        <f>SUM(AY229:AY232)</f>
        <v>#VALUE!</v>
      </c>
      <c r="FR233" s="36"/>
      <c r="FS233" s="36"/>
      <c r="FT233" s="36"/>
      <c r="FU233" s="36"/>
      <c r="FV233" s="36"/>
      <c r="FW233" s="36"/>
      <c r="FX233" s="36"/>
      <c r="FY233" s="36"/>
      <c r="FZ233" s="36"/>
      <c r="GA233" s="36"/>
    </row>
    <row r="234" spans="10:183" s="34" customFormat="1" ht="38" customHeight="1">
      <c r="FR234" s="36"/>
      <c r="FS234" s="36"/>
      <c r="FT234" s="36"/>
      <c r="FU234" s="36"/>
      <c r="FV234" s="36"/>
      <c r="FW234" s="36"/>
      <c r="FX234" s="36"/>
      <c r="FY234" s="36"/>
      <c r="FZ234" s="36"/>
      <c r="GA234" s="36"/>
    </row>
    <row r="235" spans="10:183" s="34" customFormat="1" ht="15" customHeight="1" thickBot="1">
      <c r="FR235" s="36"/>
      <c r="FS235" s="36"/>
      <c r="FT235" s="36"/>
      <c r="FU235" s="36"/>
      <c r="FV235" s="36"/>
      <c r="FW235" s="36"/>
      <c r="FX235" s="36"/>
      <c r="FY235" s="36"/>
      <c r="FZ235" s="36"/>
      <c r="GA235" s="36"/>
    </row>
    <row r="236" spans="10:183" s="34" customFormat="1" ht="53" customHeight="1">
      <c r="U236" s="424" t="s">
        <v>398</v>
      </c>
      <c r="V236" s="425"/>
      <c r="W236" s="425"/>
      <c r="X236" s="425"/>
      <c r="Y236" s="425"/>
      <c r="Z236" s="425"/>
      <c r="AA236" s="425"/>
      <c r="AB236" s="425"/>
      <c r="AC236" s="425"/>
      <c r="AD236" s="425"/>
      <c r="AE236" s="425"/>
      <c r="AF236" s="425"/>
      <c r="AG236" s="425"/>
      <c r="AH236" s="425"/>
      <c r="AI236" s="425"/>
      <c r="AJ236" s="425"/>
      <c r="AK236" s="425"/>
      <c r="AL236" s="425"/>
      <c r="AM236" s="425"/>
      <c r="AN236" s="425"/>
      <c r="AO236" s="425"/>
      <c r="AP236" s="425"/>
      <c r="AQ236" s="425"/>
      <c r="AR236" s="425"/>
      <c r="AS236" s="425"/>
      <c r="AT236" s="425"/>
      <c r="AU236" s="425"/>
      <c r="AV236" s="425"/>
      <c r="AW236" s="425"/>
      <c r="AX236" s="425"/>
      <c r="AY236" s="425"/>
      <c r="AZ236" s="425"/>
      <c r="BA236" s="425"/>
      <c r="BB236" s="425"/>
      <c r="BC236" s="425"/>
      <c r="BD236" s="426"/>
      <c r="BE236" s="427"/>
      <c r="FR236" s="36"/>
      <c r="FS236" s="36"/>
      <c r="FT236" s="36"/>
      <c r="FU236" s="36"/>
      <c r="FV236" s="36"/>
      <c r="FW236" s="36"/>
      <c r="FX236" s="36"/>
      <c r="FY236" s="36"/>
      <c r="FZ236" s="36"/>
      <c r="GA236" s="36"/>
    </row>
    <row r="237" spans="10:183" s="34" customFormat="1" ht="47">
      <c r="U237" s="428"/>
      <c r="V237" s="427"/>
      <c r="W237" s="427"/>
      <c r="X237" s="427"/>
      <c r="Y237" s="427"/>
      <c r="Z237" s="427"/>
      <c r="AA237" s="427"/>
      <c r="AB237" s="427"/>
      <c r="AC237" s="427"/>
      <c r="AD237" s="427"/>
      <c r="AE237" s="427"/>
      <c r="AF237" s="427"/>
      <c r="AG237" s="427"/>
      <c r="AH237" s="427"/>
      <c r="AI237" s="427"/>
      <c r="AJ237" s="427"/>
      <c r="AK237" s="427"/>
      <c r="AL237" s="427"/>
      <c r="AM237" s="427"/>
      <c r="AN237" s="427"/>
      <c r="AO237" s="427"/>
      <c r="AP237" s="427"/>
      <c r="AQ237" s="427"/>
      <c r="AR237" s="427"/>
      <c r="AS237" s="427"/>
      <c r="AT237" s="427"/>
      <c r="AU237" s="427"/>
      <c r="AV237" s="427"/>
      <c r="AW237" s="427"/>
      <c r="AX237" s="427"/>
      <c r="AY237" s="427"/>
      <c r="AZ237" s="427"/>
      <c r="BA237" s="427"/>
      <c r="BB237" s="427"/>
      <c r="BC237" s="427"/>
      <c r="BD237" s="429"/>
      <c r="FR237" s="36"/>
      <c r="FS237" s="36"/>
      <c r="FT237" s="36"/>
      <c r="FU237" s="36"/>
      <c r="FV237" s="36"/>
      <c r="FW237" s="36"/>
      <c r="FX237" s="36"/>
      <c r="FY237" s="36"/>
      <c r="FZ237" s="36"/>
      <c r="GA237" s="36"/>
    </row>
    <row r="238" spans="10:183" s="34" customFormat="1" ht="47" customHeight="1">
      <c r="U238" s="428"/>
      <c r="V238" s="427"/>
      <c r="W238" s="427"/>
      <c r="X238" s="427"/>
      <c r="Y238" s="427"/>
      <c r="Z238" s="427"/>
      <c r="AA238" s="427"/>
      <c r="AB238" s="427"/>
      <c r="AC238" s="427"/>
      <c r="AD238" s="427"/>
      <c r="AE238" s="427"/>
      <c r="AF238" s="427"/>
      <c r="AG238" s="427"/>
      <c r="AH238" s="427"/>
      <c r="AI238" s="427"/>
      <c r="AJ238" s="427"/>
      <c r="AK238" s="427"/>
      <c r="AL238" s="427"/>
      <c r="AM238" s="427"/>
      <c r="AN238" s="427"/>
      <c r="AO238" s="427"/>
      <c r="AP238" s="427"/>
      <c r="AQ238" s="427"/>
      <c r="AR238" s="427"/>
      <c r="AS238" s="427"/>
      <c r="AT238" s="427"/>
      <c r="AU238" s="427"/>
      <c r="AV238" s="427"/>
      <c r="AW238" s="427"/>
      <c r="AX238" s="427"/>
      <c r="AY238" s="427"/>
      <c r="AZ238" s="427"/>
      <c r="BA238" s="427"/>
      <c r="BB238" s="427"/>
      <c r="BC238" s="427"/>
      <c r="BD238" s="430"/>
      <c r="BE238" s="427"/>
      <c r="FR238" s="36"/>
      <c r="FS238" s="36"/>
      <c r="FT238" s="36"/>
      <c r="FU238" s="36"/>
      <c r="FV238" s="36"/>
      <c r="FW238" s="36"/>
      <c r="FX238" s="36"/>
      <c r="FY238" s="36"/>
      <c r="FZ238" s="36"/>
      <c r="GA238" s="36"/>
    </row>
    <row r="239" spans="10:183" s="34" customFormat="1" ht="47" customHeight="1">
      <c r="U239" s="428"/>
      <c r="V239" s="427"/>
      <c r="W239" s="427"/>
      <c r="X239" s="427"/>
      <c r="Y239" s="427"/>
      <c r="Z239" s="427"/>
      <c r="AA239" s="427"/>
      <c r="AB239" s="427"/>
      <c r="AC239" s="427"/>
      <c r="AD239" s="427"/>
      <c r="AE239" s="427"/>
      <c r="AF239" s="427"/>
      <c r="AG239" s="427"/>
      <c r="AH239" s="427"/>
      <c r="AI239" s="427"/>
      <c r="AJ239" s="427"/>
      <c r="AK239" s="427"/>
      <c r="AL239" s="427"/>
      <c r="AM239" s="427"/>
      <c r="AN239" s="427"/>
      <c r="AO239" s="427"/>
      <c r="AP239" s="427"/>
      <c r="AQ239" s="427"/>
      <c r="AR239" s="427"/>
      <c r="AS239" s="427"/>
      <c r="AT239" s="427"/>
      <c r="AU239" s="427"/>
      <c r="AV239" s="427"/>
      <c r="AW239" s="427"/>
      <c r="AX239" s="427"/>
      <c r="AY239" s="427"/>
      <c r="AZ239" s="427"/>
      <c r="BA239" s="427"/>
      <c r="BB239" s="427"/>
      <c r="BC239" s="427"/>
      <c r="BD239" s="430"/>
      <c r="BE239" s="427"/>
      <c r="FR239" s="36"/>
      <c r="FS239" s="36"/>
      <c r="FT239" s="36"/>
      <c r="FU239" s="36"/>
      <c r="FV239" s="36"/>
      <c r="FW239" s="36"/>
      <c r="FX239" s="36"/>
      <c r="FY239" s="36"/>
      <c r="FZ239" s="36"/>
      <c r="GA239" s="36"/>
    </row>
    <row r="240" spans="10:183" s="34" customFormat="1" ht="47" customHeight="1">
      <c r="U240" s="428"/>
      <c r="V240" s="427"/>
      <c r="W240" s="427"/>
      <c r="X240" s="427"/>
      <c r="Y240" s="427"/>
      <c r="Z240" s="427"/>
      <c r="AA240" s="427"/>
      <c r="AB240" s="427"/>
      <c r="AC240" s="427"/>
      <c r="AD240" s="427"/>
      <c r="AE240" s="427"/>
      <c r="AF240" s="427"/>
      <c r="AG240" s="427"/>
      <c r="AH240" s="427"/>
      <c r="AI240" s="427"/>
      <c r="AJ240" s="427"/>
      <c r="AK240" s="427"/>
      <c r="AL240" s="427"/>
      <c r="AM240" s="427"/>
      <c r="AN240" s="427"/>
      <c r="AO240" s="427"/>
      <c r="AP240" s="427"/>
      <c r="AQ240" s="427"/>
      <c r="AR240" s="427"/>
      <c r="AS240" s="427"/>
      <c r="AT240" s="427"/>
      <c r="AU240" s="427"/>
      <c r="AV240" s="427"/>
      <c r="AW240" s="427"/>
      <c r="AX240" s="427"/>
      <c r="AY240" s="427"/>
      <c r="AZ240" s="427"/>
      <c r="BA240" s="427"/>
      <c r="BB240" s="427"/>
      <c r="BC240" s="427"/>
      <c r="BD240" s="430"/>
      <c r="BE240" s="427"/>
      <c r="FR240" s="36"/>
      <c r="FS240" s="36"/>
      <c r="FT240" s="36"/>
      <c r="FU240" s="36"/>
      <c r="FV240" s="36"/>
      <c r="FW240" s="36"/>
      <c r="FX240" s="36"/>
      <c r="FY240" s="36"/>
      <c r="FZ240" s="36"/>
      <c r="GA240" s="36"/>
    </row>
    <row r="241" spans="21:183" s="34" customFormat="1" ht="47" customHeight="1">
      <c r="U241" s="431"/>
      <c r="W241" s="427"/>
      <c r="X241" s="427"/>
      <c r="Y241" s="427"/>
      <c r="Z241" s="427"/>
      <c r="AA241" s="427"/>
      <c r="AB241" s="427"/>
      <c r="AC241" s="427"/>
      <c r="AD241" s="427"/>
      <c r="AE241" s="427"/>
      <c r="AF241" s="427"/>
      <c r="AG241" s="427"/>
      <c r="AH241" s="427"/>
      <c r="AI241" s="427"/>
      <c r="AJ241" s="427"/>
      <c r="AK241" s="427"/>
      <c r="AL241" s="427"/>
      <c r="AM241" s="427"/>
      <c r="AN241" s="427"/>
      <c r="AO241" s="427"/>
      <c r="AP241" s="427"/>
      <c r="AQ241" s="427"/>
      <c r="AR241" s="427"/>
      <c r="AS241" s="427"/>
      <c r="AT241" s="427"/>
      <c r="AU241" s="427"/>
      <c r="AV241" s="427"/>
      <c r="AW241" s="427"/>
      <c r="AX241" s="427"/>
      <c r="AY241" s="427"/>
      <c r="AZ241" s="427"/>
      <c r="BA241" s="427"/>
      <c r="BB241" s="427"/>
      <c r="BC241" s="427"/>
      <c r="BD241" s="430"/>
      <c r="BE241" s="427"/>
      <c r="FR241" s="36"/>
      <c r="FS241" s="36"/>
      <c r="FT241" s="36"/>
      <c r="FU241" s="36"/>
      <c r="FV241" s="36"/>
      <c r="FW241" s="36"/>
      <c r="FX241" s="36"/>
      <c r="FY241" s="36"/>
      <c r="FZ241" s="36"/>
      <c r="GA241" s="36"/>
    </row>
    <row r="242" spans="21:183" s="34" customFormat="1" ht="23" customHeight="1">
      <c r="U242" s="431"/>
      <c r="W242" s="427"/>
      <c r="X242" s="427"/>
      <c r="Y242" s="427"/>
      <c r="Z242" s="427"/>
      <c r="AA242" s="427"/>
      <c r="AB242" s="427"/>
      <c r="AC242" s="427"/>
      <c r="AD242" s="427"/>
      <c r="AE242" s="427"/>
      <c r="AF242" s="427"/>
      <c r="AG242" s="427"/>
      <c r="AH242" s="427"/>
      <c r="AI242" s="427"/>
      <c r="AJ242" s="427"/>
      <c r="AK242" s="427"/>
      <c r="AL242" s="427"/>
      <c r="AM242" s="427"/>
      <c r="AN242" s="427"/>
      <c r="AO242" s="427"/>
      <c r="AP242" s="427"/>
      <c r="AQ242" s="427"/>
      <c r="AR242" s="427"/>
      <c r="AS242" s="427"/>
      <c r="AT242" s="427"/>
      <c r="AU242" s="427"/>
      <c r="AV242" s="427"/>
      <c r="AW242" s="427"/>
      <c r="AX242" s="427"/>
      <c r="AY242" s="427"/>
      <c r="AZ242" s="427"/>
      <c r="BA242" s="427"/>
      <c r="BB242" s="427"/>
      <c r="BC242" s="427"/>
      <c r="BD242" s="430"/>
      <c r="BE242" s="427"/>
      <c r="FR242" s="36"/>
      <c r="FS242" s="36"/>
      <c r="FT242" s="36"/>
      <c r="FU242" s="36"/>
      <c r="FV242" s="36"/>
      <c r="FW242" s="36"/>
      <c r="FX242" s="36"/>
      <c r="FY242" s="36"/>
      <c r="FZ242" s="36"/>
      <c r="GA242" s="36"/>
    </row>
    <row r="243" spans="21:183" s="34" customFormat="1" ht="23" customHeight="1">
      <c r="U243" s="431"/>
      <c r="W243" s="427"/>
      <c r="X243" s="427"/>
      <c r="Y243" s="427"/>
      <c r="Z243" s="427"/>
      <c r="AA243" s="427"/>
      <c r="AB243" s="427"/>
      <c r="AC243" s="427"/>
      <c r="AD243" s="427"/>
      <c r="AE243" s="427"/>
      <c r="AF243" s="427"/>
      <c r="AG243" s="427"/>
      <c r="AH243" s="427"/>
      <c r="AI243" s="427"/>
      <c r="AJ243" s="427"/>
      <c r="AK243" s="427"/>
      <c r="AL243" s="427"/>
      <c r="AM243" s="427"/>
      <c r="AN243" s="427"/>
      <c r="AO243" s="427"/>
      <c r="AP243" s="427"/>
      <c r="AQ243" s="427"/>
      <c r="AR243" s="427"/>
      <c r="AS243" s="427"/>
      <c r="AT243" s="427"/>
      <c r="AU243" s="427"/>
      <c r="AV243" s="427"/>
      <c r="AW243" s="427"/>
      <c r="AX243" s="427"/>
      <c r="AY243" s="427"/>
      <c r="AZ243" s="427"/>
      <c r="BA243" s="427"/>
      <c r="BB243" s="427"/>
      <c r="BC243" s="427"/>
      <c r="BD243" s="430"/>
      <c r="BE243" s="427"/>
      <c r="FR243" s="36"/>
      <c r="FS243" s="36"/>
      <c r="FT243" s="36"/>
      <c r="FU243" s="36"/>
      <c r="FV243" s="36"/>
      <c r="FW243" s="36"/>
      <c r="FX243" s="36"/>
      <c r="FY243" s="36"/>
      <c r="FZ243" s="36"/>
      <c r="GA243" s="36"/>
    </row>
    <row r="244" spans="21:183" s="34" customFormat="1" ht="23" customHeight="1">
      <c r="U244" s="431"/>
      <c r="W244" s="422" t="s">
        <v>302</v>
      </c>
      <c r="X244" s="422" t="s">
        <v>0</v>
      </c>
      <c r="Y244" s="422" t="s">
        <v>304</v>
      </c>
      <c r="AF244" s="422" t="s">
        <v>302</v>
      </c>
      <c r="AG244" s="422" t="s">
        <v>1</v>
      </c>
      <c r="AH244" s="422" t="s">
        <v>304</v>
      </c>
      <c r="AO244" s="422" t="s">
        <v>302</v>
      </c>
      <c r="AP244" s="422" t="s">
        <v>2</v>
      </c>
      <c r="AQ244" s="422" t="s">
        <v>304</v>
      </c>
      <c r="AX244" s="422" t="s">
        <v>302</v>
      </c>
      <c r="AY244" s="422" t="s">
        <v>2</v>
      </c>
      <c r="AZ244" s="422" t="s">
        <v>304</v>
      </c>
      <c r="BD244" s="430"/>
      <c r="BE244" s="427"/>
      <c r="FR244" s="36"/>
      <c r="FS244" s="36"/>
      <c r="FT244" s="36"/>
      <c r="FU244" s="36"/>
      <c r="FV244" s="36"/>
      <c r="FW244" s="36"/>
      <c r="FX244" s="36"/>
      <c r="FY244" s="36"/>
      <c r="FZ244" s="36"/>
      <c r="GA244" s="36"/>
    </row>
    <row r="245" spans="21:183" s="34" customFormat="1" ht="23" customHeight="1">
      <c r="U245" s="431"/>
      <c r="W245" s="423" t="s">
        <v>309</v>
      </c>
      <c r="X245" s="423">
        <f>SUM(X221,X229)</f>
        <v>0</v>
      </c>
      <c r="Y245" s="432" t="e">
        <f>(X245/$X$249)*100</f>
        <v>#DIV/0!</v>
      </c>
      <c r="AF245" s="423" t="s">
        <v>309</v>
      </c>
      <c r="AG245" s="423">
        <f>SUM(AG221,AG229)</f>
        <v>0</v>
      </c>
      <c r="AH245" s="432" t="e">
        <f>(AG245/$AG$249)*100</f>
        <v>#DIV/0!</v>
      </c>
      <c r="AO245" s="423" t="s">
        <v>309</v>
      </c>
      <c r="AP245" s="423" t="e">
        <f>SUM(AP221,AP229)</f>
        <v>#VALUE!</v>
      </c>
      <c r="AQ245" s="432" t="e">
        <f>(AP245/$AP$249)*100</f>
        <v>#VALUE!</v>
      </c>
      <c r="AX245" s="423" t="s">
        <v>309</v>
      </c>
      <c r="AY245" s="423" t="e">
        <f>SUM(AY221,AY229)</f>
        <v>#VALUE!</v>
      </c>
      <c r="AZ245" s="432" t="e">
        <f>(AY245/$AY$249)*100</f>
        <v>#VALUE!</v>
      </c>
      <c r="BD245" s="430"/>
      <c r="BE245" s="427"/>
      <c r="FR245" s="36"/>
      <c r="FS245" s="36"/>
      <c r="FT245" s="36"/>
      <c r="FU245" s="36"/>
      <c r="FV245" s="36"/>
      <c r="FW245" s="36"/>
      <c r="FX245" s="36"/>
      <c r="FY245" s="36"/>
      <c r="FZ245" s="36"/>
      <c r="GA245" s="36"/>
    </row>
    <row r="246" spans="21:183" s="34" customFormat="1" ht="23" customHeight="1">
      <c r="U246" s="431"/>
      <c r="W246" s="423" t="s">
        <v>311</v>
      </c>
      <c r="X246" s="423">
        <f>SUM(X222,X230)</f>
        <v>0</v>
      </c>
      <c r="Y246" s="432" t="e">
        <f>(X246/$X$249)*100</f>
        <v>#DIV/0!</v>
      </c>
      <c r="AF246" s="423" t="s">
        <v>311</v>
      </c>
      <c r="AG246" s="423">
        <f>SUM(AG222,AG230)</f>
        <v>0</v>
      </c>
      <c r="AH246" s="432" t="e">
        <f>(AG246/$AG$249)*100</f>
        <v>#DIV/0!</v>
      </c>
      <c r="AO246" s="423" t="s">
        <v>311</v>
      </c>
      <c r="AP246" s="423">
        <f>SUM(AP222,AP230)</f>
        <v>0</v>
      </c>
      <c r="AQ246" s="432" t="e">
        <f>(AP246/$AP$249)*100</f>
        <v>#VALUE!</v>
      </c>
      <c r="AX246" s="423" t="s">
        <v>311</v>
      </c>
      <c r="AY246" s="423">
        <f>SUM(AY222,AY230)</f>
        <v>0</v>
      </c>
      <c r="AZ246" s="432" t="e">
        <f>(AY246/$AY$249)*100</f>
        <v>#VALUE!</v>
      </c>
      <c r="BD246" s="429"/>
      <c r="FR246" s="36"/>
      <c r="FS246" s="36"/>
      <c r="FT246" s="36"/>
      <c r="FU246" s="36"/>
      <c r="FV246" s="36"/>
      <c r="FW246" s="36"/>
      <c r="FX246" s="36"/>
      <c r="FY246" s="36"/>
      <c r="FZ246" s="36"/>
      <c r="GA246" s="36"/>
    </row>
    <row r="247" spans="21:183" s="34" customFormat="1" ht="23" customHeight="1">
      <c r="U247" s="431"/>
      <c r="W247" s="423" t="s">
        <v>317</v>
      </c>
      <c r="X247" s="423">
        <f>SUM(X223,X231)</f>
        <v>0</v>
      </c>
      <c r="Y247" s="432" t="e">
        <f>(X247/$X$249)*100</f>
        <v>#DIV/0!</v>
      </c>
      <c r="AF247" s="423" t="s">
        <v>317</v>
      </c>
      <c r="AG247" s="423">
        <f>SUM(AG223,AG231)</f>
        <v>0</v>
      </c>
      <c r="AH247" s="432" t="e">
        <f>(AG247/$AG$249)*100</f>
        <v>#DIV/0!</v>
      </c>
      <c r="AO247" s="423" t="s">
        <v>317</v>
      </c>
      <c r="AP247" s="423">
        <f>SUM(AP223,AP231)</f>
        <v>0</v>
      </c>
      <c r="AQ247" s="432" t="e">
        <f>(AP247/$AP$249)*100</f>
        <v>#VALUE!</v>
      </c>
      <c r="AX247" s="423" t="s">
        <v>317</v>
      </c>
      <c r="AY247" s="423">
        <f>SUM(AY223,AY231)</f>
        <v>0</v>
      </c>
      <c r="AZ247" s="432" t="e">
        <f>(AY247/$AY$249)*100</f>
        <v>#VALUE!</v>
      </c>
      <c r="BD247" s="429"/>
      <c r="FR247" s="36"/>
      <c r="FS247" s="36"/>
      <c r="FT247" s="36"/>
      <c r="FU247" s="36"/>
      <c r="FV247" s="36"/>
      <c r="FW247" s="36"/>
      <c r="FX247" s="36"/>
      <c r="FY247" s="36"/>
      <c r="FZ247" s="36"/>
      <c r="GA247" s="36"/>
    </row>
    <row r="248" spans="21:183" s="34" customFormat="1" ht="24" customHeight="1">
      <c r="U248" s="431"/>
      <c r="W248" s="423" t="s">
        <v>244</v>
      </c>
      <c r="X248" s="423">
        <f>SUM(X224,X232)</f>
        <v>0</v>
      </c>
      <c r="Y248" s="432" t="e">
        <f>(X248/$X$249)*100</f>
        <v>#DIV/0!</v>
      </c>
      <c r="AF248" s="423" t="s">
        <v>244</v>
      </c>
      <c r="AG248" s="423">
        <f>SUM(AG224,AG232)</f>
        <v>0</v>
      </c>
      <c r="AH248" s="432" t="e">
        <f>(AG248/$AG$249)*100</f>
        <v>#DIV/0!</v>
      </c>
      <c r="AO248" s="423" t="s">
        <v>244</v>
      </c>
      <c r="AP248" s="423">
        <f>SUM(AP224,AP232)</f>
        <v>0</v>
      </c>
      <c r="AQ248" s="432" t="e">
        <f>(AP248/$AP$249)*100</f>
        <v>#VALUE!</v>
      </c>
      <c r="AX248" s="423" t="s">
        <v>244</v>
      </c>
      <c r="AY248" s="423">
        <f>SUM(AY224,AY232)</f>
        <v>0</v>
      </c>
      <c r="AZ248" s="432" t="e">
        <f>(AY248/$AY$249)*100</f>
        <v>#VALUE!</v>
      </c>
      <c r="BD248" s="429"/>
      <c r="FR248" s="36"/>
      <c r="FS248" s="36"/>
      <c r="FT248" s="36"/>
      <c r="FU248" s="36"/>
      <c r="FV248" s="36"/>
      <c r="FW248" s="36"/>
      <c r="FX248" s="36"/>
      <c r="FY248" s="36"/>
      <c r="FZ248" s="36"/>
      <c r="GA248" s="36"/>
    </row>
    <row r="249" spans="21:183" s="34" customFormat="1" ht="24" customHeight="1">
      <c r="U249" s="431"/>
      <c r="W249" s="423" t="s">
        <v>321</v>
      </c>
      <c r="X249" s="423">
        <f>SUM(X245:X248)</f>
        <v>0</v>
      </c>
      <c r="Y249" s="423"/>
      <c r="AF249" s="423" t="s">
        <v>321</v>
      </c>
      <c r="AG249" s="423">
        <f>SUM(AG245:AG248)</f>
        <v>0</v>
      </c>
      <c r="AH249" s="423"/>
      <c r="AO249" s="423" t="s">
        <v>321</v>
      </c>
      <c r="AP249" s="423" t="e">
        <f>SUM(AP245:AP248)</f>
        <v>#VALUE!</v>
      </c>
      <c r="AQ249" s="423"/>
      <c r="AX249" s="423" t="s">
        <v>321</v>
      </c>
      <c r="AY249" s="423" t="e">
        <f>SUM(AY245:AY248)</f>
        <v>#VALUE!</v>
      </c>
      <c r="AZ249" s="423"/>
      <c r="BD249" s="429"/>
      <c r="FR249" s="36"/>
      <c r="FS249" s="36"/>
      <c r="FT249" s="36"/>
      <c r="FU249" s="36"/>
      <c r="FV249" s="36"/>
      <c r="FW249" s="36"/>
      <c r="FX249" s="36"/>
      <c r="FY249" s="36"/>
      <c r="FZ249" s="36"/>
      <c r="GA249" s="36"/>
    </row>
    <row r="250" spans="21:183" s="34" customFormat="1" ht="24" customHeight="1">
      <c r="U250" s="431"/>
      <c r="BD250" s="429"/>
      <c r="FR250" s="36"/>
      <c r="FS250" s="36"/>
      <c r="FT250" s="36"/>
      <c r="FU250" s="36"/>
      <c r="FV250" s="36"/>
      <c r="FW250" s="36"/>
      <c r="FX250" s="36"/>
      <c r="FY250" s="36"/>
      <c r="FZ250" s="36"/>
      <c r="GA250" s="36"/>
    </row>
    <row r="251" spans="21:183" s="34" customFormat="1" ht="24" customHeight="1">
      <c r="U251" s="431"/>
      <c r="BD251" s="429"/>
      <c r="FR251" s="36"/>
      <c r="FS251" s="36"/>
      <c r="FT251" s="36"/>
      <c r="FU251" s="36"/>
      <c r="FV251" s="36"/>
      <c r="FW251" s="36"/>
      <c r="FX251" s="36"/>
      <c r="FY251" s="36"/>
      <c r="FZ251" s="36"/>
      <c r="GA251" s="36"/>
    </row>
    <row r="252" spans="21:183" s="34" customFormat="1" ht="25" customHeight="1">
      <c r="U252" s="431"/>
      <c r="BD252" s="429"/>
      <c r="FR252" s="36"/>
      <c r="FS252" s="36"/>
      <c r="FT252" s="36"/>
      <c r="FU252" s="36"/>
      <c r="FV252" s="36"/>
      <c r="FW252" s="36"/>
      <c r="FX252" s="36"/>
      <c r="FY252" s="36"/>
      <c r="FZ252" s="36"/>
      <c r="GA252" s="36"/>
    </row>
    <row r="253" spans="21:183" s="34" customFormat="1" ht="24" customHeight="1" thickBot="1">
      <c r="U253" s="433"/>
      <c r="V253" s="434"/>
      <c r="W253" s="434"/>
      <c r="X253" s="434"/>
      <c r="Y253" s="434"/>
      <c r="Z253" s="434"/>
      <c r="AA253" s="434"/>
      <c r="AB253" s="434"/>
      <c r="AC253" s="434"/>
      <c r="AD253" s="434"/>
      <c r="AE253" s="434"/>
      <c r="AF253" s="434"/>
      <c r="AG253" s="434"/>
      <c r="AH253" s="434"/>
      <c r="AI253" s="434"/>
      <c r="AJ253" s="434"/>
      <c r="AK253" s="434"/>
      <c r="AL253" s="434"/>
      <c r="AM253" s="434"/>
      <c r="AN253" s="434"/>
      <c r="AO253" s="434"/>
      <c r="AP253" s="434"/>
      <c r="AQ253" s="434"/>
      <c r="AR253" s="434"/>
      <c r="AS253" s="434"/>
      <c r="AT253" s="434"/>
      <c r="AU253" s="434"/>
      <c r="AV253" s="434"/>
      <c r="AW253" s="434"/>
      <c r="AX253" s="434"/>
      <c r="AY253" s="434"/>
      <c r="AZ253" s="434"/>
      <c r="BA253" s="434"/>
      <c r="BB253" s="434"/>
      <c r="BC253" s="434"/>
      <c r="BD253" s="435"/>
      <c r="CQ253" s="35"/>
      <c r="FR253" s="36"/>
      <c r="FS253" s="36"/>
      <c r="FT253" s="36"/>
      <c r="FU253" s="36"/>
      <c r="FV253" s="36"/>
      <c r="FW253" s="36"/>
      <c r="FX253" s="36"/>
      <c r="FY253" s="36"/>
      <c r="FZ253" s="36"/>
      <c r="GA253" s="36"/>
    </row>
    <row r="254" spans="21:183" s="34" customFormat="1" ht="24" customHeight="1">
      <c r="CQ254" s="35"/>
      <c r="FR254" s="36"/>
      <c r="FS254" s="36"/>
      <c r="FT254" s="36"/>
      <c r="FU254" s="36"/>
      <c r="FV254" s="36"/>
      <c r="FW254" s="36"/>
      <c r="FX254" s="36"/>
      <c r="FY254" s="36"/>
      <c r="FZ254" s="36"/>
      <c r="GA254" s="36"/>
    </row>
    <row r="255" spans="21:183" s="34" customFormat="1" ht="24" customHeight="1">
      <c r="CQ255" s="35"/>
      <c r="FR255" s="36"/>
      <c r="FS255" s="36"/>
      <c r="FT255" s="36"/>
      <c r="FU255" s="36"/>
      <c r="FV255" s="36"/>
      <c r="FW255" s="36"/>
      <c r="FX255" s="36"/>
      <c r="FY255" s="36"/>
      <c r="FZ255" s="36"/>
      <c r="GA255" s="36"/>
    </row>
    <row r="256" spans="21:183" s="34" customFormat="1" ht="15" customHeight="1">
      <c r="CQ256" s="35"/>
      <c r="FR256" s="36"/>
      <c r="FS256" s="36"/>
      <c r="FT256" s="36"/>
      <c r="FU256" s="36"/>
      <c r="FV256" s="36"/>
      <c r="FW256" s="36"/>
      <c r="FX256" s="36"/>
      <c r="FY256" s="36"/>
      <c r="FZ256" s="36"/>
      <c r="GA256" s="36"/>
    </row>
    <row r="257" spans="42:183" s="34" customFormat="1" ht="15" customHeight="1">
      <c r="CQ257" s="35"/>
      <c r="FR257" s="36"/>
      <c r="FS257" s="36"/>
      <c r="FT257" s="36"/>
      <c r="FU257" s="36"/>
      <c r="FV257" s="36"/>
      <c r="FW257" s="36"/>
      <c r="FX257" s="36"/>
      <c r="FY257" s="36"/>
      <c r="FZ257" s="36"/>
      <c r="GA257" s="36"/>
    </row>
    <row r="258" spans="42:183" s="34" customFormat="1" ht="15" customHeight="1">
      <c r="CQ258" s="35"/>
      <c r="FR258" s="36"/>
      <c r="FS258" s="36"/>
      <c r="FT258" s="36"/>
      <c r="FU258" s="36"/>
      <c r="FV258" s="36"/>
      <c r="FW258" s="36"/>
      <c r="FX258" s="36"/>
      <c r="FY258" s="36"/>
      <c r="FZ258" s="36"/>
      <c r="GA258" s="36"/>
    </row>
    <row r="259" spans="42:183" s="34" customFormat="1" ht="15" customHeight="1">
      <c r="CQ259" s="35"/>
      <c r="FR259" s="36"/>
      <c r="FS259" s="36"/>
      <c r="FT259" s="36"/>
      <c r="FU259" s="36"/>
      <c r="FV259" s="36"/>
      <c r="FW259" s="36"/>
      <c r="FX259" s="36"/>
      <c r="FY259" s="36"/>
      <c r="FZ259" s="36"/>
      <c r="GA259" s="36"/>
    </row>
    <row r="260" spans="42:183" s="34" customFormat="1" ht="15" customHeight="1">
      <c r="CQ260" s="35"/>
      <c r="FR260" s="36"/>
      <c r="FS260" s="36"/>
      <c r="FT260" s="36"/>
      <c r="FU260" s="36"/>
      <c r="FV260" s="36"/>
      <c r="FW260" s="36"/>
      <c r="FX260" s="36"/>
      <c r="FY260" s="36"/>
      <c r="FZ260" s="36"/>
      <c r="GA260" s="36"/>
    </row>
    <row r="261" spans="42:183" s="34" customFormat="1" ht="15" customHeight="1">
      <c r="CQ261" s="35"/>
    </row>
    <row r="262" spans="42:183" s="34" customFormat="1" ht="15">
      <c r="CQ262" s="35"/>
    </row>
    <row r="263" spans="42:183" s="34" customFormat="1" ht="15">
      <c r="CQ263" s="35"/>
    </row>
    <row r="264" spans="42:183" s="34" customFormat="1" ht="15">
      <c r="CQ264" s="35"/>
    </row>
    <row r="265" spans="42:183" s="34" customFormat="1" ht="15">
      <c r="CQ265" s="35"/>
    </row>
    <row r="266" spans="42:183" s="34" customFormat="1" ht="15">
      <c r="CQ266" s="35"/>
    </row>
    <row r="267" spans="42:183" s="34" customFormat="1" ht="15">
      <c r="CQ267" s="35"/>
    </row>
    <row r="268" spans="42:183" s="34" customFormat="1" ht="15">
      <c r="CQ268" s="35"/>
    </row>
    <row r="269" spans="42:183" s="34" customFormat="1" ht="15">
      <c r="CQ269" s="35"/>
    </row>
    <row r="270" spans="42:183" s="34" customFormat="1" ht="15">
      <c r="CQ270" s="35"/>
    </row>
    <row r="271" spans="42:183" s="34" customFormat="1" ht="15">
      <c r="CQ271" s="35"/>
    </row>
    <row r="272" spans="42:183" s="34" customFormat="1" ht="15">
      <c r="AP272" s="422"/>
      <c r="AQ272" s="422" t="s">
        <v>303</v>
      </c>
      <c r="AR272" s="422"/>
      <c r="AY272" s="422"/>
      <c r="AZ272" s="422" t="s">
        <v>303</v>
      </c>
      <c r="BA272" s="422"/>
      <c r="CQ272" s="35"/>
    </row>
    <row r="273" spans="42:95" s="34" customFormat="1" ht="15">
      <c r="AP273" s="423" t="s">
        <v>392</v>
      </c>
      <c r="AQ273" s="423">
        <f>X249</f>
        <v>0</v>
      </c>
      <c r="AR273" s="432"/>
      <c r="AY273" s="423" t="s">
        <v>392</v>
      </c>
      <c r="AZ273" s="423">
        <f>X225</f>
        <v>0</v>
      </c>
      <c r="BA273" s="432">
        <f>X233</f>
        <v>0</v>
      </c>
      <c r="CQ273" s="35"/>
    </row>
    <row r="274" spans="42:95" s="34" customFormat="1" ht="15">
      <c r="AP274" s="423" t="s">
        <v>393</v>
      </c>
      <c r="AQ274" s="423">
        <f>AG249</f>
        <v>0</v>
      </c>
      <c r="AR274" s="432"/>
      <c r="AY274" s="423" t="s">
        <v>393</v>
      </c>
      <c r="AZ274" s="423">
        <f>AG225</f>
        <v>0</v>
      </c>
      <c r="BA274" s="432">
        <f>AG233</f>
        <v>0</v>
      </c>
      <c r="CQ274" s="35"/>
    </row>
    <row r="275" spans="42:95" s="34" customFormat="1" ht="15">
      <c r="AP275" s="423" t="s">
        <v>399</v>
      </c>
      <c r="AQ275" s="423" t="e">
        <f>AP249</f>
        <v>#VALUE!</v>
      </c>
      <c r="AR275" s="432"/>
      <c r="AY275" s="423" t="s">
        <v>399</v>
      </c>
      <c r="AZ275" s="423">
        <f>AP225</f>
        <v>0</v>
      </c>
      <c r="BA275" s="432" t="e">
        <f>AP233</f>
        <v>#VALUE!</v>
      </c>
      <c r="CQ275" s="35"/>
    </row>
    <row r="276" spans="42:95" s="34" customFormat="1" ht="15">
      <c r="AP276" s="423" t="s">
        <v>395</v>
      </c>
      <c r="AQ276" s="423" t="e">
        <f>AY249</f>
        <v>#VALUE!</v>
      </c>
      <c r="AR276" s="432"/>
      <c r="AY276" s="423" t="s">
        <v>395</v>
      </c>
      <c r="AZ276" s="423">
        <f>AY225</f>
        <v>0</v>
      </c>
      <c r="BA276" s="432" t="e">
        <f>AY233</f>
        <v>#VALUE!</v>
      </c>
      <c r="CQ276" s="35"/>
    </row>
    <row r="277" spans="42:95" s="34" customFormat="1" ht="15">
      <c r="AP277" s="423" t="s">
        <v>321</v>
      </c>
      <c r="AQ277" s="423" t="e">
        <f>SUM(AQ273:AQ276)</f>
        <v>#VALUE!</v>
      </c>
      <c r="AR277" s="423"/>
      <c r="AY277" s="423" t="s">
        <v>321</v>
      </c>
      <c r="AZ277" s="423">
        <f>SUM(AZ273:AZ276)</f>
        <v>0</v>
      </c>
      <c r="BA277" s="423" t="e">
        <f>SUM(BA273:BA276)</f>
        <v>#VALUE!</v>
      </c>
      <c r="CQ277" s="35"/>
    </row>
    <row r="278" spans="42:95" s="34" customFormat="1" ht="15">
      <c r="CQ278" s="35"/>
    </row>
    <row r="279" spans="42:95" s="34" customFormat="1" ht="15">
      <c r="CQ279" s="35"/>
    </row>
    <row r="280" spans="42:95" s="34" customFormat="1" ht="15">
      <c r="CQ280" s="35"/>
    </row>
    <row r="281" spans="42:95" s="34" customFormat="1" ht="15">
      <c r="CQ281" s="35"/>
    </row>
    <row r="282" spans="42:95" s="34" customFormat="1" ht="15">
      <c r="CQ282" s="35"/>
    </row>
    <row r="283" spans="42:95" s="34" customFormat="1" ht="15">
      <c r="CQ283" s="35"/>
    </row>
    <row r="284" spans="42:95" s="34" customFormat="1" ht="15">
      <c r="CQ284" s="35"/>
    </row>
    <row r="285" spans="42:95" s="34" customFormat="1" ht="15">
      <c r="CQ285" s="35"/>
    </row>
    <row r="286" spans="42:95" s="34" customFormat="1" ht="23" customHeight="1">
      <c r="CQ286" s="35"/>
    </row>
    <row r="287" spans="42:95" s="34" customFormat="1" ht="23" customHeight="1">
      <c r="CQ287" s="35"/>
    </row>
    <row r="288" spans="42:95" s="34" customFormat="1" ht="15">
      <c r="CQ288" s="35"/>
    </row>
    <row r="289" spans="58:95" s="34" customFormat="1" ht="15">
      <c r="CQ289" s="35"/>
    </row>
    <row r="290" spans="58:95" s="34" customFormat="1" ht="15">
      <c r="CQ290" s="35"/>
    </row>
    <row r="291" spans="58:95" s="34" customFormat="1" ht="15">
      <c r="CQ291" s="35"/>
    </row>
    <row r="292" spans="58:95" s="34" customFormat="1" ht="15">
      <c r="CQ292" s="35"/>
    </row>
    <row r="293" spans="58:95" s="34" customFormat="1" ht="15">
      <c r="CQ293" s="35"/>
    </row>
    <row r="294" spans="58:95" s="34" customFormat="1" ht="15">
      <c r="CQ294" s="35"/>
    </row>
    <row r="295" spans="58:95" s="34" customFormat="1" ht="15">
      <c r="CQ295" s="35"/>
    </row>
    <row r="296" spans="58:95" s="34" customFormat="1" ht="15">
      <c r="CQ296" s="35"/>
    </row>
    <row r="297" spans="58:95" s="34" customFormat="1" ht="15">
      <c r="CQ297" s="35"/>
    </row>
    <row r="298" spans="58:95" s="34" customFormat="1" ht="15">
      <c r="CQ298" s="35"/>
    </row>
    <row r="299" spans="58:95" s="34" customFormat="1" ht="15">
      <c r="CQ299" s="35"/>
    </row>
    <row r="300" spans="58:95" s="34" customFormat="1" ht="15">
      <c r="CQ300" s="35"/>
    </row>
    <row r="301" spans="58:95" s="34" customFormat="1" ht="15">
      <c r="CQ301" s="35"/>
    </row>
    <row r="302" spans="58:95" s="34" customFormat="1" ht="15">
      <c r="CQ302" s="35"/>
    </row>
    <row r="303" spans="58:95" s="34" customFormat="1" ht="16" thickBot="1">
      <c r="CQ303" s="35"/>
    </row>
    <row r="304" spans="58:95" s="34" customFormat="1" ht="25" customHeight="1">
      <c r="BF304" s="311" t="s">
        <v>400</v>
      </c>
      <c r="BG304" s="312"/>
      <c r="BH304" s="312"/>
      <c r="BI304" s="312"/>
      <c r="BJ304" s="312"/>
      <c r="BK304" s="312"/>
      <c r="BL304" s="312"/>
      <c r="BM304" s="312"/>
      <c r="BN304" s="312"/>
      <c r="BO304" s="312"/>
      <c r="BP304" s="312"/>
      <c r="BQ304" s="312"/>
      <c r="BR304" s="312"/>
      <c r="BS304" s="312"/>
      <c r="BT304" s="312"/>
      <c r="BU304" s="312"/>
      <c r="BV304" s="312"/>
      <c r="BW304" s="312"/>
      <c r="BX304" s="312"/>
      <c r="BY304" s="312"/>
      <c r="BZ304" s="312"/>
      <c r="CA304" s="312"/>
      <c r="CB304" s="312"/>
      <c r="CC304" s="313"/>
      <c r="CQ304" s="35"/>
    </row>
    <row r="305" spans="53:183" s="34" customFormat="1" ht="23" customHeight="1" thickBot="1">
      <c r="BF305" s="436"/>
      <c r="BG305" s="316"/>
      <c r="BH305" s="316"/>
      <c r="BI305" s="316"/>
      <c r="BJ305" s="316"/>
      <c r="BK305" s="316"/>
      <c r="BL305" s="316"/>
      <c r="BM305" s="316"/>
      <c r="BN305" s="316"/>
      <c r="BO305" s="316"/>
      <c r="BP305" s="316"/>
      <c r="BQ305" s="316"/>
      <c r="BR305" s="316"/>
      <c r="BS305" s="316"/>
      <c r="BT305" s="316"/>
      <c r="BU305" s="316"/>
      <c r="BV305" s="316"/>
      <c r="BW305" s="316"/>
      <c r="BX305" s="316"/>
      <c r="BY305" s="316"/>
      <c r="BZ305" s="316"/>
      <c r="CA305" s="316"/>
      <c r="CB305" s="316"/>
      <c r="CC305" s="317"/>
      <c r="CQ305" s="35"/>
    </row>
    <row r="306" spans="53:183" s="34" customFormat="1" ht="25" customHeight="1">
      <c r="BA306" s="34" t="s">
        <v>401</v>
      </c>
      <c r="BF306" s="437" t="str">
        <f>$BF$187&amp;BF$193</f>
        <v>Back Squat43634</v>
      </c>
      <c r="BG306" s="437" t="str">
        <f>$BF$187&amp;BG$193</f>
        <v>Back Squat43689</v>
      </c>
      <c r="BH306" s="437" t="str">
        <f>$BF$187&amp;BH$193</f>
        <v>Back Squat43693</v>
      </c>
      <c r="BI306" s="437" t="str">
        <f>$BF$187&amp;BI$193</f>
        <v>Back Squat43842</v>
      </c>
      <c r="BJ306" s="437" t="str">
        <f>$BF$187&amp;BJ$193</f>
        <v>Back Squat44158</v>
      </c>
      <c r="BK306" s="437"/>
      <c r="BL306" s="437" t="str">
        <f>$BL$187&amp;BL$193</f>
        <v>Deadlift43632</v>
      </c>
      <c r="BM306" s="437" t="str">
        <f>$BL$187&amp;BM$193</f>
        <v>Deadlift43810</v>
      </c>
      <c r="BN306" s="437" t="str">
        <f>$BL$187&amp;BN$193</f>
        <v>Deadlift43840</v>
      </c>
      <c r="BO306" s="437" t="str">
        <f>$BL$187&amp;BO$193</f>
        <v>Deadlift44151</v>
      </c>
      <c r="BP306" s="437" t="str">
        <f>$BL$187&amp;BP$193</f>
        <v>Deadlift44160</v>
      </c>
      <c r="BQ306" s="437"/>
      <c r="BR306" s="437" t="str">
        <f>$BR$187&amp;BR$193</f>
        <v>Power Clean43665</v>
      </c>
      <c r="BS306" s="437" t="str">
        <f>$BR$187&amp;BS$193</f>
        <v>Power Clean43697</v>
      </c>
      <c r="BT306" s="437" t="str">
        <f>$BR$187&amp;BT$193</f>
        <v>Power Clean43842</v>
      </c>
      <c r="BU306" s="437" t="str">
        <f>$BR$187&amp;BU$193</f>
        <v>Power Clean44151</v>
      </c>
      <c r="BV306" s="437" t="str">
        <f>$BR$187&amp;BV$193</f>
        <v>Power Clean44160</v>
      </c>
      <c r="BW306" s="437"/>
      <c r="BX306" s="437" t="str">
        <f>$BX$187&amp;BX$193</f>
        <v>Snatch43668</v>
      </c>
      <c r="BY306" s="437" t="str">
        <f>$BX$187&amp;BY$193</f>
        <v>Snatch43672</v>
      </c>
      <c r="BZ306" s="437" t="str">
        <f>$BX$187&amp;BZ$193</f>
        <v>Snatch43689</v>
      </c>
      <c r="CA306" s="437" t="str">
        <f>$BX$187&amp;CA$193</f>
        <v>Snatch43693</v>
      </c>
      <c r="CB306" s="437" t="str">
        <f>$BX$187&amp;CB$193</f>
        <v>Snatch44158</v>
      </c>
      <c r="CC306" s="437"/>
      <c r="CQ306" s="35"/>
    </row>
    <row r="307" spans="53:183" s="34" customFormat="1" ht="19" customHeight="1">
      <c r="BA307" s="34" t="s">
        <v>402</v>
      </c>
      <c r="BF307" s="437" t="e">
        <f>$BF$197&amp;BF$203</f>
        <v>#VALUE!</v>
      </c>
      <c r="BG307" s="437" t="e">
        <f>$BF$197&amp;BG$203</f>
        <v>#VALUE!</v>
      </c>
      <c r="BH307" s="437" t="e">
        <f>$BF$197&amp;BH$203</f>
        <v>#VALUE!</v>
      </c>
      <c r="BI307" s="437" t="e">
        <f>$BF$197&amp;BI$203</f>
        <v>#VALUE!</v>
      </c>
      <c r="BJ307" s="437" t="str">
        <f>$BF$197&amp;BJ$203</f>
        <v>K2W43622</v>
      </c>
      <c r="BK307" s="437"/>
      <c r="BL307" s="437" t="str">
        <f>$BL$197&amp;BL$203</f>
        <v>ASLR0</v>
      </c>
      <c r="BM307" s="437" t="str">
        <f>$BL$197&amp;BM$203</f>
        <v>ASLR0</v>
      </c>
      <c r="BN307" s="437" t="str">
        <f>$BL$197&amp;BN$203</f>
        <v>ASLR0</v>
      </c>
      <c r="BO307" s="437" t="str">
        <f>$BL$197&amp;BO$203</f>
        <v>ASLR0</v>
      </c>
      <c r="BP307" s="437" t="str">
        <f>$BL$197&amp;BP$203</f>
        <v>ASLR43622</v>
      </c>
      <c r="BQ307" s="437"/>
      <c r="BR307" s="437" t="str">
        <f>$BR$197&amp;BR$203</f>
        <v>FABER0</v>
      </c>
      <c r="BS307" s="437" t="str">
        <f>$BR$197&amp;BS$203</f>
        <v>FABER0</v>
      </c>
      <c r="BT307" s="437" t="str">
        <f>$BR$197&amp;BT$203</f>
        <v>FABER0</v>
      </c>
      <c r="BU307" s="437" t="str">
        <f>$BR$197&amp;BU$203</f>
        <v>FABER0</v>
      </c>
      <c r="BV307" s="437" t="str">
        <f>$BR$197&amp;BV$203</f>
        <v>FABER43605</v>
      </c>
      <c r="BW307" s="437"/>
      <c r="BX307" s="437" t="str">
        <f>$BX$197&amp;BX$203</f>
        <v>TPI T-Spine0</v>
      </c>
      <c r="BY307" s="437" t="str">
        <f>$BX$197&amp;BY$203</f>
        <v>TPI T-Spine0</v>
      </c>
      <c r="BZ307" s="437" t="str">
        <f>$BX$197&amp;BZ$203</f>
        <v>TPI T-Spine43598</v>
      </c>
      <c r="CA307" s="437" t="str">
        <f>$BX$197&amp;CA$203</f>
        <v>TPI T-Spine43614</v>
      </c>
      <c r="CB307" s="437" t="str">
        <f>$BX$197&amp;CB$203</f>
        <v>TPI T-Spine43622</v>
      </c>
      <c r="CC307" s="437"/>
      <c r="CQ307" s="35"/>
      <c r="FR307" s="36"/>
      <c r="FS307" s="36"/>
      <c r="FT307" s="36"/>
      <c r="FU307" s="36"/>
      <c r="FV307" s="36"/>
      <c r="FW307" s="36"/>
      <c r="FX307" s="36"/>
      <c r="FY307" s="36"/>
      <c r="FZ307" s="36"/>
      <c r="GA307" s="36"/>
    </row>
    <row r="308" spans="53:183" s="34" customFormat="1" ht="15">
      <c r="CQ308" s="35"/>
      <c r="FR308" s="36"/>
      <c r="FS308" s="36"/>
      <c r="FT308" s="36"/>
      <c r="FU308" s="36"/>
      <c r="FV308" s="36"/>
      <c r="FW308" s="36"/>
      <c r="FX308" s="36"/>
      <c r="FY308" s="36"/>
      <c r="FZ308" s="36"/>
      <c r="GA308" s="36"/>
    </row>
    <row r="309" spans="53:183" s="34" customFormat="1" ht="15">
      <c r="CQ309" s="35"/>
      <c r="FR309" s="36"/>
      <c r="FS309" s="36"/>
      <c r="FT309" s="36"/>
      <c r="FU309" s="36"/>
      <c r="FV309" s="36"/>
      <c r="FW309" s="36"/>
      <c r="FX309" s="36"/>
      <c r="FY309" s="36"/>
      <c r="FZ309" s="36"/>
      <c r="GA309" s="36"/>
    </row>
    <row r="310" spans="53:183" s="34" customFormat="1" ht="15">
      <c r="CQ310" s="35"/>
      <c r="FR310" s="36"/>
      <c r="FS310" s="36"/>
      <c r="FT310" s="36"/>
      <c r="FU310" s="36"/>
      <c r="FV310" s="36"/>
      <c r="FW310" s="36"/>
      <c r="FX310" s="36"/>
      <c r="FY310" s="36"/>
      <c r="FZ310" s="36"/>
      <c r="GA310" s="36"/>
    </row>
    <row r="311" spans="53:183" s="34" customFormat="1" ht="15">
      <c r="CQ311" s="35"/>
      <c r="FR311" s="36"/>
      <c r="FS311" s="36"/>
      <c r="FT311" s="36"/>
      <c r="FU311" s="36"/>
      <c r="FV311" s="36"/>
      <c r="FW311" s="36"/>
      <c r="FX311" s="36"/>
      <c r="FY311" s="36"/>
      <c r="FZ311" s="36"/>
      <c r="GA311" s="36"/>
    </row>
    <row r="312" spans="53:183" s="34" customFormat="1" ht="15">
      <c r="CQ312" s="35"/>
      <c r="FR312" s="36"/>
      <c r="FS312" s="36"/>
      <c r="FT312" s="36"/>
      <c r="FU312" s="36"/>
      <c r="FV312" s="36"/>
      <c r="FW312" s="36"/>
      <c r="FX312" s="36"/>
      <c r="FY312" s="36"/>
      <c r="FZ312" s="36"/>
      <c r="GA312" s="36"/>
    </row>
    <row r="313" spans="53:183" s="34" customFormat="1" ht="15">
      <c r="CQ313" s="35"/>
      <c r="FR313" s="36"/>
      <c r="FS313" s="36"/>
      <c r="FT313" s="36"/>
      <c r="FU313" s="36"/>
      <c r="FV313" s="36"/>
      <c r="FW313" s="36"/>
      <c r="FX313" s="36"/>
      <c r="FY313" s="36"/>
      <c r="FZ313" s="36"/>
      <c r="GA313" s="36"/>
    </row>
    <row r="314" spans="53:183" s="34" customFormat="1" ht="15">
      <c r="CQ314" s="35"/>
      <c r="FR314" s="36"/>
      <c r="FS314" s="36"/>
      <c r="FT314" s="36"/>
      <c r="FU314" s="36"/>
      <c r="FV314" s="36"/>
      <c r="FW314" s="36"/>
      <c r="FX314" s="36"/>
      <c r="FY314" s="36"/>
      <c r="FZ314" s="36"/>
      <c r="GA314" s="36"/>
    </row>
    <row r="315" spans="53:183" s="34" customFormat="1" ht="15">
      <c r="CQ315" s="35"/>
      <c r="FR315" s="36"/>
      <c r="FS315" s="36"/>
      <c r="FT315" s="36"/>
      <c r="FU315" s="36"/>
      <c r="FV315" s="36"/>
      <c r="FW315" s="36"/>
      <c r="FX315" s="36"/>
      <c r="FY315" s="36"/>
      <c r="FZ315" s="36"/>
      <c r="GA315" s="36"/>
    </row>
    <row r="316" spans="53:183" s="34" customFormat="1" ht="15">
      <c r="CQ316" s="35"/>
      <c r="FR316" s="36"/>
      <c r="FS316" s="36"/>
      <c r="FT316" s="36"/>
      <c r="FU316" s="36"/>
      <c r="FV316" s="36"/>
      <c r="FW316" s="36"/>
      <c r="FX316" s="36"/>
      <c r="FY316" s="36"/>
      <c r="FZ316" s="36"/>
      <c r="GA316" s="36"/>
    </row>
    <row r="317" spans="53:183" s="34" customFormat="1" ht="15">
      <c r="CQ317" s="35"/>
      <c r="FR317" s="36"/>
      <c r="FS317" s="36"/>
      <c r="FT317" s="36"/>
      <c r="FU317" s="36"/>
      <c r="FV317" s="36"/>
      <c r="FW317" s="36"/>
      <c r="FX317" s="36"/>
      <c r="FY317" s="36"/>
      <c r="FZ317" s="36"/>
      <c r="GA317" s="36"/>
    </row>
    <row r="318" spans="53:183" s="34" customFormat="1" ht="15">
      <c r="CQ318" s="35"/>
      <c r="FR318" s="36"/>
      <c r="FS318" s="36"/>
      <c r="FT318" s="36"/>
      <c r="FU318" s="36"/>
      <c r="FV318" s="36"/>
      <c r="FW318" s="36"/>
      <c r="FX318" s="36"/>
      <c r="FY318" s="36"/>
      <c r="FZ318" s="36"/>
      <c r="GA318" s="36"/>
    </row>
    <row r="319" spans="53:183" s="34" customFormat="1" ht="15">
      <c r="CQ319" s="35"/>
      <c r="FR319" s="36"/>
      <c r="FS319" s="36"/>
      <c r="FT319" s="36"/>
      <c r="FU319" s="36"/>
      <c r="FV319" s="36"/>
      <c r="FW319" s="36"/>
      <c r="FX319" s="36"/>
      <c r="FY319" s="36"/>
      <c r="FZ319" s="36"/>
      <c r="GA319" s="36"/>
    </row>
    <row r="320" spans="53:183" s="34" customFormat="1" ht="15">
      <c r="CQ320" s="35"/>
      <c r="FR320" s="36"/>
      <c r="FS320" s="36"/>
      <c r="FT320" s="36"/>
      <c r="FU320" s="36"/>
      <c r="FV320" s="36"/>
      <c r="FW320" s="36"/>
      <c r="FX320" s="36"/>
      <c r="FY320" s="36"/>
      <c r="FZ320" s="36"/>
      <c r="GA320" s="36"/>
    </row>
    <row r="321" spans="95:183" s="34" customFormat="1" ht="15">
      <c r="CQ321" s="35"/>
      <c r="FR321" s="36"/>
      <c r="FS321" s="36"/>
      <c r="FT321" s="36"/>
      <c r="FU321" s="36"/>
      <c r="FV321" s="36"/>
      <c r="FW321" s="36"/>
      <c r="FX321" s="36"/>
      <c r="FY321" s="36"/>
      <c r="FZ321" s="36"/>
      <c r="GA321" s="36"/>
    </row>
    <row r="322" spans="95:183" s="34" customFormat="1" ht="15">
      <c r="CQ322" s="35"/>
      <c r="FR322" s="36"/>
      <c r="FS322" s="36"/>
      <c r="FT322" s="36"/>
      <c r="FU322" s="36"/>
      <c r="FV322" s="36"/>
      <c r="FW322" s="36"/>
      <c r="FX322" s="36"/>
      <c r="FY322" s="36"/>
      <c r="FZ322" s="36"/>
      <c r="GA322" s="36"/>
    </row>
    <row r="323" spans="95:183" s="34" customFormat="1" ht="15">
      <c r="CQ323" s="35"/>
      <c r="FR323" s="36"/>
      <c r="FS323" s="36"/>
      <c r="FT323" s="36"/>
      <c r="FU323" s="36"/>
      <c r="FV323" s="36"/>
      <c r="FW323" s="36"/>
      <c r="FX323" s="36"/>
      <c r="FY323" s="36"/>
      <c r="FZ323" s="36"/>
      <c r="GA323" s="36"/>
    </row>
    <row r="324" spans="95:183" s="34" customFormat="1" ht="15">
      <c r="CQ324" s="35"/>
      <c r="FR324" s="36"/>
      <c r="FS324" s="36"/>
      <c r="FT324" s="36"/>
      <c r="FU324" s="36"/>
      <c r="FV324" s="36"/>
      <c r="FW324" s="36"/>
      <c r="FX324" s="36"/>
      <c r="FY324" s="36"/>
      <c r="FZ324" s="36"/>
      <c r="GA324" s="36"/>
    </row>
    <row r="325" spans="95:183" s="34" customFormat="1" ht="15">
      <c r="CQ325" s="35"/>
      <c r="FR325" s="36"/>
      <c r="FS325" s="36"/>
      <c r="FT325" s="36"/>
      <c r="FU325" s="36"/>
      <c r="FV325" s="36"/>
      <c r="FW325" s="36"/>
      <c r="FX325" s="36"/>
      <c r="FY325" s="36"/>
      <c r="FZ325" s="36"/>
      <c r="GA325" s="36"/>
    </row>
    <row r="326" spans="95:183" s="34" customFormat="1" ht="15">
      <c r="CQ326" s="35"/>
      <c r="FR326" s="36"/>
      <c r="FS326" s="36"/>
      <c r="FT326" s="36"/>
      <c r="FU326" s="36"/>
      <c r="FV326" s="36"/>
      <c r="FW326" s="36"/>
      <c r="FX326" s="36"/>
      <c r="FY326" s="36"/>
      <c r="FZ326" s="36"/>
      <c r="GA326" s="36"/>
    </row>
    <row r="327" spans="95:183" s="34" customFormat="1" ht="15">
      <c r="CQ327" s="35"/>
      <c r="FR327" s="36"/>
      <c r="FS327" s="36"/>
      <c r="FT327" s="36"/>
      <c r="FU327" s="36"/>
      <c r="FV327" s="36"/>
      <c r="FW327" s="36"/>
      <c r="FX327" s="36"/>
      <c r="FY327" s="36"/>
      <c r="FZ327" s="36"/>
      <c r="GA327" s="36"/>
    </row>
    <row r="328" spans="95:183" s="34" customFormat="1" ht="15">
      <c r="CQ328" s="35"/>
      <c r="FR328" s="36"/>
      <c r="FS328" s="36"/>
      <c r="FT328" s="36"/>
      <c r="FU328" s="36"/>
      <c r="FV328" s="36"/>
      <c r="FW328" s="36"/>
      <c r="FX328" s="36"/>
      <c r="FY328" s="36"/>
      <c r="FZ328" s="36"/>
      <c r="GA328" s="36"/>
    </row>
    <row r="329" spans="95:183" s="34" customFormat="1" ht="15">
      <c r="CQ329" s="35"/>
      <c r="FR329" s="36"/>
      <c r="FS329" s="36"/>
      <c r="FT329" s="36"/>
      <c r="FU329" s="36"/>
      <c r="FV329" s="36"/>
      <c r="FW329" s="36"/>
      <c r="FX329" s="36"/>
      <c r="FY329" s="36"/>
      <c r="FZ329" s="36"/>
      <c r="GA329" s="36"/>
    </row>
    <row r="330" spans="95:183" s="34" customFormat="1" ht="15">
      <c r="CQ330" s="35"/>
      <c r="FR330" s="36"/>
      <c r="FS330" s="36"/>
      <c r="FT330" s="36"/>
      <c r="FU330" s="36"/>
      <c r="FV330" s="36"/>
      <c r="FW330" s="36"/>
      <c r="FX330" s="36"/>
      <c r="FY330" s="36"/>
      <c r="FZ330" s="36"/>
      <c r="GA330" s="36"/>
    </row>
    <row r="331" spans="95:183" s="34" customFormat="1" ht="15">
      <c r="CQ331" s="35"/>
      <c r="FR331" s="36"/>
      <c r="FS331" s="36"/>
      <c r="FT331" s="36"/>
      <c r="FU331" s="36"/>
      <c r="FV331" s="36"/>
      <c r="FW331" s="36"/>
      <c r="FX331" s="36"/>
      <c r="FY331" s="36"/>
      <c r="FZ331" s="36"/>
      <c r="GA331" s="36"/>
    </row>
    <row r="332" spans="95:183" s="34" customFormat="1" ht="15">
      <c r="CQ332" s="35"/>
      <c r="FR332" s="36"/>
      <c r="FS332" s="36"/>
      <c r="FT332" s="36"/>
      <c r="FU332" s="36"/>
      <c r="FV332" s="36"/>
      <c r="FW332" s="36"/>
      <c r="FX332" s="36"/>
      <c r="FY332" s="36"/>
      <c r="FZ332" s="36"/>
      <c r="GA332" s="36"/>
    </row>
    <row r="333" spans="95:183" s="34" customFormat="1" ht="15">
      <c r="CQ333" s="35"/>
      <c r="FR333" s="36"/>
      <c r="FS333" s="36"/>
      <c r="FT333" s="36"/>
      <c r="FU333" s="36"/>
      <c r="FV333" s="36"/>
      <c r="FW333" s="36"/>
      <c r="FX333" s="36"/>
      <c r="FY333" s="36"/>
      <c r="FZ333" s="36"/>
      <c r="GA333" s="36"/>
    </row>
    <row r="334" spans="95:183" s="34" customFormat="1" ht="15">
      <c r="CQ334" s="35"/>
      <c r="FR334" s="36"/>
      <c r="FS334" s="36"/>
      <c r="FT334" s="36"/>
      <c r="FU334" s="36"/>
      <c r="FV334" s="36"/>
      <c r="FW334" s="36"/>
      <c r="FX334" s="36"/>
      <c r="FY334" s="36"/>
      <c r="FZ334" s="36"/>
      <c r="GA334" s="36"/>
    </row>
    <row r="335" spans="95:183" s="34" customFormat="1" ht="15">
      <c r="CQ335" s="35"/>
      <c r="FR335" s="36"/>
      <c r="FS335" s="36"/>
      <c r="FT335" s="36"/>
      <c r="FU335" s="36"/>
      <c r="FV335" s="36"/>
      <c r="FW335" s="36"/>
      <c r="FX335" s="36"/>
      <c r="FY335" s="36"/>
      <c r="FZ335" s="36"/>
      <c r="GA335" s="36"/>
    </row>
    <row r="336" spans="95:183" s="34" customFormat="1" ht="15">
      <c r="CQ336" s="35"/>
      <c r="FR336" s="36"/>
      <c r="FS336" s="36"/>
      <c r="FT336" s="36"/>
      <c r="FU336" s="36"/>
      <c r="FV336" s="36"/>
      <c r="FW336" s="36"/>
      <c r="FX336" s="36"/>
      <c r="FY336" s="36"/>
      <c r="FZ336" s="36"/>
      <c r="GA336" s="36"/>
    </row>
    <row r="337" spans="95:183" s="34" customFormat="1" ht="15">
      <c r="CQ337" s="35"/>
      <c r="FR337" s="36"/>
      <c r="FS337" s="36"/>
      <c r="FT337" s="36"/>
      <c r="FU337" s="36"/>
      <c r="FV337" s="36"/>
      <c r="FW337" s="36"/>
      <c r="FX337" s="36"/>
      <c r="FY337" s="36"/>
      <c r="FZ337" s="36"/>
      <c r="GA337" s="36"/>
    </row>
    <row r="338" spans="95:183" s="34" customFormat="1" ht="15">
      <c r="CQ338" s="35"/>
      <c r="FR338" s="36"/>
      <c r="FS338" s="36"/>
      <c r="FT338" s="36"/>
      <c r="FU338" s="36"/>
      <c r="FV338" s="36"/>
      <c r="FW338" s="36"/>
      <c r="FX338" s="36"/>
      <c r="FY338" s="36"/>
      <c r="FZ338" s="36"/>
      <c r="GA338" s="36"/>
    </row>
    <row r="339" spans="95:183" s="34" customFormat="1" ht="15">
      <c r="CQ339" s="35"/>
      <c r="FR339" s="36"/>
      <c r="FS339" s="36"/>
      <c r="FT339" s="36"/>
      <c r="FU339" s="36"/>
      <c r="FV339" s="36"/>
      <c r="FW339" s="36"/>
      <c r="FX339" s="36"/>
      <c r="FY339" s="36"/>
      <c r="FZ339" s="36"/>
      <c r="GA339" s="36"/>
    </row>
    <row r="340" spans="95:183" s="34" customFormat="1" ht="15">
      <c r="CQ340" s="35"/>
      <c r="FR340" s="36"/>
      <c r="FS340" s="36"/>
      <c r="FT340" s="36"/>
      <c r="FU340" s="36"/>
      <c r="FV340" s="36"/>
      <c r="FW340" s="36"/>
      <c r="FX340" s="36"/>
      <c r="FY340" s="36"/>
      <c r="FZ340" s="36"/>
      <c r="GA340" s="36"/>
    </row>
    <row r="341" spans="95:183" s="34" customFormat="1" ht="15">
      <c r="CQ341" s="35"/>
      <c r="FR341" s="36"/>
      <c r="FS341" s="36"/>
      <c r="FT341" s="36"/>
      <c r="FU341" s="36"/>
      <c r="FV341" s="36"/>
      <c r="FW341" s="36"/>
      <c r="FX341" s="36"/>
      <c r="FY341" s="36"/>
      <c r="FZ341" s="36"/>
      <c r="GA341" s="36"/>
    </row>
    <row r="342" spans="95:183" s="34" customFormat="1" ht="15">
      <c r="CQ342" s="35"/>
      <c r="FR342" s="36"/>
      <c r="FS342" s="36"/>
      <c r="FT342" s="36"/>
      <c r="FU342" s="36"/>
      <c r="FV342" s="36"/>
      <c r="FW342" s="36"/>
      <c r="FX342" s="36"/>
      <c r="FY342" s="36"/>
      <c r="FZ342" s="36"/>
      <c r="GA342" s="36"/>
    </row>
    <row r="343" spans="95:183" s="34" customFormat="1" ht="15">
      <c r="CQ343" s="35"/>
      <c r="FR343" s="36"/>
      <c r="FS343" s="36"/>
      <c r="FT343" s="36"/>
      <c r="FU343" s="36"/>
      <c r="FV343" s="36"/>
      <c r="FW343" s="36"/>
      <c r="FX343" s="36"/>
      <c r="FY343" s="36"/>
      <c r="FZ343" s="36"/>
      <c r="GA343" s="36"/>
    </row>
    <row r="344" spans="95:183" s="34" customFormat="1" ht="15">
      <c r="CQ344" s="35"/>
      <c r="FR344" s="36"/>
      <c r="FS344" s="36"/>
      <c r="FT344" s="36"/>
      <c r="FU344" s="36"/>
      <c r="FV344" s="36"/>
      <c r="FW344" s="36"/>
      <c r="FX344" s="36"/>
      <c r="FY344" s="36"/>
      <c r="FZ344" s="36"/>
      <c r="GA344" s="36"/>
    </row>
    <row r="345" spans="95:183" s="34" customFormat="1" ht="15">
      <c r="CQ345" s="35"/>
      <c r="FR345" s="36"/>
      <c r="FS345" s="36"/>
      <c r="FT345" s="36"/>
      <c r="FU345" s="36"/>
      <c r="FV345" s="36"/>
      <c r="FW345" s="36"/>
      <c r="FX345" s="36"/>
      <c r="FY345" s="36"/>
      <c r="FZ345" s="36"/>
      <c r="GA345" s="36"/>
    </row>
    <row r="346" spans="95:183" s="34" customFormat="1" ht="15">
      <c r="CQ346" s="35"/>
      <c r="FR346" s="36"/>
      <c r="FS346" s="36"/>
      <c r="FT346" s="36"/>
      <c r="FU346" s="36"/>
      <c r="FV346" s="36"/>
      <c r="FW346" s="36"/>
      <c r="FX346" s="36"/>
      <c r="FY346" s="36"/>
      <c r="FZ346" s="36"/>
      <c r="GA346" s="36"/>
    </row>
    <row r="347" spans="95:183" s="34" customFormat="1" ht="15">
      <c r="CQ347" s="35"/>
      <c r="FR347" s="36"/>
      <c r="FS347" s="36"/>
      <c r="FT347" s="36"/>
      <c r="FU347" s="36"/>
      <c r="FV347" s="36"/>
      <c r="FW347" s="36"/>
      <c r="FX347" s="36"/>
      <c r="FY347" s="36"/>
      <c r="FZ347" s="36"/>
      <c r="GA347" s="36"/>
    </row>
    <row r="348" spans="95:183" s="34" customFormat="1" ht="15">
      <c r="CQ348" s="35"/>
      <c r="FR348" s="36"/>
      <c r="FS348" s="36"/>
      <c r="FT348" s="36"/>
      <c r="FU348" s="36"/>
      <c r="FV348" s="36"/>
      <c r="FW348" s="36"/>
      <c r="FX348" s="36"/>
      <c r="FY348" s="36"/>
      <c r="FZ348" s="36"/>
      <c r="GA348" s="36"/>
    </row>
    <row r="349" spans="95:183" s="34" customFormat="1" ht="15">
      <c r="CQ349" s="35"/>
      <c r="FR349" s="36"/>
      <c r="FS349" s="36"/>
      <c r="FT349" s="36"/>
      <c r="FU349" s="36"/>
      <c r="FV349" s="36"/>
      <c r="FW349" s="36"/>
      <c r="FX349" s="36"/>
      <c r="FY349" s="36"/>
      <c r="FZ349" s="36"/>
      <c r="GA349" s="36"/>
    </row>
    <row r="350" spans="95:183" s="34" customFormat="1" ht="15">
      <c r="CQ350" s="35"/>
      <c r="FR350" s="36"/>
      <c r="FS350" s="36"/>
      <c r="FT350" s="36"/>
      <c r="FU350" s="36"/>
      <c r="FV350" s="36"/>
      <c r="FW350" s="36"/>
      <c r="FX350" s="36"/>
      <c r="FY350" s="36"/>
      <c r="FZ350" s="36"/>
      <c r="GA350" s="36"/>
    </row>
    <row r="351" spans="95:183" s="34" customFormat="1" ht="15">
      <c r="CQ351" s="35"/>
      <c r="FR351" s="36"/>
      <c r="FS351" s="36"/>
      <c r="FT351" s="36"/>
      <c r="FU351" s="36"/>
      <c r="FV351" s="36"/>
      <c r="FW351" s="36"/>
      <c r="FX351" s="36"/>
      <c r="FY351" s="36"/>
      <c r="FZ351" s="36"/>
      <c r="GA351" s="36"/>
    </row>
    <row r="352" spans="95:183" s="34" customFormat="1" ht="15">
      <c r="CQ352" s="35"/>
      <c r="FR352" s="36"/>
      <c r="FS352" s="36"/>
      <c r="FT352" s="36"/>
      <c r="FU352" s="36"/>
      <c r="FV352" s="36"/>
      <c r="FW352" s="36"/>
      <c r="FX352" s="36"/>
      <c r="FY352" s="36"/>
      <c r="FZ352" s="36"/>
      <c r="GA352" s="36"/>
    </row>
    <row r="353" spans="10:183" s="34" customFormat="1" ht="15">
      <c r="CQ353" s="35"/>
      <c r="FR353" s="36"/>
      <c r="FS353" s="36"/>
      <c r="FT353" s="36"/>
      <c r="FU353" s="36"/>
      <c r="FV353" s="36"/>
      <c r="FW353" s="36"/>
      <c r="FX353" s="36"/>
      <c r="FY353" s="36"/>
      <c r="FZ353" s="36"/>
      <c r="GA353" s="36"/>
    </row>
    <row r="354" spans="10:183" s="34" customFormat="1" ht="15">
      <c r="CQ354" s="35"/>
      <c r="FR354" s="36"/>
      <c r="FS354" s="36"/>
      <c r="FT354" s="36"/>
      <c r="FU354" s="36"/>
      <c r="FV354" s="36"/>
      <c r="FW354" s="36"/>
      <c r="FX354" s="36"/>
      <c r="FY354" s="36"/>
      <c r="FZ354" s="36"/>
      <c r="GA354" s="36"/>
    </row>
    <row r="355" spans="10:183" s="34" customFormat="1" ht="27" hidden="1">
      <c r="L355" s="438" t="s">
        <v>403</v>
      </c>
      <c r="M355" s="438"/>
      <c r="N355" s="439"/>
      <c r="O355" s="439"/>
      <c r="P355" s="439"/>
      <c r="Q355" s="439"/>
      <c r="R355" s="440" t="s">
        <v>404</v>
      </c>
      <c r="S355" s="175" t="str">
        <f>CLEAN(IFERROR(INDEX(TableSetRepSchemes,MATCH('1'!$C284,ListSetRepSchemes,0),COLUMNS($R355:S355)),""))</f>
        <v/>
      </c>
      <c r="T355" s="111"/>
      <c r="U355" s="441" t="s">
        <v>405</v>
      </c>
      <c r="V355" s="441"/>
      <c r="W355" s="441"/>
      <c r="X355" s="441"/>
      <c r="Y355" s="441"/>
      <c r="Z355" s="441"/>
      <c r="CQ355" s="35"/>
      <c r="FR355" s="36"/>
      <c r="FS355" s="36"/>
      <c r="FT355" s="36"/>
      <c r="FU355" s="36"/>
      <c r="FV355" s="36"/>
      <c r="FW355" s="36"/>
      <c r="FX355" s="36"/>
      <c r="FY355" s="36"/>
      <c r="FZ355" s="36"/>
      <c r="GA355" s="36"/>
    </row>
    <row r="356" spans="10:183" s="34" customFormat="1" ht="27" hidden="1">
      <c r="L356" s="438"/>
      <c r="M356" s="438"/>
      <c r="N356" s="439"/>
      <c r="O356" s="439"/>
      <c r="P356" s="439"/>
      <c r="Q356" s="439"/>
      <c r="R356" s="442" t="s">
        <v>406</v>
      </c>
      <c r="S356" s="193"/>
      <c r="T356" s="111"/>
      <c r="U356" s="441"/>
      <c r="V356" s="441"/>
      <c r="W356" s="441"/>
      <c r="X356" s="441"/>
      <c r="Y356" s="441"/>
      <c r="Z356" s="441"/>
      <c r="CQ356" s="35"/>
      <c r="FR356" s="36"/>
      <c r="FS356" s="36"/>
      <c r="FT356" s="36"/>
      <c r="FU356" s="36"/>
      <c r="FV356" s="36"/>
      <c r="FW356" s="36"/>
      <c r="FX356" s="36"/>
      <c r="FY356" s="36"/>
      <c r="FZ356" s="36"/>
      <c r="GA356" s="36"/>
    </row>
    <row r="357" spans="10:183" s="34" customFormat="1" ht="15" hidden="1">
      <c r="U357" s="441" t="s">
        <v>407</v>
      </c>
      <c r="V357" s="441"/>
      <c r="W357" s="441"/>
      <c r="X357" s="441"/>
      <c r="Y357" s="441"/>
      <c r="Z357" s="441"/>
      <c r="CQ357" s="35"/>
      <c r="FR357" s="36"/>
      <c r="FS357" s="36"/>
      <c r="FT357" s="36"/>
      <c r="FU357" s="36"/>
      <c r="FV357" s="36"/>
      <c r="FW357" s="36"/>
      <c r="FX357" s="36"/>
      <c r="FY357" s="36"/>
      <c r="FZ357" s="36"/>
      <c r="GA357" s="36"/>
    </row>
    <row r="358" spans="10:183" s="34" customFormat="1" ht="15" hidden="1">
      <c r="U358" s="441"/>
      <c r="V358" s="441"/>
      <c r="W358" s="441"/>
      <c r="X358" s="441"/>
      <c r="Y358" s="441"/>
      <c r="Z358" s="441"/>
      <c r="CQ358" s="35"/>
      <c r="FR358" s="36"/>
      <c r="FS358" s="36"/>
      <c r="FT358" s="36"/>
      <c r="FU358" s="36"/>
      <c r="FV358" s="36"/>
      <c r="FW358" s="36"/>
      <c r="FX358" s="36"/>
      <c r="FY358" s="36"/>
      <c r="FZ358" s="36"/>
      <c r="GA358" s="36"/>
    </row>
    <row r="359" spans="10:183" s="34" customFormat="1" ht="15">
      <c r="CQ359" s="35"/>
      <c r="FR359" s="36"/>
      <c r="FS359" s="36"/>
      <c r="FT359" s="36"/>
      <c r="FU359" s="36"/>
      <c r="FV359" s="36"/>
      <c r="FW359" s="36"/>
      <c r="FX359" s="36"/>
      <c r="FY359" s="36"/>
      <c r="FZ359" s="36"/>
      <c r="GA359" s="36"/>
    </row>
    <row r="360" spans="10:183" s="34" customFormat="1" ht="15">
      <c r="CQ360" s="35"/>
      <c r="FR360" s="36"/>
      <c r="FS360" s="36"/>
      <c r="FT360" s="36"/>
      <c r="FU360" s="36"/>
      <c r="FV360" s="36"/>
      <c r="FW360" s="36"/>
      <c r="FX360" s="36"/>
      <c r="FY360" s="36"/>
      <c r="FZ360" s="36"/>
      <c r="GA360" s="36"/>
    </row>
    <row r="361" spans="10:183" s="34" customFormat="1" ht="15">
      <c r="CQ361" s="35"/>
      <c r="FR361" s="36"/>
      <c r="FS361" s="36"/>
      <c r="FT361" s="36"/>
      <c r="FU361" s="36"/>
      <c r="FV361" s="36"/>
      <c r="FW361" s="36"/>
      <c r="FX361" s="36"/>
      <c r="FY361" s="36"/>
      <c r="FZ361" s="36"/>
      <c r="GA361" s="36"/>
    </row>
    <row r="362" spans="10:183" s="34" customFormat="1" ht="15">
      <c r="CQ362" s="35"/>
      <c r="FR362" s="36"/>
      <c r="FS362" s="36"/>
      <c r="FT362" s="36"/>
      <c r="FU362" s="36"/>
      <c r="FV362" s="36"/>
      <c r="FW362" s="36"/>
      <c r="FX362" s="36"/>
      <c r="FY362" s="36"/>
      <c r="FZ362" s="36"/>
      <c r="GA362" s="36"/>
    </row>
    <row r="363" spans="10:183" s="34" customFormat="1" ht="15">
      <c r="CQ363" s="35"/>
      <c r="FR363" s="36"/>
      <c r="FS363" s="36"/>
      <c r="FT363" s="36"/>
      <c r="FU363" s="36"/>
      <c r="FV363" s="36"/>
      <c r="FW363" s="36"/>
      <c r="FX363" s="36"/>
      <c r="FY363" s="36"/>
      <c r="FZ363" s="36"/>
      <c r="GA363" s="36"/>
    </row>
    <row r="364" spans="10:183" s="34" customFormat="1" ht="15">
      <c r="CQ364" s="35"/>
      <c r="FR364" s="36"/>
      <c r="FS364" s="36"/>
      <c r="FT364" s="36"/>
      <c r="FU364" s="36"/>
      <c r="FV364" s="36"/>
      <c r="FW364" s="36"/>
      <c r="FX364" s="36"/>
      <c r="FY364" s="36"/>
      <c r="FZ364" s="36"/>
      <c r="GA364" s="36"/>
    </row>
    <row r="365" spans="10:183" s="34" customFormat="1" ht="15">
      <c r="CQ365" s="35"/>
      <c r="FR365" s="36"/>
      <c r="FS365" s="36"/>
      <c r="FT365" s="36"/>
      <c r="FU365" s="36"/>
      <c r="FV365" s="36"/>
      <c r="FW365" s="36"/>
      <c r="FX365" s="36"/>
      <c r="FY365" s="36"/>
      <c r="FZ365" s="36"/>
      <c r="GA365" s="36"/>
    </row>
    <row r="366" spans="10:183" s="34" customFormat="1" ht="15" hidden="1">
      <c r="J366" s="36"/>
      <c r="CQ366" s="35"/>
      <c r="FR366" s="36"/>
      <c r="FS366" s="36"/>
      <c r="FT366" s="36"/>
      <c r="FU366" s="36"/>
      <c r="FV366" s="36"/>
      <c r="FW366" s="36"/>
      <c r="FX366" s="36"/>
      <c r="FY366" s="36"/>
      <c r="FZ366" s="36"/>
      <c r="GA366" s="36"/>
    </row>
    <row r="367" spans="10:183" s="34" customFormat="1" ht="15" hidden="1">
      <c r="J367" s="36"/>
      <c r="CQ367" s="35"/>
      <c r="FR367" s="36"/>
      <c r="FS367" s="36"/>
      <c r="FT367" s="36"/>
      <c r="FU367" s="36"/>
      <c r="FV367" s="36"/>
      <c r="FW367" s="36"/>
      <c r="FX367" s="36"/>
      <c r="FY367" s="36"/>
      <c r="FZ367" s="36"/>
      <c r="GA367" s="36"/>
    </row>
    <row r="368" spans="10:183" s="34" customFormat="1" ht="15" hidden="1">
      <c r="J368" s="36"/>
      <c r="CQ368" s="35"/>
      <c r="FR368" s="36"/>
      <c r="FS368" s="36"/>
      <c r="FT368" s="36"/>
      <c r="FU368" s="36"/>
      <c r="FV368" s="36"/>
      <c r="FW368" s="36"/>
      <c r="FX368" s="36"/>
      <c r="FY368" s="36"/>
      <c r="FZ368" s="36"/>
      <c r="GA368" s="36"/>
    </row>
    <row r="369" spans="10:183" s="34" customFormat="1" ht="15" hidden="1">
      <c r="J369" s="36"/>
      <c r="CQ369" s="35"/>
      <c r="FR369" s="36"/>
      <c r="FS369" s="36"/>
      <c r="FT369" s="36"/>
      <c r="FU369" s="36"/>
      <c r="FV369" s="36"/>
      <c r="FW369" s="36"/>
      <c r="FX369" s="36"/>
      <c r="FY369" s="36"/>
      <c r="FZ369" s="36"/>
      <c r="GA369" s="36"/>
    </row>
    <row r="370" spans="10:183" s="34" customFormat="1" ht="15" hidden="1">
      <c r="J370" s="36"/>
      <c r="CQ370" s="35"/>
      <c r="FR370" s="36"/>
      <c r="FS370" s="36"/>
      <c r="FT370" s="36"/>
      <c r="FU370" s="36"/>
      <c r="FV370" s="36"/>
      <c r="FW370" s="36"/>
      <c r="FX370" s="36"/>
      <c r="FY370" s="36"/>
      <c r="FZ370" s="36"/>
      <c r="GA370" s="36"/>
    </row>
    <row r="371" spans="10:183" s="34" customFormat="1" ht="15" hidden="1">
      <c r="J371" s="36"/>
      <c r="CQ371" s="35"/>
      <c r="FR371" s="36"/>
      <c r="FS371" s="36"/>
      <c r="FT371" s="36"/>
      <c r="FU371" s="36"/>
      <c r="FV371" s="36"/>
      <c r="FW371" s="36"/>
      <c r="FX371" s="36"/>
      <c r="FY371" s="36"/>
      <c r="FZ371" s="36"/>
      <c r="GA371" s="36"/>
    </row>
    <row r="372" spans="10:183" s="34" customFormat="1" ht="15" hidden="1">
      <c r="J372" s="36"/>
      <c r="CQ372" s="35"/>
      <c r="FR372" s="36"/>
      <c r="FS372" s="36"/>
      <c r="FT372" s="36"/>
      <c r="FU372" s="36"/>
      <c r="FV372" s="36"/>
      <c r="FW372" s="36"/>
      <c r="FX372" s="36"/>
      <c r="FY372" s="36"/>
      <c r="FZ372" s="36"/>
      <c r="GA372" s="36"/>
    </row>
    <row r="373" spans="10:183" s="34" customFormat="1" ht="15" hidden="1">
      <c r="J373" s="36"/>
      <c r="CQ373" s="35"/>
      <c r="FR373" s="36"/>
      <c r="FS373" s="36"/>
      <c r="FT373" s="36"/>
      <c r="FU373" s="36"/>
      <c r="FV373" s="36"/>
      <c r="FW373" s="36"/>
      <c r="FX373" s="36"/>
      <c r="FY373" s="36"/>
      <c r="FZ373" s="36"/>
      <c r="GA373" s="36"/>
    </row>
    <row r="374" spans="10:183" s="34" customFormat="1" ht="15" hidden="1">
      <c r="J374" s="36"/>
      <c r="CQ374" s="35"/>
      <c r="FR374" s="36"/>
      <c r="FS374" s="36"/>
      <c r="FT374" s="36"/>
      <c r="FU374" s="36"/>
      <c r="FV374" s="36"/>
      <c r="FW374" s="36"/>
      <c r="FX374" s="36"/>
      <c r="FY374" s="36"/>
      <c r="FZ374" s="36"/>
      <c r="GA374" s="36"/>
    </row>
    <row r="375" spans="10:183" s="34" customFormat="1" ht="15" hidden="1">
      <c r="J375" s="36"/>
      <c r="CQ375" s="35"/>
      <c r="FR375" s="36"/>
      <c r="FS375" s="36"/>
      <c r="FT375" s="36"/>
      <c r="FU375" s="36"/>
      <c r="FV375" s="36"/>
      <c r="FW375" s="36"/>
      <c r="FX375" s="36"/>
      <c r="FY375" s="36"/>
      <c r="FZ375" s="36"/>
      <c r="GA375" s="36"/>
    </row>
    <row r="376" spans="10:183" s="34" customFormat="1" ht="15" hidden="1">
      <c r="J376" s="36"/>
      <c r="CQ376" s="35"/>
      <c r="FR376" s="36"/>
      <c r="FS376" s="36"/>
      <c r="FT376" s="36"/>
      <c r="FU376" s="36"/>
      <c r="FV376" s="36"/>
      <c r="FW376" s="36"/>
      <c r="FX376" s="36"/>
      <c r="FY376" s="36"/>
      <c r="FZ376" s="36"/>
      <c r="GA376" s="36"/>
    </row>
    <row r="377" spans="10:183" s="34" customFormat="1" ht="15" hidden="1">
      <c r="J377" s="36"/>
      <c r="CQ377" s="35"/>
      <c r="FR377" s="36"/>
      <c r="FS377" s="36"/>
      <c r="FT377" s="36"/>
      <c r="FU377" s="36"/>
      <c r="FV377" s="36"/>
      <c r="FW377" s="36"/>
      <c r="FX377" s="36"/>
      <c r="FY377" s="36"/>
      <c r="FZ377" s="36"/>
      <c r="GA377" s="36"/>
    </row>
    <row r="378" spans="10:183" s="34" customFormat="1" ht="15" hidden="1">
      <c r="J378" s="36"/>
      <c r="CQ378" s="35"/>
      <c r="FR378" s="36"/>
      <c r="FS378" s="36"/>
      <c r="FT378" s="36"/>
      <c r="FU378" s="36"/>
      <c r="FV378" s="36"/>
      <c r="FW378" s="36"/>
      <c r="FX378" s="36"/>
      <c r="FY378" s="36"/>
      <c r="FZ378" s="36"/>
      <c r="GA378" s="36"/>
    </row>
    <row r="379" spans="10:183" s="34" customFormat="1" ht="15" hidden="1">
      <c r="J379" s="36"/>
      <c r="CQ379" s="35"/>
      <c r="FR379" s="36"/>
      <c r="FS379" s="36"/>
      <c r="FT379" s="36"/>
      <c r="FU379" s="36"/>
      <c r="FV379" s="36"/>
      <c r="FW379" s="36"/>
      <c r="FX379" s="36"/>
      <c r="FY379" s="36"/>
      <c r="FZ379" s="36"/>
      <c r="GA379" s="36"/>
    </row>
    <row r="380" spans="10:183" s="34" customFormat="1" ht="15" hidden="1">
      <c r="J380" s="36"/>
      <c r="CQ380" s="35"/>
      <c r="FR380" s="36"/>
      <c r="FS380" s="36"/>
      <c r="FT380" s="36"/>
      <c r="FU380" s="36"/>
      <c r="FV380" s="36"/>
      <c r="FW380" s="36"/>
      <c r="FX380" s="36"/>
      <c r="FY380" s="36"/>
      <c r="FZ380" s="36"/>
      <c r="GA380" s="36"/>
    </row>
    <row r="381" spans="10:183" s="34" customFormat="1" ht="15" hidden="1">
      <c r="J381" s="36"/>
      <c r="CQ381" s="35"/>
      <c r="FR381" s="36"/>
      <c r="FS381" s="36"/>
      <c r="FT381" s="36"/>
      <c r="FU381" s="36"/>
      <c r="FV381" s="36"/>
      <c r="FW381" s="36"/>
      <c r="FX381" s="36"/>
      <c r="FY381" s="36"/>
      <c r="FZ381" s="36"/>
      <c r="GA381" s="36"/>
    </row>
    <row r="382" spans="10:183" s="34" customFormat="1" ht="15" hidden="1">
      <c r="J382" s="36"/>
      <c r="CQ382" s="35"/>
      <c r="FR382" s="36"/>
      <c r="FS382" s="36"/>
      <c r="FT382" s="36"/>
      <c r="FU382" s="36"/>
      <c r="FV382" s="36"/>
      <c r="FW382" s="36"/>
      <c r="FX382" s="36"/>
      <c r="FY382" s="36"/>
      <c r="FZ382" s="36"/>
      <c r="GA382" s="36"/>
    </row>
    <row r="383" spans="10:183" s="34" customFormat="1" ht="15" hidden="1">
      <c r="J383" s="36"/>
      <c r="CQ383" s="35"/>
      <c r="FR383" s="36"/>
      <c r="FS383" s="36"/>
      <c r="FT383" s="36"/>
      <c r="FU383" s="36"/>
      <c r="FV383" s="36"/>
      <c r="FW383" s="36"/>
      <c r="FX383" s="36"/>
      <c r="FY383" s="36"/>
      <c r="FZ383" s="36"/>
      <c r="GA383" s="36"/>
    </row>
    <row r="384" spans="10:183" s="34" customFormat="1" ht="15" hidden="1">
      <c r="J384" s="36"/>
      <c r="CQ384" s="35"/>
      <c r="FR384" s="36"/>
      <c r="FS384" s="36"/>
      <c r="FT384" s="36"/>
      <c r="FU384" s="36"/>
      <c r="FV384" s="36"/>
      <c r="FW384" s="36"/>
      <c r="FX384" s="36"/>
      <c r="FY384" s="36"/>
      <c r="FZ384" s="36"/>
      <c r="GA384" s="36"/>
    </row>
    <row r="385" spans="10:183" s="34" customFormat="1" ht="15" hidden="1">
      <c r="J385" s="36"/>
      <c r="CQ385" s="35"/>
      <c r="FR385" s="36"/>
      <c r="FS385" s="36"/>
      <c r="FT385" s="36"/>
      <c r="FU385" s="36"/>
      <c r="FV385" s="36"/>
      <c r="FW385" s="36"/>
      <c r="FX385" s="36"/>
      <c r="FY385" s="36"/>
      <c r="FZ385" s="36"/>
      <c r="GA385" s="36"/>
    </row>
    <row r="386" spans="10:183" s="34" customFormat="1" ht="15" hidden="1">
      <c r="J386" s="36"/>
      <c r="CQ386" s="35"/>
      <c r="FR386" s="36"/>
      <c r="FS386" s="36"/>
      <c r="FT386" s="36"/>
      <c r="FU386" s="36"/>
      <c r="FV386" s="36"/>
      <c r="FW386" s="36"/>
      <c r="FX386" s="36"/>
      <c r="FY386" s="36"/>
      <c r="FZ386" s="36"/>
      <c r="GA386" s="36"/>
    </row>
    <row r="387" spans="10:183" s="34" customFormat="1" ht="15" hidden="1">
      <c r="J387" s="36"/>
      <c r="CQ387" s="35"/>
      <c r="FR387" s="36"/>
      <c r="FS387" s="36"/>
      <c r="FT387" s="36"/>
      <c r="FU387" s="36"/>
      <c r="FV387" s="36"/>
      <c r="FW387" s="36"/>
      <c r="FX387" s="36"/>
      <c r="FY387" s="36"/>
      <c r="FZ387" s="36"/>
      <c r="GA387" s="36"/>
    </row>
    <row r="388" spans="10:183" s="34" customFormat="1" ht="15" hidden="1">
      <c r="J388" s="36"/>
      <c r="CQ388" s="35"/>
      <c r="FR388" s="36"/>
      <c r="FS388" s="36"/>
      <c r="FT388" s="36"/>
      <c r="FU388" s="36"/>
      <c r="FV388" s="36"/>
      <c r="FW388" s="36"/>
      <c r="FX388" s="36"/>
      <c r="FY388" s="36"/>
      <c r="FZ388" s="36"/>
      <c r="GA388" s="36"/>
    </row>
    <row r="389" spans="10:183" s="34" customFormat="1" ht="15" hidden="1">
      <c r="J389" s="36"/>
      <c r="CQ389" s="35"/>
      <c r="FR389" s="36"/>
      <c r="FS389" s="36"/>
      <c r="FT389" s="36"/>
      <c r="FU389" s="36"/>
      <c r="FV389" s="36"/>
      <c r="FW389" s="36"/>
      <c r="FX389" s="36"/>
      <c r="FY389" s="36"/>
      <c r="FZ389" s="36"/>
      <c r="GA389" s="36"/>
    </row>
    <row r="390" spans="10:183" s="34" customFormat="1" ht="15" hidden="1">
      <c r="J390" s="36"/>
      <c r="CQ390" s="35"/>
      <c r="FR390" s="36"/>
      <c r="FS390" s="36"/>
      <c r="FT390" s="36"/>
      <c r="FU390" s="36"/>
      <c r="FV390" s="36"/>
      <c r="FW390" s="36"/>
      <c r="FX390" s="36"/>
      <c r="FY390" s="36"/>
      <c r="FZ390" s="36"/>
      <c r="GA390" s="36"/>
    </row>
    <row r="391" spans="10:183" s="34" customFormat="1" ht="15" hidden="1">
      <c r="J391" s="36"/>
      <c r="CQ391" s="35"/>
      <c r="FR391" s="36"/>
      <c r="FS391" s="36"/>
      <c r="FT391" s="36"/>
      <c r="FU391" s="36"/>
      <c r="FV391" s="36"/>
      <c r="FW391" s="36"/>
      <c r="FX391" s="36"/>
      <c r="FY391" s="36"/>
      <c r="FZ391" s="36"/>
      <c r="GA391" s="36"/>
    </row>
    <row r="392" spans="10:183" s="34" customFormat="1" ht="15" hidden="1">
      <c r="J392" s="36"/>
      <c r="CQ392" s="35"/>
      <c r="FR392" s="36"/>
      <c r="FS392" s="36"/>
      <c r="FT392" s="36"/>
      <c r="FU392" s="36"/>
      <c r="FV392" s="36"/>
      <c r="FW392" s="36"/>
      <c r="FX392" s="36"/>
      <c r="FY392" s="36"/>
      <c r="FZ392" s="36"/>
      <c r="GA392" s="36"/>
    </row>
    <row r="393" spans="10:183" s="34" customFormat="1" ht="15" hidden="1">
      <c r="J393" s="36"/>
      <c r="CQ393" s="35"/>
      <c r="FR393" s="36"/>
      <c r="FS393" s="36"/>
      <c r="FT393" s="36"/>
      <c r="FU393" s="36"/>
      <c r="FV393" s="36"/>
      <c r="FW393" s="36"/>
      <c r="FX393" s="36"/>
      <c r="FY393" s="36"/>
      <c r="FZ393" s="36"/>
      <c r="GA393" s="36"/>
    </row>
    <row r="394" spans="10:183" s="34" customFormat="1" ht="15" hidden="1">
      <c r="J394" s="36"/>
      <c r="CQ394" s="35"/>
      <c r="FR394" s="36"/>
      <c r="FS394" s="36"/>
      <c r="FT394" s="36"/>
      <c r="FU394" s="36"/>
      <c r="FV394" s="36"/>
      <c r="FW394" s="36"/>
      <c r="FX394" s="36"/>
      <c r="FY394" s="36"/>
      <c r="FZ394" s="36"/>
      <c r="GA394" s="36"/>
    </row>
    <row r="395" spans="10:183" s="34" customFormat="1" ht="15" hidden="1">
      <c r="J395" s="36"/>
      <c r="CQ395" s="35"/>
      <c r="FR395" s="36"/>
      <c r="FS395" s="36"/>
      <c r="FT395" s="36"/>
      <c r="FU395" s="36"/>
      <c r="FV395" s="36"/>
      <c r="FW395" s="36"/>
      <c r="FX395" s="36"/>
      <c r="FY395" s="36"/>
      <c r="FZ395" s="36"/>
      <c r="GA395" s="36"/>
    </row>
    <row r="396" spans="10:183" s="34" customFormat="1" ht="15" hidden="1">
      <c r="J396" s="36"/>
      <c r="CQ396" s="35"/>
      <c r="FR396" s="36"/>
      <c r="FS396" s="36"/>
      <c r="FT396" s="36"/>
      <c r="FU396" s="36"/>
      <c r="FV396" s="36"/>
      <c r="FW396" s="36"/>
      <c r="FX396" s="36"/>
      <c r="FY396" s="36"/>
      <c r="FZ396" s="36"/>
      <c r="GA396" s="36"/>
    </row>
    <row r="397" spans="10:183" s="34" customFormat="1" ht="15" hidden="1">
      <c r="J397" s="36"/>
      <c r="CQ397" s="35"/>
      <c r="FR397" s="36"/>
      <c r="FS397" s="36"/>
      <c r="FT397" s="36"/>
      <c r="FU397" s="36"/>
      <c r="FV397" s="36"/>
      <c r="FW397" s="36"/>
      <c r="FX397" s="36"/>
      <c r="FY397" s="36"/>
      <c r="FZ397" s="36"/>
      <c r="GA397" s="36"/>
    </row>
    <row r="398" spans="10:183" s="34" customFormat="1" ht="15" hidden="1">
      <c r="J398" s="36"/>
      <c r="CQ398" s="35"/>
      <c r="FR398" s="36"/>
      <c r="FS398" s="36"/>
      <c r="FT398" s="36"/>
      <c r="FU398" s="36"/>
      <c r="FV398" s="36"/>
      <c r="FW398" s="36"/>
      <c r="FX398" s="36"/>
      <c r="FY398" s="36"/>
      <c r="FZ398" s="36"/>
      <c r="GA398" s="36"/>
    </row>
    <row r="399" spans="10:183" s="34" customFormat="1" ht="15" hidden="1">
      <c r="J399" s="36"/>
      <c r="CQ399" s="35"/>
      <c r="FR399" s="36"/>
      <c r="FS399" s="36"/>
      <c r="FT399" s="36"/>
      <c r="FU399" s="36"/>
      <c r="FV399" s="36"/>
      <c r="FW399" s="36"/>
      <c r="FX399" s="36"/>
      <c r="FY399" s="36"/>
      <c r="FZ399" s="36"/>
      <c r="GA399" s="36"/>
    </row>
    <row r="400" spans="10:183" s="34" customFormat="1" ht="15" hidden="1">
      <c r="J400" s="36"/>
      <c r="CQ400" s="35"/>
      <c r="FR400" s="36"/>
      <c r="FS400" s="36"/>
      <c r="FT400" s="36"/>
      <c r="FU400" s="36"/>
      <c r="FV400" s="36"/>
      <c r="FW400" s="36"/>
      <c r="FX400" s="36"/>
      <c r="FY400" s="36"/>
      <c r="FZ400" s="36"/>
      <c r="GA400" s="36"/>
    </row>
    <row r="401" spans="10:183" s="34" customFormat="1" ht="15" hidden="1">
      <c r="J401" s="36"/>
      <c r="CQ401" s="35"/>
      <c r="FR401" s="36"/>
      <c r="FS401" s="36"/>
      <c r="FT401" s="36"/>
      <c r="FU401" s="36"/>
      <c r="FV401" s="36"/>
      <c r="FW401" s="36"/>
      <c r="FX401" s="36"/>
      <c r="FY401" s="36"/>
      <c r="FZ401" s="36"/>
      <c r="GA401" s="36"/>
    </row>
    <row r="402" spans="10:183" s="34" customFormat="1" ht="15" hidden="1">
      <c r="J402" s="36"/>
      <c r="CQ402" s="35"/>
      <c r="FR402" s="36"/>
      <c r="FS402" s="36"/>
      <c r="FT402" s="36"/>
      <c r="FU402" s="36"/>
      <c r="FV402" s="36"/>
      <c r="FW402" s="36"/>
      <c r="FX402" s="36"/>
      <c r="FY402" s="36"/>
      <c r="FZ402" s="36"/>
      <c r="GA402" s="36"/>
    </row>
    <row r="403" spans="10:183" s="34" customFormat="1" ht="15" hidden="1">
      <c r="J403" s="36"/>
      <c r="CQ403" s="35"/>
      <c r="FR403" s="36"/>
      <c r="FS403" s="36"/>
      <c r="FT403" s="36"/>
      <c r="FU403" s="36"/>
      <c r="FV403" s="36"/>
      <c r="FW403" s="36"/>
      <c r="FX403" s="36"/>
      <c r="FY403" s="36"/>
      <c r="FZ403" s="36"/>
      <c r="GA403" s="36"/>
    </row>
    <row r="404" spans="10:183" s="34" customFormat="1" ht="15" hidden="1">
      <c r="J404" s="36"/>
      <c r="CQ404" s="35"/>
      <c r="FR404" s="36"/>
      <c r="FS404" s="36"/>
      <c r="FT404" s="36"/>
      <c r="FU404" s="36"/>
      <c r="FV404" s="36"/>
      <c r="FW404" s="36"/>
      <c r="FX404" s="36"/>
      <c r="FY404" s="36"/>
      <c r="FZ404" s="36"/>
      <c r="GA404" s="36"/>
    </row>
    <row r="405" spans="10:183" s="34" customFormat="1" ht="15" hidden="1">
      <c r="J405" s="36"/>
      <c r="CQ405" s="35"/>
      <c r="FR405" s="36"/>
      <c r="FS405" s="36"/>
      <c r="FT405" s="36"/>
      <c r="FU405" s="36"/>
      <c r="FV405" s="36"/>
      <c r="FW405" s="36"/>
      <c r="FX405" s="36"/>
      <c r="FY405" s="36"/>
      <c r="FZ405" s="36"/>
      <c r="GA405" s="36"/>
    </row>
    <row r="406" spans="10:183" s="34" customFormat="1" ht="15" hidden="1">
      <c r="J406" s="36"/>
      <c r="CQ406" s="35"/>
      <c r="FR406" s="36"/>
      <c r="FS406" s="36"/>
      <c r="FT406" s="36"/>
      <c r="FU406" s="36"/>
      <c r="FV406" s="36"/>
      <c r="FW406" s="36"/>
      <c r="FX406" s="36"/>
      <c r="FY406" s="36"/>
      <c r="FZ406" s="36"/>
      <c r="GA406" s="36"/>
    </row>
    <row r="407" spans="10:183" s="34" customFormat="1" ht="15" hidden="1">
      <c r="J407" s="36"/>
      <c r="CQ407" s="35"/>
      <c r="FR407" s="36"/>
      <c r="FS407" s="36"/>
      <c r="FT407" s="36"/>
      <c r="FU407" s="36"/>
      <c r="FV407" s="36"/>
      <c r="FW407" s="36"/>
      <c r="FX407" s="36"/>
      <c r="FY407" s="36"/>
      <c r="FZ407" s="36"/>
      <c r="GA407" s="36"/>
    </row>
    <row r="408" spans="10:183" s="34" customFormat="1" ht="15" hidden="1">
      <c r="J408" s="36"/>
      <c r="CQ408" s="35"/>
      <c r="FR408" s="36"/>
      <c r="FS408" s="36"/>
      <c r="FT408" s="36"/>
      <c r="FU408" s="36"/>
      <c r="FV408" s="36"/>
      <c r="FW408" s="36"/>
      <c r="FX408" s="36"/>
      <c r="FY408" s="36"/>
      <c r="FZ408" s="36"/>
      <c r="GA408" s="36"/>
    </row>
    <row r="409" spans="10:183" s="34" customFormat="1" ht="15" hidden="1">
      <c r="J409" s="36"/>
      <c r="CQ409" s="35"/>
      <c r="FR409" s="36"/>
      <c r="FS409" s="36"/>
      <c r="FT409" s="36"/>
      <c r="FU409" s="36"/>
      <c r="FV409" s="36"/>
      <c r="FW409" s="36"/>
      <c r="FX409" s="36"/>
      <c r="FY409" s="36"/>
      <c r="FZ409" s="36"/>
      <c r="GA409" s="36"/>
    </row>
    <row r="410" spans="10:183" s="34" customFormat="1" ht="15" hidden="1">
      <c r="J410" s="36"/>
      <c r="CQ410" s="35"/>
      <c r="FR410" s="36"/>
      <c r="FS410" s="36"/>
      <c r="FT410" s="36"/>
      <c r="FU410" s="36"/>
      <c r="FV410" s="36"/>
      <c r="FW410" s="36"/>
      <c r="FX410" s="36"/>
      <c r="FY410" s="36"/>
      <c r="FZ410" s="36"/>
      <c r="GA410" s="36"/>
    </row>
    <row r="411" spans="10:183" s="34" customFormat="1" ht="15" hidden="1">
      <c r="J411" s="36"/>
      <c r="CQ411" s="35"/>
      <c r="FR411" s="36"/>
      <c r="FS411" s="36"/>
      <c r="FT411" s="36"/>
      <c r="FU411" s="36"/>
      <c r="FV411" s="36"/>
      <c r="FW411" s="36"/>
      <c r="FX411" s="36"/>
      <c r="FY411" s="36"/>
      <c r="FZ411" s="36"/>
      <c r="GA411" s="36"/>
    </row>
    <row r="412" spans="10:183" s="34" customFormat="1" ht="15" hidden="1">
      <c r="J412" s="36"/>
      <c r="CQ412" s="35"/>
      <c r="FR412" s="36"/>
      <c r="FS412" s="36"/>
      <c r="FT412" s="36"/>
      <c r="FU412" s="36"/>
      <c r="FV412" s="36"/>
      <c r="FW412" s="36"/>
      <c r="FX412" s="36"/>
      <c r="FY412" s="36"/>
      <c r="FZ412" s="36"/>
      <c r="GA412" s="36"/>
    </row>
    <row r="413" spans="10:183" s="34" customFormat="1" ht="15" hidden="1">
      <c r="J413" s="36"/>
      <c r="CQ413" s="35"/>
      <c r="FR413" s="36"/>
      <c r="FS413" s="36"/>
      <c r="FT413" s="36"/>
      <c r="FU413" s="36"/>
      <c r="FV413" s="36"/>
      <c r="FW413" s="36"/>
      <c r="FX413" s="36"/>
      <c r="FY413" s="36"/>
      <c r="FZ413" s="36"/>
      <c r="GA413" s="36"/>
    </row>
    <row r="414" spans="10:183" s="34" customFormat="1" ht="15" hidden="1">
      <c r="J414" s="36"/>
      <c r="CQ414" s="35"/>
      <c r="FR414" s="36"/>
      <c r="FS414" s="36"/>
      <c r="FT414" s="36"/>
      <c r="FU414" s="36"/>
      <c r="FV414" s="36"/>
      <c r="FW414" s="36"/>
      <c r="FX414" s="36"/>
      <c r="FY414" s="36"/>
      <c r="FZ414" s="36"/>
      <c r="GA414" s="36"/>
    </row>
    <row r="415" spans="10:183" s="34" customFormat="1" ht="15" hidden="1">
      <c r="J415" s="36"/>
      <c r="CQ415" s="35"/>
      <c r="FR415" s="36"/>
      <c r="FS415" s="36"/>
      <c r="FT415" s="36"/>
      <c r="FU415" s="36"/>
      <c r="FV415" s="36"/>
      <c r="FW415" s="36"/>
      <c r="FX415" s="36"/>
      <c r="FY415" s="36"/>
      <c r="FZ415" s="36"/>
      <c r="GA415" s="36"/>
    </row>
    <row r="416" spans="10:183" s="34" customFormat="1" ht="15" hidden="1">
      <c r="J416" s="36"/>
      <c r="CQ416" s="35"/>
      <c r="FR416" s="36"/>
      <c r="FS416" s="36"/>
      <c r="FT416" s="36"/>
      <c r="FU416" s="36"/>
      <c r="FV416" s="36"/>
      <c r="FW416" s="36"/>
      <c r="FX416" s="36"/>
      <c r="FY416" s="36"/>
      <c r="FZ416" s="36"/>
      <c r="GA416" s="36"/>
    </row>
    <row r="417" spans="10:183" s="34" customFormat="1" ht="15" hidden="1">
      <c r="J417" s="36"/>
      <c r="CQ417" s="35"/>
      <c r="FR417" s="36"/>
      <c r="FS417" s="36"/>
      <c r="FT417" s="36"/>
      <c r="FU417" s="36"/>
      <c r="FV417" s="36"/>
      <c r="FW417" s="36"/>
      <c r="FX417" s="36"/>
      <c r="FY417" s="36"/>
      <c r="FZ417" s="36"/>
      <c r="GA417" s="36"/>
    </row>
    <row r="418" spans="10:183" s="34" customFormat="1" ht="15" hidden="1">
      <c r="J418" s="36"/>
      <c r="CQ418" s="35"/>
      <c r="FR418" s="36"/>
      <c r="FS418" s="36"/>
      <c r="FT418" s="36"/>
      <c r="FU418" s="36"/>
      <c r="FV418" s="36"/>
      <c r="FW418" s="36"/>
      <c r="FX418" s="36"/>
      <c r="FY418" s="36"/>
      <c r="FZ418" s="36"/>
      <c r="GA418" s="36"/>
    </row>
    <row r="419" spans="10:183" s="34" customFormat="1" ht="15" hidden="1">
      <c r="J419" s="36"/>
      <c r="CQ419" s="35"/>
      <c r="FR419" s="36"/>
      <c r="FS419" s="36"/>
      <c r="FT419" s="36"/>
      <c r="FU419" s="36"/>
      <c r="FV419" s="36"/>
      <c r="FW419" s="36"/>
      <c r="FX419" s="36"/>
      <c r="FY419" s="36"/>
      <c r="FZ419" s="36"/>
      <c r="GA419" s="36"/>
    </row>
    <row r="420" spans="10:183" s="34" customFormat="1" ht="15" hidden="1">
      <c r="J420" s="36"/>
      <c r="CQ420" s="35"/>
      <c r="FR420" s="36"/>
      <c r="FS420" s="36"/>
      <c r="FT420" s="36"/>
      <c r="FU420" s="36"/>
      <c r="FV420" s="36"/>
      <c r="FW420" s="36"/>
      <c r="FX420" s="36"/>
      <c r="FY420" s="36"/>
      <c r="FZ420" s="36"/>
      <c r="GA420" s="36"/>
    </row>
    <row r="421" spans="10:183" s="34" customFormat="1" ht="15" hidden="1">
      <c r="J421" s="36"/>
      <c r="CQ421" s="35"/>
      <c r="FR421" s="36"/>
      <c r="FS421" s="36"/>
      <c r="FT421" s="36"/>
      <c r="FU421" s="36"/>
      <c r="FV421" s="36"/>
      <c r="FW421" s="36"/>
      <c r="FX421" s="36"/>
      <c r="FY421" s="36"/>
      <c r="FZ421" s="36"/>
      <c r="GA421" s="36"/>
    </row>
    <row r="422" spans="10:183" s="34" customFormat="1" ht="15" hidden="1">
      <c r="J422" s="36"/>
      <c r="CQ422" s="35"/>
      <c r="FR422" s="36"/>
      <c r="FS422" s="36"/>
      <c r="FT422" s="36"/>
      <c r="FU422" s="36"/>
      <c r="FV422" s="36"/>
      <c r="FW422" s="36"/>
      <c r="FX422" s="36"/>
      <c r="FY422" s="36"/>
      <c r="FZ422" s="36"/>
      <c r="GA422" s="36"/>
    </row>
    <row r="423" spans="10:183" s="34" customFormat="1" ht="15" hidden="1">
      <c r="J423" s="36"/>
      <c r="CQ423" s="35"/>
      <c r="FR423" s="36"/>
      <c r="FS423" s="36"/>
      <c r="FT423" s="36"/>
      <c r="FU423" s="36"/>
      <c r="FV423" s="36"/>
      <c r="FW423" s="36"/>
      <c r="FX423" s="36"/>
      <c r="FY423" s="36"/>
      <c r="FZ423" s="36"/>
      <c r="GA423" s="36"/>
    </row>
    <row r="424" spans="10:183" s="34" customFormat="1" ht="15" hidden="1">
      <c r="J424" s="36"/>
      <c r="CQ424" s="35"/>
      <c r="FR424" s="36"/>
      <c r="FS424" s="36"/>
      <c r="FT424" s="36"/>
      <c r="FU424" s="36"/>
      <c r="FV424" s="36"/>
      <c r="FW424" s="36"/>
      <c r="FX424" s="36"/>
      <c r="FY424" s="36"/>
      <c r="FZ424" s="36"/>
      <c r="GA424" s="36"/>
    </row>
    <row r="425" spans="10:183" s="34" customFormat="1" ht="15" hidden="1">
      <c r="J425" s="36"/>
      <c r="CQ425" s="35"/>
      <c r="FR425" s="36"/>
      <c r="FS425" s="36"/>
      <c r="FT425" s="36"/>
      <c r="FU425" s="36"/>
      <c r="FV425" s="36"/>
      <c r="FW425" s="36"/>
      <c r="FX425" s="36"/>
      <c r="FY425" s="36"/>
      <c r="FZ425" s="36"/>
      <c r="GA425" s="36"/>
    </row>
    <row r="426" spans="10:183" s="34" customFormat="1" ht="15" hidden="1">
      <c r="J426" s="36"/>
      <c r="CQ426" s="35"/>
      <c r="FR426" s="36"/>
      <c r="FS426" s="36"/>
      <c r="FT426" s="36"/>
      <c r="FU426" s="36"/>
      <c r="FV426" s="36"/>
      <c r="FW426" s="36"/>
      <c r="FX426" s="36"/>
      <c r="FY426" s="36"/>
      <c r="FZ426" s="36"/>
      <c r="GA426" s="36"/>
    </row>
    <row r="427" spans="10:183" s="34" customFormat="1" ht="15" hidden="1">
      <c r="J427" s="36"/>
      <c r="CQ427" s="35"/>
      <c r="FR427" s="36"/>
      <c r="FS427" s="36"/>
      <c r="FT427" s="36"/>
      <c r="FU427" s="36"/>
      <c r="FV427" s="36"/>
      <c r="FW427" s="36"/>
      <c r="FX427" s="36"/>
      <c r="FY427" s="36"/>
      <c r="FZ427" s="36"/>
      <c r="GA427" s="36"/>
    </row>
    <row r="428" spans="10:183" s="34" customFormat="1" ht="15" hidden="1">
      <c r="J428" s="36"/>
      <c r="CQ428" s="35"/>
      <c r="FR428" s="36"/>
      <c r="FS428" s="36"/>
      <c r="FT428" s="36"/>
      <c r="FU428" s="36"/>
      <c r="FV428" s="36"/>
      <c r="FW428" s="36"/>
      <c r="FX428" s="36"/>
      <c r="FY428" s="36"/>
      <c r="FZ428" s="36"/>
      <c r="GA428" s="36"/>
    </row>
    <row r="429" spans="10:183" s="34" customFormat="1" ht="15" hidden="1">
      <c r="J429" s="36"/>
      <c r="CQ429" s="35"/>
      <c r="FR429" s="36"/>
      <c r="FS429" s="36"/>
      <c r="FT429" s="36"/>
      <c r="FU429" s="36"/>
      <c r="FV429" s="36"/>
      <c r="FW429" s="36"/>
      <c r="FX429" s="36"/>
      <c r="FY429" s="36"/>
      <c r="FZ429" s="36"/>
      <c r="GA429" s="36"/>
    </row>
    <row r="430" spans="10:183" s="34" customFormat="1" ht="15" hidden="1">
      <c r="J430" s="36"/>
      <c r="CQ430" s="35"/>
      <c r="FR430" s="36"/>
      <c r="FS430" s="36"/>
      <c r="FT430" s="36"/>
      <c r="FU430" s="36"/>
      <c r="FV430" s="36"/>
      <c r="FW430" s="36"/>
      <c r="FX430" s="36"/>
      <c r="FY430" s="36"/>
      <c r="FZ430" s="36"/>
      <c r="GA430" s="36"/>
    </row>
    <row r="431" spans="10:183" s="34" customFormat="1" ht="15" hidden="1">
      <c r="J431" s="36"/>
      <c r="CQ431" s="35"/>
      <c r="FR431" s="36"/>
      <c r="FS431" s="36"/>
      <c r="FT431" s="36"/>
      <c r="FU431" s="36"/>
      <c r="FV431" s="36"/>
      <c r="FW431" s="36"/>
      <c r="FX431" s="36"/>
      <c r="FY431" s="36"/>
      <c r="FZ431" s="36"/>
      <c r="GA431" s="36"/>
    </row>
    <row r="432" spans="10:183" s="34" customFormat="1" ht="15" hidden="1">
      <c r="J432" s="36"/>
      <c r="CQ432" s="35"/>
      <c r="FR432" s="36"/>
      <c r="FS432" s="36"/>
      <c r="FT432" s="36"/>
      <c r="FU432" s="36"/>
      <c r="FV432" s="36"/>
      <c r="FW432" s="36"/>
      <c r="FX432" s="36"/>
      <c r="FY432" s="36"/>
      <c r="FZ432" s="36"/>
      <c r="GA432" s="36"/>
    </row>
    <row r="433" spans="10:183" s="34" customFormat="1" ht="15" hidden="1">
      <c r="J433" s="36"/>
      <c r="CQ433" s="35"/>
      <c r="FR433" s="36"/>
      <c r="FS433" s="36"/>
      <c r="FT433" s="36"/>
      <c r="FU433" s="36"/>
      <c r="FV433" s="36"/>
      <c r="FW433" s="36"/>
      <c r="FX433" s="36"/>
      <c r="FY433" s="36"/>
      <c r="FZ433" s="36"/>
      <c r="GA433" s="36"/>
    </row>
    <row r="434" spans="10:183" s="34" customFormat="1" ht="15" hidden="1">
      <c r="J434" s="36"/>
      <c r="CQ434" s="35"/>
      <c r="FR434" s="36"/>
      <c r="FS434" s="36"/>
      <c r="FT434" s="36"/>
      <c r="FU434" s="36"/>
      <c r="FV434" s="36"/>
      <c r="FW434" s="36"/>
      <c r="FX434" s="36"/>
      <c r="FY434" s="36"/>
      <c r="FZ434" s="36"/>
      <c r="GA434" s="36"/>
    </row>
    <row r="435" spans="10:183" s="34" customFormat="1" ht="15" hidden="1">
      <c r="J435" s="36"/>
      <c r="CQ435" s="35"/>
      <c r="FR435" s="36"/>
      <c r="FS435" s="36"/>
      <c r="FT435" s="36"/>
      <c r="FU435" s="36"/>
      <c r="FV435" s="36"/>
      <c r="FW435" s="36"/>
      <c r="FX435" s="36"/>
      <c r="FY435" s="36"/>
      <c r="FZ435" s="36"/>
      <c r="GA435" s="36"/>
    </row>
    <row r="436" spans="10:183" s="34" customFormat="1" ht="15" hidden="1">
      <c r="J436" s="36"/>
      <c r="CQ436" s="35"/>
      <c r="FR436" s="36"/>
      <c r="FS436" s="36"/>
      <c r="FT436" s="36"/>
      <c r="FU436" s="36"/>
      <c r="FV436" s="36"/>
      <c r="FW436" s="36"/>
      <c r="FX436" s="36"/>
      <c r="FY436" s="36"/>
      <c r="FZ436" s="36"/>
      <c r="GA436" s="36"/>
    </row>
    <row r="437" spans="10:183" s="34" customFormat="1" ht="15" hidden="1">
      <c r="J437" s="36"/>
      <c r="CQ437" s="35"/>
      <c r="FR437" s="36"/>
      <c r="FS437" s="36"/>
      <c r="FT437" s="36"/>
      <c r="FU437" s="36"/>
      <c r="FV437" s="36"/>
      <c r="FW437" s="36"/>
      <c r="FX437" s="36"/>
      <c r="FY437" s="36"/>
      <c r="FZ437" s="36"/>
      <c r="GA437" s="36"/>
    </row>
    <row r="438" spans="10:183" s="34" customFormat="1" ht="15" hidden="1">
      <c r="J438" s="36"/>
      <c r="CQ438" s="35"/>
      <c r="FR438" s="36"/>
      <c r="FS438" s="36"/>
      <c r="FT438" s="36"/>
      <c r="FU438" s="36"/>
      <c r="FV438" s="36"/>
      <c r="FW438" s="36"/>
      <c r="FX438" s="36"/>
      <c r="FY438" s="36"/>
      <c r="FZ438" s="36"/>
      <c r="GA438" s="36"/>
    </row>
    <row r="439" spans="10:183" s="34" customFormat="1" ht="15" hidden="1">
      <c r="J439" s="36"/>
      <c r="CQ439" s="35"/>
      <c r="FR439" s="36"/>
      <c r="FS439" s="36"/>
      <c r="FT439" s="36"/>
      <c r="FU439" s="36"/>
      <c r="FV439" s="36"/>
      <c r="FW439" s="36"/>
      <c r="FX439" s="36"/>
      <c r="FY439" s="36"/>
      <c r="FZ439" s="36"/>
      <c r="GA439" s="36"/>
    </row>
    <row r="440" spans="10:183" s="34" customFormat="1" ht="15" hidden="1">
      <c r="J440" s="36"/>
      <c r="CQ440" s="35"/>
      <c r="FR440" s="36"/>
      <c r="FS440" s="36"/>
      <c r="FT440" s="36"/>
      <c r="FU440" s="36"/>
      <c r="FV440" s="36"/>
      <c r="FW440" s="36"/>
      <c r="FX440" s="36"/>
      <c r="FY440" s="36"/>
      <c r="FZ440" s="36"/>
      <c r="GA440" s="36"/>
    </row>
    <row r="441" spans="10:183" s="34" customFormat="1" ht="15" hidden="1">
      <c r="J441" s="36"/>
      <c r="CQ441" s="35"/>
      <c r="FR441" s="36"/>
      <c r="FS441" s="36"/>
      <c r="FT441" s="36"/>
      <c r="FU441" s="36"/>
      <c r="FV441" s="36"/>
      <c r="FW441" s="36"/>
      <c r="FX441" s="36"/>
      <c r="FY441" s="36"/>
      <c r="FZ441" s="36"/>
      <c r="GA441" s="36"/>
    </row>
    <row r="442" spans="10:183" s="34" customFormat="1" ht="15" hidden="1">
      <c r="J442" s="36"/>
      <c r="CQ442" s="35"/>
      <c r="FR442" s="36"/>
      <c r="FS442" s="36"/>
      <c r="FT442" s="36"/>
      <c r="FU442" s="36"/>
      <c r="FV442" s="36"/>
      <c r="FW442" s="36"/>
      <c r="FX442" s="36"/>
      <c r="FY442" s="36"/>
      <c r="FZ442" s="36"/>
      <c r="GA442" s="36"/>
    </row>
    <row r="443" spans="10:183" s="34" customFormat="1" ht="15" hidden="1">
      <c r="J443" s="36"/>
      <c r="CQ443" s="35"/>
      <c r="FR443" s="36"/>
      <c r="FS443" s="36"/>
      <c r="FT443" s="36"/>
      <c r="FU443" s="36"/>
      <c r="FV443" s="36"/>
      <c r="FW443" s="36"/>
      <c r="FX443" s="36"/>
      <c r="FY443" s="36"/>
      <c r="FZ443" s="36"/>
      <c r="GA443" s="36"/>
    </row>
    <row r="444" spans="10:183" s="34" customFormat="1" ht="15" hidden="1">
      <c r="J444" s="36"/>
      <c r="CQ444" s="35"/>
      <c r="FR444" s="36"/>
      <c r="FS444" s="36"/>
      <c r="FT444" s="36"/>
      <c r="FU444" s="36"/>
      <c r="FV444" s="36"/>
      <c r="FW444" s="36"/>
      <c r="FX444" s="36"/>
      <c r="FY444" s="36"/>
      <c r="FZ444" s="36"/>
      <c r="GA444" s="36"/>
    </row>
    <row r="445" spans="10:183" s="34" customFormat="1" ht="15" hidden="1">
      <c r="J445" s="36"/>
      <c r="CQ445" s="35"/>
      <c r="FR445" s="36"/>
      <c r="FS445" s="36"/>
      <c r="FT445" s="36"/>
      <c r="FU445" s="36"/>
      <c r="FV445" s="36"/>
      <c r="FW445" s="36"/>
      <c r="FX445" s="36"/>
      <c r="FY445" s="36"/>
      <c r="FZ445" s="36"/>
      <c r="GA445" s="36"/>
    </row>
    <row r="446" spans="10:183" s="34" customFormat="1" ht="15" hidden="1">
      <c r="J446" s="36"/>
      <c r="CQ446" s="35"/>
      <c r="FR446" s="36"/>
      <c r="FS446" s="36"/>
      <c r="FT446" s="36"/>
      <c r="FU446" s="36"/>
      <c r="FV446" s="36"/>
      <c r="FW446" s="36"/>
      <c r="FX446" s="36"/>
      <c r="FY446" s="36"/>
      <c r="FZ446" s="36"/>
      <c r="GA446" s="36"/>
    </row>
    <row r="447" spans="10:183" s="34" customFormat="1" ht="15" hidden="1">
      <c r="J447" s="36"/>
      <c r="CQ447" s="35"/>
      <c r="FR447" s="36"/>
      <c r="FS447" s="36"/>
      <c r="FT447" s="36"/>
      <c r="FU447" s="36"/>
      <c r="FV447" s="36"/>
      <c r="FW447" s="36"/>
      <c r="FX447" s="36"/>
      <c r="FY447" s="36"/>
      <c r="FZ447" s="36"/>
      <c r="GA447" s="36"/>
    </row>
    <row r="448" spans="10:183" s="34" customFormat="1" ht="15" hidden="1">
      <c r="J448" s="36"/>
      <c r="CQ448" s="35"/>
      <c r="FR448" s="36"/>
      <c r="FS448" s="36"/>
      <c r="FT448" s="36"/>
      <c r="FU448" s="36"/>
      <c r="FV448" s="36"/>
      <c r="FW448" s="36"/>
      <c r="FX448" s="36"/>
      <c r="FY448" s="36"/>
      <c r="FZ448" s="36"/>
      <c r="GA448" s="36"/>
    </row>
    <row r="449" spans="10:183" s="34" customFormat="1" ht="15" hidden="1">
      <c r="J449" s="36"/>
      <c r="CQ449" s="35"/>
      <c r="FR449" s="36"/>
      <c r="FS449" s="36"/>
      <c r="FT449" s="36"/>
      <c r="FU449" s="36"/>
      <c r="FV449" s="36"/>
      <c r="FW449" s="36"/>
      <c r="FX449" s="36"/>
      <c r="FY449" s="36"/>
      <c r="FZ449" s="36"/>
      <c r="GA449" s="36"/>
    </row>
    <row r="450" spans="10:183" s="34" customFormat="1" ht="15" hidden="1">
      <c r="J450" s="36"/>
      <c r="CQ450" s="35"/>
      <c r="FR450" s="36"/>
      <c r="FS450" s="36"/>
      <c r="FT450" s="36"/>
      <c r="FU450" s="36"/>
      <c r="FV450" s="36"/>
      <c r="FW450" s="36"/>
      <c r="FX450" s="36"/>
      <c r="FY450" s="36"/>
      <c r="FZ450" s="36"/>
      <c r="GA450" s="36"/>
    </row>
    <row r="451" spans="10:183" s="34" customFormat="1" ht="15" hidden="1">
      <c r="J451" s="36"/>
      <c r="CQ451" s="35"/>
      <c r="FR451" s="36"/>
      <c r="FS451" s="36"/>
      <c r="FT451" s="36"/>
      <c r="FU451" s="36"/>
      <c r="FV451" s="36"/>
      <c r="FW451" s="36"/>
      <c r="FX451" s="36"/>
      <c r="FY451" s="36"/>
      <c r="FZ451" s="36"/>
      <c r="GA451" s="36"/>
    </row>
    <row r="452" spans="10:183" s="34" customFormat="1" ht="15" hidden="1">
      <c r="J452" s="36"/>
      <c r="CQ452" s="35"/>
      <c r="FR452" s="36"/>
      <c r="FS452" s="36"/>
      <c r="FT452" s="36"/>
      <c r="FU452" s="36"/>
      <c r="FV452" s="36"/>
      <c r="FW452" s="36"/>
      <c r="FX452" s="36"/>
      <c r="FY452" s="36"/>
      <c r="FZ452" s="36"/>
      <c r="GA452" s="36"/>
    </row>
    <row r="453" spans="10:183" s="34" customFormat="1" ht="15" hidden="1">
      <c r="J453" s="36"/>
      <c r="CQ453" s="35"/>
      <c r="FR453" s="36"/>
      <c r="FS453" s="36"/>
      <c r="FT453" s="36"/>
      <c r="FU453" s="36"/>
      <c r="FV453" s="36"/>
      <c r="FW453" s="36"/>
      <c r="FX453" s="36"/>
      <c r="FY453" s="36"/>
      <c r="FZ453" s="36"/>
      <c r="GA453" s="36"/>
    </row>
    <row r="454" spans="10:183" s="34" customFormat="1" ht="15" hidden="1">
      <c r="J454" s="36"/>
      <c r="CQ454" s="35"/>
      <c r="FR454" s="36"/>
      <c r="FS454" s="36"/>
      <c r="FT454" s="36"/>
      <c r="FU454" s="36"/>
      <c r="FV454" s="36"/>
      <c r="FW454" s="36"/>
      <c r="FX454" s="36"/>
      <c r="FY454" s="36"/>
      <c r="FZ454" s="36"/>
      <c r="GA454" s="36"/>
    </row>
    <row r="455" spans="10:183" s="34" customFormat="1" ht="15" hidden="1">
      <c r="J455" s="36"/>
      <c r="CQ455" s="35"/>
      <c r="FR455" s="36"/>
      <c r="FS455" s="36"/>
      <c r="FT455" s="36"/>
      <c r="FU455" s="36"/>
      <c r="FV455" s="36"/>
      <c r="FW455" s="36"/>
      <c r="FX455" s="36"/>
      <c r="FY455" s="36"/>
      <c r="FZ455" s="36"/>
      <c r="GA455" s="36"/>
    </row>
    <row r="456" spans="10:183" s="34" customFormat="1" ht="15" hidden="1">
      <c r="J456" s="36"/>
      <c r="CQ456" s="35"/>
      <c r="FR456" s="36"/>
      <c r="FS456" s="36"/>
      <c r="FT456" s="36"/>
      <c r="FU456" s="36"/>
      <c r="FV456" s="36"/>
      <c r="FW456" s="36"/>
      <c r="FX456" s="36"/>
      <c r="FY456" s="36"/>
      <c r="FZ456" s="36"/>
      <c r="GA456" s="36"/>
    </row>
    <row r="457" spans="10:183" s="34" customFormat="1" ht="15" hidden="1">
      <c r="J457" s="36"/>
      <c r="CQ457" s="35"/>
      <c r="FR457" s="36"/>
      <c r="FS457" s="36"/>
      <c r="FT457" s="36"/>
      <c r="FU457" s="36"/>
      <c r="FV457" s="36"/>
      <c r="FW457" s="36"/>
      <c r="FX457" s="36"/>
      <c r="FY457" s="36"/>
      <c r="FZ457" s="36"/>
      <c r="GA457" s="36"/>
    </row>
    <row r="458" spans="10:183" s="34" customFormat="1" ht="15" hidden="1">
      <c r="J458" s="36"/>
      <c r="CQ458" s="35"/>
      <c r="FR458" s="36"/>
      <c r="FS458" s="36"/>
      <c r="FT458" s="36"/>
      <c r="FU458" s="36"/>
      <c r="FV458" s="36"/>
      <c r="FW458" s="36"/>
      <c r="FX458" s="36"/>
      <c r="FY458" s="36"/>
      <c r="FZ458" s="36"/>
      <c r="GA458" s="36"/>
    </row>
    <row r="459" spans="10:183" s="34" customFormat="1" ht="15" hidden="1">
      <c r="J459" s="36"/>
      <c r="CQ459" s="35"/>
      <c r="FR459" s="36"/>
      <c r="FS459" s="36"/>
      <c r="FT459" s="36"/>
      <c r="FU459" s="36"/>
      <c r="FV459" s="36"/>
      <c r="FW459" s="36"/>
      <c r="FX459" s="36"/>
      <c r="FY459" s="36"/>
      <c r="FZ459" s="36"/>
      <c r="GA459" s="36"/>
    </row>
    <row r="460" spans="10:183" s="34" customFormat="1" ht="15" hidden="1">
      <c r="J460" s="36"/>
      <c r="CQ460" s="35"/>
      <c r="FR460" s="36"/>
      <c r="FS460" s="36"/>
      <c r="FT460" s="36"/>
      <c r="FU460" s="36"/>
      <c r="FV460" s="36"/>
      <c r="FW460" s="36"/>
      <c r="FX460" s="36"/>
      <c r="FY460" s="36"/>
      <c r="FZ460" s="36"/>
      <c r="GA460" s="36"/>
    </row>
    <row r="461" spans="10:183" s="34" customFormat="1" ht="15" hidden="1">
      <c r="J461" s="36"/>
      <c r="CQ461" s="35"/>
      <c r="FR461" s="36"/>
      <c r="FS461" s="36"/>
      <c r="FT461" s="36"/>
      <c r="FU461" s="36"/>
      <c r="FV461" s="36"/>
      <c r="FW461" s="36"/>
      <c r="FX461" s="36"/>
      <c r="FY461" s="36"/>
      <c r="FZ461" s="36"/>
      <c r="GA461" s="36"/>
    </row>
    <row r="462" spans="10:183" s="34" customFormat="1" ht="15" hidden="1">
      <c r="J462" s="36"/>
      <c r="CQ462" s="35"/>
      <c r="FR462" s="36"/>
      <c r="FS462" s="36"/>
      <c r="FT462" s="36"/>
      <c r="FU462" s="36"/>
      <c r="FV462" s="36"/>
      <c r="FW462" s="36"/>
      <c r="FX462" s="36"/>
      <c r="FY462" s="36"/>
      <c r="FZ462" s="36"/>
      <c r="GA462" s="36"/>
    </row>
    <row r="463" spans="10:183" s="34" customFormat="1" ht="15" hidden="1">
      <c r="J463" s="36"/>
      <c r="CQ463" s="35"/>
      <c r="FR463" s="36"/>
      <c r="FS463" s="36"/>
      <c r="FT463" s="36"/>
      <c r="FU463" s="36"/>
      <c r="FV463" s="36"/>
      <c r="FW463" s="36"/>
      <c r="FX463" s="36"/>
      <c r="FY463" s="36"/>
      <c r="FZ463" s="36"/>
      <c r="GA463" s="36"/>
    </row>
    <row r="464" spans="10:183" s="34" customFormat="1" ht="15" hidden="1">
      <c r="J464" s="36"/>
      <c r="CQ464" s="35"/>
      <c r="FR464" s="36"/>
      <c r="FS464" s="36"/>
      <c r="FT464" s="36"/>
      <c r="FU464" s="36"/>
      <c r="FV464" s="36"/>
      <c r="FW464" s="36"/>
      <c r="FX464" s="36"/>
      <c r="FY464" s="36"/>
      <c r="FZ464" s="36"/>
      <c r="GA464" s="36"/>
    </row>
    <row r="465" spans="10:183" s="34" customFormat="1" ht="15" hidden="1">
      <c r="J465" s="36"/>
      <c r="CQ465" s="35"/>
      <c r="FR465" s="36"/>
      <c r="FS465" s="36"/>
      <c r="FT465" s="36"/>
      <c r="FU465" s="36"/>
      <c r="FV465" s="36"/>
      <c r="FW465" s="36"/>
      <c r="FX465" s="36"/>
      <c r="FY465" s="36"/>
      <c r="FZ465" s="36"/>
      <c r="GA465" s="36"/>
    </row>
    <row r="466" spans="10:183" s="34" customFormat="1" ht="15" hidden="1">
      <c r="J466" s="36"/>
      <c r="CQ466" s="35"/>
      <c r="FR466" s="36"/>
      <c r="FS466" s="36"/>
      <c r="FT466" s="36"/>
      <c r="FU466" s="36"/>
      <c r="FV466" s="36"/>
      <c r="FW466" s="36"/>
      <c r="FX466" s="36"/>
      <c r="FY466" s="36"/>
      <c r="FZ466" s="36"/>
      <c r="GA466" s="36"/>
    </row>
    <row r="467" spans="10:183" s="34" customFormat="1" ht="15" hidden="1">
      <c r="J467" s="36"/>
      <c r="CQ467" s="35"/>
      <c r="FR467" s="36"/>
      <c r="FS467" s="36"/>
      <c r="FT467" s="36"/>
      <c r="FU467" s="36"/>
      <c r="FV467" s="36"/>
      <c r="FW467" s="36"/>
      <c r="FX467" s="36"/>
      <c r="FY467" s="36"/>
      <c r="FZ467" s="36"/>
      <c r="GA467" s="36"/>
    </row>
    <row r="468" spans="10:183" s="34" customFormat="1" ht="15" hidden="1">
      <c r="J468" s="36"/>
      <c r="CQ468" s="35"/>
      <c r="FR468" s="36"/>
      <c r="FS468" s="36"/>
      <c r="FT468" s="36"/>
      <c r="FU468" s="36"/>
      <c r="FV468" s="36"/>
      <c r="FW468" s="36"/>
      <c r="FX468" s="36"/>
      <c r="FY468" s="36"/>
      <c r="FZ468" s="36"/>
      <c r="GA468" s="36"/>
    </row>
    <row r="469" spans="10:183" s="34" customFormat="1" ht="15" hidden="1">
      <c r="J469" s="36"/>
      <c r="CQ469" s="35"/>
      <c r="FR469" s="36"/>
      <c r="FS469" s="36"/>
      <c r="FT469" s="36"/>
      <c r="FU469" s="36"/>
      <c r="FV469" s="36"/>
      <c r="FW469" s="36"/>
      <c r="FX469" s="36"/>
      <c r="FY469" s="36"/>
      <c r="FZ469" s="36"/>
      <c r="GA469" s="36"/>
    </row>
    <row r="470" spans="10:183" s="34" customFormat="1" ht="15" hidden="1">
      <c r="J470" s="36"/>
      <c r="CQ470" s="35"/>
      <c r="FR470" s="36"/>
      <c r="FS470" s="36"/>
      <c r="FT470" s="36"/>
      <c r="FU470" s="36"/>
      <c r="FV470" s="36"/>
      <c r="FW470" s="36"/>
      <c r="FX470" s="36"/>
      <c r="FY470" s="36"/>
      <c r="FZ470" s="36"/>
      <c r="GA470" s="36"/>
    </row>
    <row r="471" spans="10:183" s="34" customFormat="1" ht="15" hidden="1">
      <c r="J471" s="36"/>
      <c r="CQ471" s="35"/>
      <c r="FR471" s="36"/>
      <c r="FS471" s="36"/>
      <c r="FT471" s="36"/>
      <c r="FU471" s="36"/>
      <c r="FV471" s="36"/>
      <c r="FW471" s="36"/>
      <c r="FX471" s="36"/>
      <c r="FY471" s="36"/>
      <c r="FZ471" s="36"/>
      <c r="GA471" s="36"/>
    </row>
    <row r="472" spans="10:183" s="34" customFormat="1" ht="15" hidden="1">
      <c r="J472" s="36"/>
      <c r="CQ472" s="35"/>
      <c r="FR472" s="36"/>
      <c r="FS472" s="36"/>
      <c r="FT472" s="36"/>
      <c r="FU472" s="36"/>
      <c r="FV472" s="36"/>
      <c r="FW472" s="36"/>
      <c r="FX472" s="36"/>
      <c r="FY472" s="36"/>
      <c r="FZ472" s="36"/>
      <c r="GA472" s="36"/>
    </row>
    <row r="473" spans="10:183" s="34" customFormat="1" ht="15" hidden="1">
      <c r="J473" s="36"/>
      <c r="CQ473" s="35"/>
      <c r="FR473" s="36"/>
      <c r="FS473" s="36"/>
      <c r="FT473" s="36"/>
      <c r="FU473" s="36"/>
      <c r="FV473" s="36"/>
      <c r="FW473" s="36"/>
      <c r="FX473" s="36"/>
      <c r="FY473" s="36"/>
      <c r="FZ473" s="36"/>
      <c r="GA473" s="36"/>
    </row>
    <row r="474" spans="10:183" s="34" customFormat="1" ht="15" hidden="1">
      <c r="J474" s="36"/>
      <c r="CQ474" s="35"/>
      <c r="FR474" s="36"/>
      <c r="FS474" s="36"/>
      <c r="FT474" s="36"/>
      <c r="FU474" s="36"/>
      <c r="FV474" s="36"/>
      <c r="FW474" s="36"/>
      <c r="FX474" s="36"/>
      <c r="FY474" s="36"/>
      <c r="FZ474" s="36"/>
      <c r="GA474" s="36"/>
    </row>
    <row r="475" spans="10:183" s="34" customFormat="1" ht="15" hidden="1">
      <c r="J475" s="36"/>
      <c r="CQ475" s="35"/>
      <c r="FR475" s="36"/>
      <c r="FS475" s="36"/>
      <c r="FT475" s="36"/>
      <c r="FU475" s="36"/>
      <c r="FV475" s="36"/>
      <c r="FW475" s="36"/>
      <c r="FX475" s="36"/>
      <c r="FY475" s="36"/>
      <c r="FZ475" s="36"/>
      <c r="GA475" s="36"/>
    </row>
    <row r="476" spans="10:183" s="34" customFormat="1" ht="15" hidden="1">
      <c r="J476" s="36"/>
      <c r="CQ476" s="35"/>
      <c r="FR476" s="36"/>
      <c r="FS476" s="36"/>
      <c r="FT476" s="36"/>
      <c r="FU476" s="36"/>
      <c r="FV476" s="36"/>
      <c r="FW476" s="36"/>
      <c r="FX476" s="36"/>
      <c r="FY476" s="36"/>
      <c r="FZ476" s="36"/>
      <c r="GA476" s="36"/>
    </row>
    <row r="477" spans="10:183" s="34" customFormat="1" ht="15" hidden="1">
      <c r="J477" s="36"/>
      <c r="CQ477" s="35"/>
      <c r="FR477" s="36"/>
      <c r="FS477" s="36"/>
      <c r="FT477" s="36"/>
      <c r="FU477" s="36"/>
      <c r="FV477" s="36"/>
      <c r="FW477" s="36"/>
      <c r="FX477" s="36"/>
      <c r="FY477" s="36"/>
      <c r="FZ477" s="36"/>
      <c r="GA477" s="36"/>
    </row>
    <row r="478" spans="10:183" s="34" customFormat="1" ht="15" hidden="1">
      <c r="J478" s="36"/>
      <c r="CQ478" s="35"/>
      <c r="FR478" s="36"/>
      <c r="FS478" s="36"/>
      <c r="FT478" s="36"/>
      <c r="FU478" s="36"/>
      <c r="FV478" s="36"/>
      <c r="FW478" s="36"/>
      <c r="FX478" s="36"/>
      <c r="FY478" s="36"/>
      <c r="FZ478" s="36"/>
      <c r="GA478" s="36"/>
    </row>
    <row r="479" spans="10:183" s="34" customFormat="1" ht="15" hidden="1">
      <c r="J479" s="36"/>
      <c r="CQ479" s="35"/>
      <c r="FR479" s="36"/>
      <c r="FS479" s="36"/>
      <c r="FT479" s="36"/>
      <c r="FU479" s="36"/>
      <c r="FV479" s="36"/>
      <c r="FW479" s="36"/>
      <c r="FX479" s="36"/>
      <c r="FY479" s="36"/>
      <c r="FZ479" s="36"/>
      <c r="GA479" s="36"/>
    </row>
    <row r="480" spans="10:183" s="34" customFormat="1" ht="15" hidden="1">
      <c r="J480" s="36"/>
      <c r="CQ480" s="35"/>
      <c r="FR480" s="36"/>
      <c r="FS480" s="36"/>
      <c r="FT480" s="36"/>
      <c r="FU480" s="36"/>
      <c r="FV480" s="36"/>
      <c r="FW480" s="36"/>
      <c r="FX480" s="36"/>
      <c r="FY480" s="36"/>
      <c r="FZ480" s="36"/>
      <c r="GA480" s="36"/>
    </row>
    <row r="481" spans="10:183" s="34" customFormat="1" ht="15" hidden="1">
      <c r="J481" s="36"/>
      <c r="CQ481" s="35"/>
      <c r="FR481" s="36"/>
      <c r="FS481" s="36"/>
      <c r="FT481" s="36"/>
      <c r="FU481" s="36"/>
      <c r="FV481" s="36"/>
      <c r="FW481" s="36"/>
      <c r="FX481" s="36"/>
      <c r="FY481" s="36"/>
      <c r="FZ481" s="36"/>
      <c r="GA481" s="36"/>
    </row>
    <row r="482" spans="10:183" s="34" customFormat="1" ht="15" hidden="1">
      <c r="J482" s="36"/>
      <c r="CQ482" s="35"/>
      <c r="FR482" s="36"/>
      <c r="FS482" s="36"/>
      <c r="FT482" s="36"/>
      <c r="FU482" s="36"/>
      <c r="FV482" s="36"/>
      <c r="FW482" s="36"/>
      <c r="FX482" s="36"/>
      <c r="FY482" s="36"/>
      <c r="FZ482" s="36"/>
      <c r="GA482" s="36"/>
    </row>
    <row r="483" spans="10:183" s="34" customFormat="1" ht="15" hidden="1">
      <c r="J483" s="36"/>
      <c r="CQ483" s="35"/>
      <c r="FR483" s="36"/>
      <c r="FS483" s="36"/>
      <c r="FT483" s="36"/>
      <c r="FU483" s="36"/>
      <c r="FV483" s="36"/>
      <c r="FW483" s="36"/>
      <c r="FX483" s="36"/>
      <c r="FY483" s="36"/>
      <c r="FZ483" s="36"/>
      <c r="GA483" s="36"/>
    </row>
    <row r="484" spans="10:183" s="34" customFormat="1" ht="15" hidden="1">
      <c r="J484" s="36"/>
      <c r="CQ484" s="35"/>
      <c r="FR484" s="36"/>
      <c r="FS484" s="36"/>
      <c r="FT484" s="36"/>
      <c r="FU484" s="36"/>
      <c r="FV484" s="36"/>
      <c r="FW484" s="36"/>
      <c r="FX484" s="36"/>
      <c r="FY484" s="36"/>
      <c r="FZ484" s="36"/>
      <c r="GA484" s="36"/>
    </row>
    <row r="485" spans="10:183" s="34" customFormat="1" ht="15" hidden="1">
      <c r="J485" s="36"/>
      <c r="CQ485" s="35"/>
      <c r="FR485" s="36"/>
      <c r="FS485" s="36"/>
      <c r="FT485" s="36"/>
      <c r="FU485" s="36"/>
      <c r="FV485" s="36"/>
      <c r="FW485" s="36"/>
      <c r="FX485" s="36"/>
      <c r="FY485" s="36"/>
      <c r="FZ485" s="36"/>
      <c r="GA485" s="36"/>
    </row>
    <row r="486" spans="10:183" s="34" customFormat="1" ht="15" hidden="1">
      <c r="J486" s="36"/>
      <c r="CQ486" s="35"/>
      <c r="FR486" s="36"/>
      <c r="FS486" s="36"/>
      <c r="FT486" s="36"/>
      <c r="FU486" s="36"/>
      <c r="FV486" s="36"/>
      <c r="FW486" s="36"/>
      <c r="FX486" s="36"/>
      <c r="FY486" s="36"/>
      <c r="FZ486" s="36"/>
      <c r="GA486" s="36"/>
    </row>
    <row r="487" spans="10:183" s="34" customFormat="1" ht="15" hidden="1">
      <c r="J487" s="36"/>
      <c r="CQ487" s="35"/>
      <c r="FR487" s="36"/>
      <c r="FS487" s="36"/>
      <c r="FT487" s="36"/>
      <c r="FU487" s="36"/>
      <c r="FV487" s="36"/>
      <c r="FW487" s="36"/>
      <c r="FX487" s="36"/>
      <c r="FY487" s="36"/>
      <c r="FZ487" s="36"/>
      <c r="GA487" s="36"/>
    </row>
    <row r="488" spans="10:183" s="34" customFormat="1" ht="15" hidden="1">
      <c r="J488" s="36"/>
      <c r="CQ488" s="35"/>
      <c r="FR488" s="36"/>
      <c r="FS488" s="36"/>
      <c r="FT488" s="36"/>
      <c r="FU488" s="36"/>
      <c r="FV488" s="36"/>
      <c r="FW488" s="36"/>
      <c r="FX488" s="36"/>
      <c r="FY488" s="36"/>
      <c r="FZ488" s="36"/>
      <c r="GA488" s="36"/>
    </row>
    <row r="489" spans="10:183" s="34" customFormat="1" ht="15" hidden="1">
      <c r="J489" s="36"/>
      <c r="CQ489" s="35"/>
      <c r="FR489" s="36"/>
      <c r="FS489" s="36"/>
      <c r="FT489" s="36"/>
      <c r="FU489" s="36"/>
      <c r="FV489" s="36"/>
      <c r="FW489" s="36"/>
      <c r="FX489" s="36"/>
      <c r="FY489" s="36"/>
      <c r="FZ489" s="36"/>
      <c r="GA489" s="36"/>
    </row>
    <row r="490" spans="10:183" s="34" customFormat="1" ht="15" hidden="1">
      <c r="J490" s="36"/>
      <c r="CQ490" s="35"/>
      <c r="FR490" s="36"/>
      <c r="FS490" s="36"/>
      <c r="FT490" s="36"/>
      <c r="FU490" s="36"/>
      <c r="FV490" s="36"/>
      <c r="FW490" s="36"/>
      <c r="FX490" s="36"/>
      <c r="FY490" s="36"/>
      <c r="FZ490" s="36"/>
      <c r="GA490" s="36"/>
    </row>
    <row r="491" spans="10:183" s="34" customFormat="1" ht="15" hidden="1">
      <c r="J491" s="36"/>
      <c r="CQ491" s="35"/>
      <c r="FR491" s="36"/>
      <c r="FS491" s="36"/>
      <c r="FT491" s="36"/>
      <c r="FU491" s="36"/>
      <c r="FV491" s="36"/>
      <c r="FW491" s="36"/>
      <c r="FX491" s="36"/>
      <c r="FY491" s="36"/>
      <c r="FZ491" s="36"/>
      <c r="GA491" s="36"/>
    </row>
    <row r="492" spans="10:183" s="34" customFormat="1" ht="15" hidden="1">
      <c r="J492" s="36"/>
      <c r="CQ492" s="35"/>
      <c r="FR492" s="36"/>
      <c r="FS492" s="36"/>
      <c r="FT492" s="36"/>
      <c r="FU492" s="36"/>
      <c r="FV492" s="36"/>
      <c r="FW492" s="36"/>
      <c r="FX492" s="36"/>
      <c r="FY492" s="36"/>
      <c r="FZ492" s="36"/>
      <c r="GA492" s="36"/>
    </row>
    <row r="493" spans="10:183" s="34" customFormat="1" ht="15" hidden="1">
      <c r="J493" s="36"/>
      <c r="CQ493" s="35"/>
      <c r="FR493" s="36"/>
      <c r="FS493" s="36"/>
      <c r="FT493" s="36"/>
      <c r="FU493" s="36"/>
      <c r="FV493" s="36"/>
      <c r="FW493" s="36"/>
      <c r="FX493" s="36"/>
      <c r="FY493" s="36"/>
      <c r="FZ493" s="36"/>
      <c r="GA493" s="36"/>
    </row>
    <row r="494" spans="10:183" s="34" customFormat="1" ht="15" hidden="1">
      <c r="J494" s="36"/>
      <c r="CQ494" s="35"/>
      <c r="FR494" s="36"/>
      <c r="FS494" s="36"/>
      <c r="FT494" s="36"/>
      <c r="FU494" s="36"/>
      <c r="FV494" s="36"/>
      <c r="FW494" s="36"/>
      <c r="FX494" s="36"/>
      <c r="FY494" s="36"/>
      <c r="FZ494" s="36"/>
      <c r="GA494" s="36"/>
    </row>
    <row r="495" spans="10:183" s="34" customFormat="1" ht="15" hidden="1">
      <c r="J495" s="36"/>
      <c r="CQ495" s="35"/>
      <c r="FR495" s="36"/>
      <c r="FS495" s="36"/>
      <c r="FT495" s="36"/>
      <c r="FU495" s="36"/>
      <c r="FV495" s="36"/>
      <c r="FW495" s="36"/>
      <c r="FX495" s="36"/>
      <c r="FY495" s="36"/>
      <c r="FZ495" s="36"/>
      <c r="GA495" s="36"/>
    </row>
    <row r="496" spans="10:183" s="34" customFormat="1" ht="15" hidden="1">
      <c r="J496" s="36"/>
      <c r="CQ496" s="35"/>
      <c r="FR496" s="36"/>
      <c r="FS496" s="36"/>
      <c r="FT496" s="36"/>
      <c r="FU496" s="36"/>
      <c r="FV496" s="36"/>
      <c r="FW496" s="36"/>
      <c r="FX496" s="36"/>
      <c r="FY496" s="36"/>
      <c r="FZ496" s="36"/>
      <c r="GA496" s="36"/>
    </row>
    <row r="497" spans="10:183" s="34" customFormat="1" ht="15" hidden="1">
      <c r="J497" s="36"/>
      <c r="CQ497" s="35"/>
      <c r="FR497" s="36"/>
      <c r="FS497" s="36"/>
      <c r="FT497" s="36"/>
      <c r="FU497" s="36"/>
      <c r="FV497" s="36"/>
      <c r="FW497" s="36"/>
      <c r="FX497" s="36"/>
      <c r="FY497" s="36"/>
      <c r="FZ497" s="36"/>
      <c r="GA497" s="36"/>
    </row>
    <row r="498" spans="10:183" s="34" customFormat="1" ht="15" hidden="1">
      <c r="J498" s="36"/>
      <c r="CQ498" s="35"/>
      <c r="FR498" s="36"/>
      <c r="FS498" s="36"/>
      <c r="FT498" s="36"/>
      <c r="FU498" s="36"/>
      <c r="FV498" s="36"/>
      <c r="FW498" s="36"/>
      <c r="FX498" s="36"/>
      <c r="FY498" s="36"/>
      <c r="FZ498" s="36"/>
      <c r="GA498" s="36"/>
    </row>
    <row r="499" spans="10:183" s="34" customFormat="1" ht="15" hidden="1">
      <c r="J499" s="36"/>
      <c r="CQ499" s="35"/>
      <c r="FR499" s="36"/>
      <c r="FS499" s="36"/>
      <c r="FT499" s="36"/>
      <c r="FU499" s="36"/>
      <c r="FV499" s="36"/>
      <c r="FW499" s="36"/>
      <c r="FX499" s="36"/>
      <c r="FY499" s="36"/>
      <c r="FZ499" s="36"/>
      <c r="GA499" s="36"/>
    </row>
    <row r="500" spans="10:183" s="34" customFormat="1" ht="15" hidden="1">
      <c r="J500" s="36"/>
      <c r="CQ500" s="35"/>
      <c r="FR500" s="36"/>
      <c r="FS500" s="36"/>
      <c r="FT500" s="36"/>
      <c r="FU500" s="36"/>
      <c r="FV500" s="36"/>
      <c r="FW500" s="36"/>
      <c r="FX500" s="36"/>
      <c r="FY500" s="36"/>
      <c r="FZ500" s="36"/>
      <c r="GA500" s="36"/>
    </row>
    <row r="501" spans="10:183" s="34" customFormat="1" ht="15" hidden="1">
      <c r="J501" s="36"/>
      <c r="CQ501" s="35"/>
      <c r="FR501" s="36"/>
      <c r="FS501" s="36"/>
      <c r="FT501" s="36"/>
      <c r="FU501" s="36"/>
      <c r="FV501" s="36"/>
      <c r="FW501" s="36"/>
      <c r="FX501" s="36"/>
      <c r="FY501" s="36"/>
      <c r="FZ501" s="36"/>
      <c r="GA501" s="36"/>
    </row>
    <row r="502" spans="10:183" s="34" customFormat="1" ht="15" hidden="1">
      <c r="J502" s="36"/>
      <c r="CQ502" s="35"/>
      <c r="FR502" s="36"/>
      <c r="FS502" s="36"/>
      <c r="FT502" s="36"/>
      <c r="FU502" s="36"/>
      <c r="FV502" s="36"/>
      <c r="FW502" s="36"/>
      <c r="FX502" s="36"/>
      <c r="FY502" s="36"/>
      <c r="FZ502" s="36"/>
      <c r="GA502" s="36"/>
    </row>
    <row r="503" spans="10:183" s="34" customFormat="1" ht="15" hidden="1">
      <c r="J503" s="36"/>
      <c r="CQ503" s="35"/>
      <c r="FR503" s="36"/>
      <c r="FS503" s="36"/>
      <c r="FT503" s="36"/>
      <c r="FU503" s="36"/>
      <c r="FV503" s="36"/>
      <c r="FW503" s="36"/>
      <c r="FX503" s="36"/>
      <c r="FY503" s="36"/>
      <c r="FZ503" s="36"/>
      <c r="GA503" s="36"/>
    </row>
    <row r="504" spans="10:183" s="34" customFormat="1" ht="15" hidden="1">
      <c r="J504" s="36"/>
      <c r="CQ504" s="35"/>
      <c r="FR504" s="36"/>
      <c r="FS504" s="36"/>
      <c r="FT504" s="36"/>
      <c r="FU504" s="36"/>
      <c r="FV504" s="36"/>
      <c r="FW504" s="36"/>
      <c r="FX504" s="36"/>
      <c r="FY504" s="36"/>
      <c r="FZ504" s="36"/>
      <c r="GA504" s="36"/>
    </row>
    <row r="505" spans="10:183" s="34" customFormat="1" ht="15" hidden="1">
      <c r="J505" s="36"/>
      <c r="CQ505" s="35"/>
      <c r="FR505" s="36"/>
      <c r="FS505" s="36"/>
      <c r="FT505" s="36"/>
      <c r="FU505" s="36"/>
      <c r="FV505" s="36"/>
      <c r="FW505" s="36"/>
      <c r="FX505" s="36"/>
      <c r="FY505" s="36"/>
      <c r="FZ505" s="36"/>
      <c r="GA505" s="36"/>
    </row>
    <row r="506" spans="10:183" s="34" customFormat="1" ht="15" hidden="1">
      <c r="J506" s="36"/>
      <c r="CQ506" s="35"/>
      <c r="FR506" s="36"/>
      <c r="FS506" s="36"/>
      <c r="FT506" s="36"/>
      <c r="FU506" s="36"/>
      <c r="FV506" s="36"/>
      <c r="FW506" s="36"/>
      <c r="FX506" s="36"/>
      <c r="FY506" s="36"/>
      <c r="FZ506" s="36"/>
      <c r="GA506" s="36"/>
    </row>
    <row r="507" spans="10:183" s="34" customFormat="1" ht="15" hidden="1">
      <c r="J507" s="36"/>
      <c r="CQ507" s="35"/>
      <c r="FR507" s="36"/>
      <c r="FS507" s="36"/>
      <c r="FT507" s="36"/>
      <c r="FU507" s="36"/>
      <c r="FV507" s="36"/>
      <c r="FW507" s="36"/>
      <c r="FX507" s="36"/>
      <c r="FY507" s="36"/>
      <c r="FZ507" s="36"/>
      <c r="GA507" s="36"/>
    </row>
    <row r="508" spans="10:183" s="34" customFormat="1" ht="15" hidden="1">
      <c r="J508" s="36"/>
      <c r="CQ508" s="35"/>
      <c r="FR508" s="36"/>
      <c r="FS508" s="36"/>
      <c r="FT508" s="36"/>
      <c r="FU508" s="36"/>
      <c r="FV508" s="36"/>
      <c r="FW508" s="36"/>
      <c r="FX508" s="36"/>
      <c r="FY508" s="36"/>
      <c r="FZ508" s="36"/>
      <c r="GA508" s="36"/>
    </row>
    <row r="509" spans="10:183" s="34" customFormat="1" ht="15" hidden="1">
      <c r="J509" s="36"/>
      <c r="CQ509" s="35"/>
      <c r="FR509" s="36"/>
      <c r="FS509" s="36"/>
      <c r="FT509" s="36"/>
      <c r="FU509" s="36"/>
      <c r="FV509" s="36"/>
      <c r="FW509" s="36"/>
      <c r="FX509" s="36"/>
      <c r="FY509" s="36"/>
      <c r="FZ509" s="36"/>
      <c r="GA509" s="36"/>
    </row>
    <row r="510" spans="10:183" s="34" customFormat="1" ht="15" hidden="1">
      <c r="J510" s="36"/>
      <c r="CQ510" s="35"/>
      <c r="FR510" s="36"/>
      <c r="FS510" s="36"/>
      <c r="FT510" s="36"/>
      <c r="FU510" s="36"/>
      <c r="FV510" s="36"/>
      <c r="FW510" s="36"/>
      <c r="FX510" s="36"/>
      <c r="FY510" s="36"/>
      <c r="FZ510" s="36"/>
      <c r="GA510" s="36"/>
    </row>
    <row r="511" spans="10:183" s="34" customFormat="1" ht="15" hidden="1">
      <c r="J511" s="36"/>
      <c r="CQ511" s="35"/>
      <c r="FR511" s="36"/>
      <c r="FS511" s="36"/>
      <c r="FT511" s="36"/>
      <c r="FU511" s="36"/>
      <c r="FV511" s="36"/>
      <c r="FW511" s="36"/>
      <c r="FX511" s="36"/>
      <c r="FY511" s="36"/>
      <c r="FZ511" s="36"/>
      <c r="GA511" s="36"/>
    </row>
    <row r="512" spans="10:183" s="34" customFormat="1" ht="15" hidden="1">
      <c r="J512" s="36"/>
      <c r="CQ512" s="35"/>
      <c r="FR512" s="36"/>
      <c r="FS512" s="36"/>
      <c r="FT512" s="36"/>
      <c r="FU512" s="36"/>
      <c r="FV512" s="36"/>
      <c r="FW512" s="36"/>
      <c r="FX512" s="36"/>
      <c r="FY512" s="36"/>
      <c r="FZ512" s="36"/>
      <c r="GA512" s="36"/>
    </row>
    <row r="513" spans="10:183" s="34" customFormat="1" ht="15" hidden="1">
      <c r="J513" s="36"/>
      <c r="CQ513" s="35"/>
      <c r="FR513" s="36"/>
      <c r="FS513" s="36"/>
      <c r="FT513" s="36"/>
      <c r="FU513" s="36"/>
      <c r="FV513" s="36"/>
      <c r="FW513" s="36"/>
      <c r="FX513" s="36"/>
      <c r="FY513" s="36"/>
      <c r="FZ513" s="36"/>
      <c r="GA513" s="36"/>
    </row>
    <row r="514" spans="10:183" s="34" customFormat="1" ht="15" hidden="1">
      <c r="J514" s="36"/>
      <c r="CQ514" s="35"/>
      <c r="FR514" s="36"/>
      <c r="FS514" s="36"/>
      <c r="FT514" s="36"/>
      <c r="FU514" s="36"/>
      <c r="FV514" s="36"/>
      <c r="FW514" s="36"/>
      <c r="FX514" s="36"/>
      <c r="FY514" s="36"/>
      <c r="FZ514" s="36"/>
      <c r="GA514" s="36"/>
    </row>
    <row r="515" spans="10:183" s="34" customFormat="1" ht="15" hidden="1">
      <c r="J515" s="36"/>
      <c r="CQ515" s="35"/>
      <c r="FR515" s="36"/>
      <c r="FS515" s="36"/>
      <c r="FT515" s="36"/>
      <c r="FU515" s="36"/>
      <c r="FV515" s="36"/>
      <c r="FW515" s="36"/>
      <c r="FX515" s="36"/>
      <c r="FY515" s="36"/>
      <c r="FZ515" s="36"/>
      <c r="GA515" s="36"/>
    </row>
    <row r="516" spans="10:183" s="34" customFormat="1" ht="15" hidden="1">
      <c r="J516" s="36"/>
      <c r="CQ516" s="35"/>
      <c r="FR516" s="36"/>
      <c r="FS516" s="36"/>
      <c r="FT516" s="36"/>
      <c r="FU516" s="36"/>
      <c r="FV516" s="36"/>
      <c r="FW516" s="36"/>
      <c r="FX516" s="36"/>
      <c r="FY516" s="36"/>
      <c r="FZ516" s="36"/>
      <c r="GA516" s="36"/>
    </row>
    <row r="517" spans="10:183" s="34" customFormat="1" ht="15" hidden="1">
      <c r="J517" s="36"/>
      <c r="CQ517" s="35"/>
      <c r="FR517" s="36"/>
      <c r="FS517" s="36"/>
      <c r="FT517" s="36"/>
      <c r="FU517" s="36"/>
      <c r="FV517" s="36"/>
      <c r="FW517" s="36"/>
      <c r="FX517" s="36"/>
      <c r="FY517" s="36"/>
      <c r="FZ517" s="36"/>
      <c r="GA517" s="36"/>
    </row>
    <row r="518" spans="10:183" s="34" customFormat="1" ht="15" hidden="1">
      <c r="J518" s="36"/>
      <c r="CQ518" s="35"/>
      <c r="FR518" s="36"/>
      <c r="FS518" s="36"/>
      <c r="FT518" s="36"/>
      <c r="FU518" s="36"/>
      <c r="FV518" s="36"/>
      <c r="FW518" s="36"/>
      <c r="FX518" s="36"/>
      <c r="FY518" s="36"/>
      <c r="FZ518" s="36"/>
      <c r="GA518" s="36"/>
    </row>
    <row r="519" spans="10:183" s="34" customFormat="1" ht="15" hidden="1">
      <c r="J519" s="36"/>
      <c r="CQ519" s="35"/>
      <c r="FR519" s="36"/>
      <c r="FS519" s="36"/>
      <c r="FT519" s="36"/>
      <c r="FU519" s="36"/>
      <c r="FV519" s="36"/>
      <c r="FW519" s="36"/>
      <c r="FX519" s="36"/>
      <c r="FY519" s="36"/>
      <c r="FZ519" s="36"/>
      <c r="GA519" s="36"/>
    </row>
    <row r="520" spans="10:183" s="34" customFormat="1" ht="15" hidden="1">
      <c r="J520" s="36"/>
      <c r="CQ520" s="35"/>
      <c r="FR520" s="36"/>
      <c r="FS520" s="36"/>
      <c r="FT520" s="36"/>
      <c r="FU520" s="36"/>
      <c r="FV520" s="36"/>
      <c r="FW520" s="36"/>
      <c r="FX520" s="36"/>
      <c r="FY520" s="36"/>
      <c r="FZ520" s="36"/>
      <c r="GA520" s="36"/>
    </row>
    <row r="521" spans="10:183" s="34" customFormat="1" ht="15" hidden="1">
      <c r="J521" s="36"/>
      <c r="CQ521" s="35"/>
      <c r="FR521" s="36"/>
      <c r="FS521" s="36"/>
      <c r="FT521" s="36"/>
      <c r="FU521" s="36"/>
      <c r="FV521" s="36"/>
      <c r="FW521" s="36"/>
      <c r="FX521" s="36"/>
      <c r="FY521" s="36"/>
      <c r="FZ521" s="36"/>
      <c r="GA521" s="36"/>
    </row>
    <row r="522" spans="10:183" s="34" customFormat="1" ht="15" hidden="1">
      <c r="J522" s="36"/>
      <c r="CQ522" s="35"/>
      <c r="FR522" s="36"/>
      <c r="FS522" s="36"/>
      <c r="FT522" s="36"/>
      <c r="FU522" s="36"/>
      <c r="FV522" s="36"/>
      <c r="FW522" s="36"/>
      <c r="FX522" s="36"/>
      <c r="FY522" s="36"/>
      <c r="FZ522" s="36"/>
      <c r="GA522" s="36"/>
    </row>
    <row r="523" spans="10:183" s="34" customFormat="1" ht="15" hidden="1">
      <c r="J523" s="36"/>
      <c r="CQ523" s="35"/>
      <c r="FR523" s="36"/>
      <c r="FS523" s="36"/>
      <c r="FT523" s="36"/>
      <c r="FU523" s="36"/>
      <c r="FV523" s="36"/>
      <c r="FW523" s="36"/>
      <c r="FX523" s="36"/>
      <c r="FY523" s="36"/>
      <c r="FZ523" s="36"/>
      <c r="GA523" s="36"/>
    </row>
    <row r="524" spans="10:183" s="34" customFormat="1" ht="15" hidden="1">
      <c r="J524" s="36"/>
      <c r="CQ524" s="35"/>
      <c r="FR524" s="36"/>
      <c r="FS524" s="36"/>
      <c r="FT524" s="36"/>
      <c r="FU524" s="36"/>
      <c r="FV524" s="36"/>
      <c r="FW524" s="36"/>
      <c r="FX524" s="36"/>
      <c r="FY524" s="36"/>
      <c r="FZ524" s="36"/>
      <c r="GA524" s="36"/>
    </row>
    <row r="525" spans="10:183" s="34" customFormat="1" ht="15" hidden="1">
      <c r="J525" s="36"/>
      <c r="CQ525" s="35"/>
      <c r="FR525" s="36"/>
      <c r="FS525" s="36"/>
      <c r="FT525" s="36"/>
      <c r="FU525" s="36"/>
      <c r="FV525" s="36"/>
      <c r="FW525" s="36"/>
      <c r="FX525" s="36"/>
      <c r="FY525" s="36"/>
      <c r="FZ525" s="36"/>
      <c r="GA525" s="36"/>
    </row>
    <row r="526" spans="10:183" s="34" customFormat="1" ht="15" hidden="1">
      <c r="J526" s="36"/>
      <c r="CQ526" s="35"/>
      <c r="FR526" s="36"/>
      <c r="FS526" s="36"/>
      <c r="FT526" s="36"/>
      <c r="FU526" s="36"/>
      <c r="FV526" s="36"/>
      <c r="FW526" s="36"/>
      <c r="FX526" s="36"/>
      <c r="FY526" s="36"/>
      <c r="FZ526" s="36"/>
      <c r="GA526" s="36"/>
    </row>
    <row r="527" spans="10:183" s="34" customFormat="1" ht="15" hidden="1">
      <c r="J527" s="36"/>
      <c r="CQ527" s="35"/>
      <c r="FR527" s="36"/>
      <c r="FS527" s="36"/>
      <c r="FT527" s="36"/>
      <c r="FU527" s="36"/>
      <c r="FV527" s="36"/>
      <c r="FW527" s="36"/>
      <c r="FX527" s="36"/>
      <c r="FY527" s="36"/>
      <c r="FZ527" s="36"/>
      <c r="GA527" s="36"/>
    </row>
    <row r="528" spans="10:183" s="34" customFormat="1" ht="15" hidden="1">
      <c r="J528" s="36"/>
      <c r="CQ528" s="35"/>
      <c r="FR528" s="36"/>
      <c r="FS528" s="36"/>
      <c r="FT528" s="36"/>
      <c r="FU528" s="36"/>
      <c r="FV528" s="36"/>
      <c r="FW528" s="36"/>
      <c r="FX528" s="36"/>
      <c r="FY528" s="36"/>
      <c r="FZ528" s="36"/>
      <c r="GA528" s="36"/>
    </row>
    <row r="529" spans="10:183" s="34" customFormat="1" ht="15" hidden="1">
      <c r="J529" s="36"/>
      <c r="CQ529" s="35"/>
      <c r="FR529" s="36"/>
      <c r="FS529" s="36"/>
      <c r="FT529" s="36"/>
      <c r="FU529" s="36"/>
      <c r="FV529" s="36"/>
      <c r="FW529" s="36"/>
      <c r="FX529" s="36"/>
      <c r="FY529" s="36"/>
      <c r="FZ529" s="36"/>
      <c r="GA529" s="36"/>
    </row>
    <row r="530" spans="10:183" s="34" customFormat="1" ht="15" hidden="1">
      <c r="J530" s="36"/>
      <c r="CQ530" s="35"/>
      <c r="FR530" s="36"/>
      <c r="FS530" s="36"/>
      <c r="FT530" s="36"/>
      <c r="FU530" s="36"/>
      <c r="FV530" s="36"/>
      <c r="FW530" s="36"/>
      <c r="FX530" s="36"/>
      <c r="FY530" s="36"/>
      <c r="FZ530" s="36"/>
      <c r="GA530" s="36"/>
    </row>
    <row r="531" spans="10:183" s="34" customFormat="1" ht="15" hidden="1">
      <c r="J531" s="36"/>
      <c r="CQ531" s="35"/>
      <c r="FR531" s="36"/>
      <c r="FS531" s="36"/>
      <c r="FT531" s="36"/>
      <c r="FU531" s="36"/>
      <c r="FV531" s="36"/>
      <c r="FW531" s="36"/>
      <c r="FX531" s="36"/>
      <c r="FY531" s="36"/>
      <c r="FZ531" s="36"/>
      <c r="GA531" s="36"/>
    </row>
    <row r="532" spans="10:183" s="34" customFormat="1" ht="15" hidden="1">
      <c r="J532" s="36"/>
      <c r="CQ532" s="35"/>
      <c r="FR532" s="36"/>
      <c r="FS532" s="36"/>
      <c r="FT532" s="36"/>
      <c r="FU532" s="36"/>
      <c r="FV532" s="36"/>
      <c r="FW532" s="36"/>
      <c r="FX532" s="36"/>
      <c r="FY532" s="36"/>
      <c r="FZ532" s="36"/>
      <c r="GA532" s="36"/>
    </row>
    <row r="533" spans="10:183" s="34" customFormat="1" ht="15" hidden="1">
      <c r="J533" s="36"/>
      <c r="CQ533" s="35"/>
      <c r="FR533" s="36"/>
      <c r="FS533" s="36"/>
      <c r="FT533" s="36"/>
      <c r="FU533" s="36"/>
      <c r="FV533" s="36"/>
      <c r="FW533" s="36"/>
      <c r="FX533" s="36"/>
      <c r="FY533" s="36"/>
      <c r="FZ533" s="36"/>
      <c r="GA533" s="36"/>
    </row>
    <row r="534" spans="10:183" s="34" customFormat="1" ht="15" hidden="1">
      <c r="J534" s="36"/>
      <c r="CQ534" s="35"/>
      <c r="FR534" s="36"/>
      <c r="FS534" s="36"/>
      <c r="FT534" s="36"/>
      <c r="FU534" s="36"/>
      <c r="FV534" s="36"/>
      <c r="FW534" s="36"/>
      <c r="FX534" s="36"/>
      <c r="FY534" s="36"/>
      <c r="FZ534" s="36"/>
      <c r="GA534" s="36"/>
    </row>
    <row r="535" spans="10:183" s="34" customFormat="1" ht="15" hidden="1">
      <c r="J535" s="36"/>
      <c r="CQ535" s="35"/>
      <c r="FR535" s="36"/>
      <c r="FS535" s="36"/>
      <c r="FT535" s="36"/>
      <c r="FU535" s="36"/>
      <c r="FV535" s="36"/>
      <c r="FW535" s="36"/>
      <c r="FX535" s="36"/>
      <c r="FY535" s="36"/>
      <c r="FZ535" s="36"/>
      <c r="GA535" s="36"/>
    </row>
    <row r="536" spans="10:183" s="34" customFormat="1" ht="15" hidden="1">
      <c r="J536" s="36"/>
      <c r="CQ536" s="35"/>
      <c r="FR536" s="36"/>
      <c r="FS536" s="36"/>
      <c r="FT536" s="36"/>
      <c r="FU536" s="36"/>
      <c r="FV536" s="36"/>
      <c r="FW536" s="36"/>
      <c r="FX536" s="36"/>
      <c r="FY536" s="36"/>
      <c r="FZ536" s="36"/>
      <c r="GA536" s="36"/>
    </row>
    <row r="537" spans="10:183" s="34" customFormat="1" ht="15" hidden="1">
      <c r="J537" s="36"/>
      <c r="CQ537" s="35"/>
      <c r="FR537" s="36"/>
      <c r="FS537" s="36"/>
      <c r="FT537" s="36"/>
      <c r="FU537" s="36"/>
      <c r="FV537" s="36"/>
      <c r="FW537" s="36"/>
      <c r="FX537" s="36"/>
      <c r="FY537" s="36"/>
      <c r="FZ537" s="36"/>
      <c r="GA537" s="36"/>
    </row>
    <row r="538" spans="10:183" s="34" customFormat="1" ht="15" hidden="1">
      <c r="J538" s="36"/>
      <c r="CQ538" s="35"/>
      <c r="FR538" s="36"/>
      <c r="FS538" s="36"/>
      <c r="FT538" s="36"/>
      <c r="FU538" s="36"/>
      <c r="FV538" s="36"/>
      <c r="FW538" s="36"/>
      <c r="FX538" s="36"/>
      <c r="FY538" s="36"/>
      <c r="FZ538" s="36"/>
      <c r="GA538" s="36"/>
    </row>
    <row r="539" spans="10:183" s="34" customFormat="1" ht="15" hidden="1">
      <c r="J539" s="36"/>
      <c r="CQ539" s="35"/>
      <c r="FR539" s="36"/>
      <c r="FS539" s="36"/>
      <c r="FT539" s="36"/>
      <c r="FU539" s="36"/>
      <c r="FV539" s="36"/>
      <c r="FW539" s="36"/>
      <c r="FX539" s="36"/>
      <c r="FY539" s="36"/>
      <c r="FZ539" s="36"/>
      <c r="GA539" s="36"/>
    </row>
    <row r="540" spans="10:183" s="34" customFormat="1" ht="15" hidden="1">
      <c r="J540" s="36"/>
      <c r="CQ540" s="35"/>
      <c r="FR540" s="36"/>
      <c r="FS540" s="36"/>
      <c r="FT540" s="36"/>
      <c r="FU540" s="36"/>
      <c r="FV540" s="36"/>
      <c r="FW540" s="36"/>
      <c r="FX540" s="36"/>
      <c r="FY540" s="36"/>
      <c r="FZ540" s="36"/>
      <c r="GA540" s="36"/>
    </row>
    <row r="541" spans="10:183" s="34" customFormat="1" ht="15" hidden="1">
      <c r="J541" s="36"/>
      <c r="BC541" s="36"/>
      <c r="CQ541" s="35"/>
      <c r="FR541" s="36"/>
      <c r="FS541" s="36"/>
      <c r="FT541" s="36"/>
      <c r="FU541" s="36"/>
      <c r="FV541" s="36"/>
      <c r="FW541" s="36"/>
      <c r="FX541" s="36"/>
      <c r="FY541" s="36"/>
      <c r="FZ541" s="36"/>
      <c r="GA541" s="36"/>
    </row>
    <row r="542" spans="10:183" s="34" customFormat="1" ht="15" hidden="1">
      <c r="J542" s="36"/>
      <c r="BC542" s="36"/>
      <c r="CQ542" s="35"/>
      <c r="FR542" s="36"/>
      <c r="FS542" s="36"/>
      <c r="FT542" s="36"/>
      <c r="FU542" s="36"/>
      <c r="FV542" s="36"/>
      <c r="FW542" s="36"/>
      <c r="FX542" s="36"/>
      <c r="FY542" s="36"/>
      <c r="FZ542" s="36"/>
      <c r="GA542" s="36"/>
    </row>
    <row r="543" spans="10:183" s="34" customFormat="1" ht="15" hidden="1">
      <c r="J543" s="36"/>
      <c r="BC543" s="36"/>
      <c r="CQ543" s="35"/>
      <c r="FR543" s="36"/>
      <c r="FS543" s="36"/>
      <c r="FT543" s="36"/>
      <c r="FU543" s="36"/>
      <c r="FV543" s="36"/>
      <c r="FW543" s="36"/>
      <c r="FX543" s="36"/>
      <c r="FY543" s="36"/>
      <c r="FZ543" s="36"/>
      <c r="GA543" s="36"/>
    </row>
    <row r="544" spans="10:183" s="34" customFormat="1" ht="15" hidden="1">
      <c r="J544" s="36"/>
      <c r="BC544" s="36"/>
      <c r="CQ544" s="35"/>
      <c r="FR544" s="36"/>
      <c r="FS544" s="36"/>
      <c r="FT544" s="36"/>
      <c r="FU544" s="36"/>
      <c r="FV544" s="36"/>
      <c r="FW544" s="36"/>
      <c r="FX544" s="36"/>
      <c r="FY544" s="36"/>
      <c r="FZ544" s="36"/>
      <c r="GA544" s="36"/>
    </row>
    <row r="545" spans="10:183" s="34" customFormat="1" ht="15" hidden="1">
      <c r="J545" s="36"/>
      <c r="BC545" s="36"/>
      <c r="CQ545" s="35"/>
      <c r="FR545" s="36"/>
      <c r="FS545" s="36"/>
      <c r="FT545" s="36"/>
      <c r="FU545" s="36"/>
      <c r="FV545" s="36"/>
      <c r="FW545" s="36"/>
      <c r="FX545" s="36"/>
      <c r="FY545" s="36"/>
      <c r="FZ545" s="36"/>
      <c r="GA545" s="36"/>
    </row>
    <row r="546" spans="10:183" s="34" customFormat="1" ht="15" hidden="1">
      <c r="J546" s="36"/>
      <c r="BC546" s="36"/>
      <c r="CQ546" s="35"/>
      <c r="FR546" s="36"/>
      <c r="FS546" s="36"/>
      <c r="FT546" s="36"/>
      <c r="FU546" s="36"/>
      <c r="FV546" s="36"/>
      <c r="FW546" s="36"/>
      <c r="FX546" s="36"/>
      <c r="FY546" s="36"/>
      <c r="FZ546" s="36"/>
      <c r="GA546" s="36"/>
    </row>
    <row r="547" spans="10:183" s="34" customFormat="1" ht="15" hidden="1">
      <c r="J547" s="36"/>
      <c r="BC547" s="36"/>
      <c r="CQ547" s="35"/>
      <c r="FR547" s="36"/>
      <c r="FS547" s="36"/>
      <c r="FT547" s="36"/>
      <c r="FU547" s="36"/>
      <c r="FV547" s="36"/>
      <c r="FW547" s="36"/>
      <c r="FX547" s="36"/>
      <c r="FY547" s="36"/>
      <c r="FZ547" s="36"/>
      <c r="GA547" s="36"/>
    </row>
    <row r="548" spans="10:183" s="34" customFormat="1" ht="15" hidden="1">
      <c r="J548" s="36"/>
      <c r="BC548" s="36"/>
      <c r="CQ548" s="35"/>
      <c r="FR548" s="36"/>
      <c r="FS548" s="36"/>
      <c r="FT548" s="36"/>
      <c r="FU548" s="36"/>
      <c r="FV548" s="36"/>
      <c r="FW548" s="36"/>
      <c r="FX548" s="36"/>
      <c r="FY548" s="36"/>
      <c r="FZ548" s="36"/>
      <c r="GA548" s="36"/>
    </row>
    <row r="549" spans="10:183" s="34" customFormat="1" ht="15" hidden="1">
      <c r="J549" s="36"/>
      <c r="BC549" s="36"/>
      <c r="CQ549" s="35"/>
      <c r="FR549" s="36"/>
      <c r="FS549" s="36"/>
      <c r="FT549" s="36"/>
      <c r="FU549" s="36"/>
      <c r="FV549" s="36"/>
      <c r="FW549" s="36"/>
      <c r="FX549" s="36"/>
      <c r="FY549" s="36"/>
      <c r="FZ549" s="36"/>
      <c r="GA549" s="36"/>
    </row>
    <row r="550" spans="10:183" s="34" customFormat="1" ht="15" hidden="1">
      <c r="J550" s="36"/>
      <c r="BC550" s="36"/>
      <c r="CQ550" s="35"/>
      <c r="FR550" s="36"/>
      <c r="FS550" s="36"/>
      <c r="FT550" s="36"/>
      <c r="FU550" s="36"/>
      <c r="FV550" s="36"/>
      <c r="FW550" s="36"/>
      <c r="FX550" s="36"/>
      <c r="FY550" s="36"/>
      <c r="FZ550" s="36"/>
      <c r="GA550" s="36"/>
    </row>
    <row r="551" spans="10:183" s="34" customFormat="1" ht="15" hidden="1">
      <c r="J551" s="36"/>
      <c r="BC551" s="36"/>
      <c r="CQ551" s="35"/>
      <c r="FR551" s="36"/>
      <c r="FS551" s="36"/>
      <c r="FT551" s="36"/>
      <c r="FU551" s="36"/>
      <c r="FV551" s="36"/>
      <c r="FW551" s="36"/>
      <c r="FX551" s="36"/>
      <c r="FY551" s="36"/>
      <c r="FZ551" s="36"/>
      <c r="GA551" s="36"/>
    </row>
    <row r="552" spans="10:183" s="34" customFormat="1" ht="15" hidden="1">
      <c r="J552" s="36"/>
      <c r="BC552" s="36"/>
      <c r="CQ552" s="35"/>
      <c r="FR552" s="36"/>
      <c r="FS552" s="36"/>
      <c r="FT552" s="36"/>
      <c r="FU552" s="36"/>
      <c r="FV552" s="36"/>
      <c r="FW552" s="36"/>
      <c r="FX552" s="36"/>
      <c r="FY552" s="36"/>
      <c r="FZ552" s="36"/>
      <c r="GA552" s="36"/>
    </row>
    <row r="553" spans="10:183" s="34" customFormat="1" ht="15" hidden="1">
      <c r="J553" s="36"/>
      <c r="BC553" s="36"/>
      <c r="CQ553" s="35"/>
      <c r="FR553" s="36"/>
      <c r="FS553" s="36"/>
      <c r="FT553" s="36"/>
      <c r="FU553" s="36"/>
      <c r="FV553" s="36"/>
      <c r="FW553" s="36"/>
      <c r="FX553" s="36"/>
      <c r="FY553" s="36"/>
      <c r="FZ553" s="36"/>
      <c r="GA553" s="36"/>
    </row>
    <row r="554" spans="10:183" s="34" customFormat="1" ht="15" hidden="1">
      <c r="J554" s="36"/>
      <c r="BC554" s="36"/>
      <c r="CQ554" s="35"/>
      <c r="FR554" s="36"/>
      <c r="FS554" s="36"/>
      <c r="FT554" s="36"/>
      <c r="FU554" s="36"/>
      <c r="FV554" s="36"/>
      <c r="FW554" s="36"/>
      <c r="FX554" s="36"/>
      <c r="FY554" s="36"/>
      <c r="FZ554" s="36"/>
      <c r="GA554" s="36"/>
    </row>
    <row r="555" spans="10:183" s="34" customFormat="1" ht="15" hidden="1">
      <c r="J555" s="36"/>
      <c r="BC555" s="36"/>
      <c r="CQ555" s="35"/>
      <c r="FR555" s="36"/>
      <c r="FS555" s="36"/>
      <c r="FT555" s="36"/>
      <c r="FU555" s="36"/>
      <c r="FV555" s="36"/>
      <c r="FW555" s="36"/>
      <c r="FX555" s="36"/>
      <c r="FY555" s="36"/>
      <c r="FZ555" s="36"/>
      <c r="GA555" s="36"/>
    </row>
    <row r="556" spans="10:183" s="34" customFormat="1" ht="15" hidden="1">
      <c r="J556" s="36"/>
      <c r="BC556" s="36"/>
      <c r="CQ556" s="35"/>
      <c r="FR556" s="36"/>
      <c r="FS556" s="36"/>
      <c r="FT556" s="36"/>
      <c r="FU556" s="36"/>
      <c r="FV556" s="36"/>
      <c r="FW556" s="36"/>
      <c r="FX556" s="36"/>
      <c r="FY556" s="36"/>
      <c r="FZ556" s="36"/>
      <c r="GA556" s="36"/>
    </row>
    <row r="557" spans="10:183" s="34" customFormat="1" ht="15" hidden="1">
      <c r="J557" s="36"/>
      <c r="BC557" s="36"/>
      <c r="CQ557" s="35"/>
      <c r="FR557" s="36"/>
      <c r="FS557" s="36"/>
      <c r="FT557" s="36"/>
      <c r="FU557" s="36"/>
      <c r="FV557" s="36"/>
      <c r="FW557" s="36"/>
      <c r="FX557" s="36"/>
      <c r="FY557" s="36"/>
      <c r="FZ557" s="36"/>
      <c r="GA557" s="36"/>
    </row>
    <row r="558" spans="10:183" s="34" customFormat="1" ht="15" hidden="1">
      <c r="J558" s="36"/>
      <c r="BC558" s="36"/>
      <c r="CQ558" s="35"/>
      <c r="FR558" s="36"/>
      <c r="FS558" s="36"/>
      <c r="FT558" s="36"/>
      <c r="FU558" s="36"/>
      <c r="FV558" s="36"/>
      <c r="FW558" s="36"/>
      <c r="FX558" s="36"/>
      <c r="FY558" s="36"/>
      <c r="FZ558" s="36"/>
      <c r="GA558" s="36"/>
    </row>
    <row r="559" spans="10:183" s="34" customFormat="1" ht="15" hidden="1">
      <c r="J559" s="36"/>
      <c r="BC559" s="36"/>
      <c r="CQ559" s="35"/>
      <c r="FR559" s="36"/>
      <c r="FS559" s="36"/>
      <c r="FT559" s="36"/>
      <c r="FU559" s="36"/>
      <c r="FV559" s="36"/>
      <c r="FW559" s="36"/>
      <c r="FX559" s="36"/>
      <c r="FY559" s="36"/>
      <c r="FZ559" s="36"/>
      <c r="GA559" s="36"/>
    </row>
    <row r="560" spans="10:183" s="34" customFormat="1" ht="15" hidden="1">
      <c r="J560" s="36"/>
      <c r="BC560" s="36"/>
      <c r="CQ560" s="35"/>
      <c r="FR560" s="36"/>
      <c r="FS560" s="36"/>
      <c r="FT560" s="36"/>
      <c r="FU560" s="36"/>
      <c r="FV560" s="36"/>
      <c r="FW560" s="36"/>
      <c r="FX560" s="36"/>
      <c r="FY560" s="36"/>
      <c r="FZ560" s="36"/>
      <c r="GA560" s="36"/>
    </row>
    <row r="561" spans="10:183" s="34" customFormat="1" ht="15" hidden="1">
      <c r="J561" s="36"/>
      <c r="BC561" s="36"/>
      <c r="CQ561" s="35"/>
      <c r="FR561" s="36"/>
      <c r="FS561" s="36"/>
      <c r="FT561" s="36"/>
      <c r="FU561" s="36"/>
      <c r="FV561" s="36"/>
      <c r="FW561" s="36"/>
      <c r="FX561" s="36"/>
      <c r="FY561" s="36"/>
      <c r="FZ561" s="36"/>
      <c r="GA561" s="36"/>
    </row>
    <row r="562" spans="10:183" s="34" customFormat="1" ht="15" hidden="1">
      <c r="J562" s="36"/>
      <c r="BC562" s="36"/>
      <c r="CQ562" s="35"/>
      <c r="FR562" s="36"/>
      <c r="FS562" s="36"/>
      <c r="FT562" s="36"/>
      <c r="FU562" s="36"/>
      <c r="FV562" s="36"/>
      <c r="FW562" s="36"/>
      <c r="FX562" s="36"/>
      <c r="FY562" s="36"/>
      <c r="FZ562" s="36"/>
      <c r="GA562" s="36"/>
    </row>
    <row r="563" spans="10:183" s="34" customFormat="1" ht="15" hidden="1">
      <c r="J563" s="36"/>
      <c r="BC563" s="36"/>
      <c r="CQ563" s="35"/>
      <c r="FR563" s="36"/>
      <c r="FS563" s="36"/>
      <c r="FT563" s="36"/>
      <c r="FU563" s="36"/>
      <c r="FV563" s="36"/>
      <c r="FW563" s="36"/>
      <c r="FX563" s="36"/>
      <c r="FY563" s="36"/>
      <c r="FZ563" s="36"/>
      <c r="GA563" s="36"/>
    </row>
    <row r="564" spans="10:183" s="34" customFormat="1" ht="15" hidden="1">
      <c r="J564" s="36"/>
      <c r="BC564" s="36"/>
      <c r="CQ564" s="35"/>
      <c r="FR564" s="36"/>
      <c r="FS564" s="36"/>
      <c r="FT564" s="36"/>
      <c r="FU564" s="36"/>
      <c r="FV564" s="36"/>
      <c r="FW564" s="36"/>
      <c r="FX564" s="36"/>
      <c r="FY564" s="36"/>
      <c r="FZ564" s="36"/>
      <c r="GA564" s="36"/>
    </row>
    <row r="565" spans="10:183" s="34" customFormat="1" ht="15" hidden="1">
      <c r="J565" s="36"/>
      <c r="BC565" s="36"/>
      <c r="CQ565" s="35"/>
      <c r="FR565" s="36"/>
      <c r="FS565" s="36"/>
      <c r="FT565" s="36"/>
      <c r="FU565" s="36"/>
      <c r="FV565" s="36"/>
      <c r="FW565" s="36"/>
      <c r="FX565" s="36"/>
      <c r="FY565" s="36"/>
      <c r="FZ565" s="36"/>
      <c r="GA565" s="36"/>
    </row>
    <row r="566" spans="10:183" s="34" customFormat="1" ht="15" hidden="1">
      <c r="J566" s="36"/>
      <c r="BC566" s="36"/>
      <c r="CQ566" s="35"/>
      <c r="FR566" s="36"/>
      <c r="FS566" s="36"/>
      <c r="FT566" s="36"/>
      <c r="FU566" s="36"/>
      <c r="FV566" s="36"/>
      <c r="FW566" s="36"/>
      <c r="FX566" s="36"/>
      <c r="FY566" s="36"/>
      <c r="FZ566" s="36"/>
      <c r="GA566" s="36"/>
    </row>
    <row r="567" spans="10:183" s="34" customFormat="1" ht="15" hidden="1">
      <c r="J567" s="36"/>
      <c r="BC567" s="36"/>
      <c r="CQ567" s="35"/>
      <c r="FR567" s="36"/>
      <c r="FS567" s="36"/>
      <c r="FT567" s="36"/>
      <c r="FU567" s="36"/>
      <c r="FV567" s="36"/>
      <c r="FW567" s="36"/>
      <c r="FX567" s="36"/>
      <c r="FY567" s="36"/>
      <c r="FZ567" s="36"/>
      <c r="GA567" s="36"/>
    </row>
    <row r="568" spans="10:183" s="34" customFormat="1" ht="15" hidden="1">
      <c r="J568" s="36"/>
      <c r="BC568" s="36"/>
      <c r="CQ568" s="35"/>
      <c r="FR568" s="36"/>
      <c r="FS568" s="36"/>
      <c r="FT568" s="36"/>
      <c r="FU568" s="36"/>
      <c r="FV568" s="36"/>
      <c r="FW568" s="36"/>
      <c r="FX568" s="36"/>
      <c r="FY568" s="36"/>
      <c r="FZ568" s="36"/>
      <c r="GA568" s="36"/>
    </row>
    <row r="569" spans="10:183" s="34" customFormat="1" ht="15" hidden="1">
      <c r="J569" s="36"/>
      <c r="BC569" s="36"/>
      <c r="CQ569" s="35"/>
      <c r="FR569" s="36"/>
      <c r="FS569" s="36"/>
      <c r="FT569" s="36"/>
      <c r="FU569" s="36"/>
      <c r="FV569" s="36"/>
      <c r="FW569" s="36"/>
      <c r="FX569" s="36"/>
      <c r="FY569" s="36"/>
      <c r="FZ569" s="36"/>
      <c r="GA569" s="36"/>
    </row>
    <row r="570" spans="10:183" s="34" customFormat="1" ht="15" hidden="1">
      <c r="J570" s="36"/>
      <c r="BC570" s="36"/>
      <c r="CQ570" s="35"/>
      <c r="FR570" s="36"/>
      <c r="FS570" s="36"/>
      <c r="FT570" s="36"/>
      <c r="FU570" s="36"/>
      <c r="FV570" s="36"/>
      <c r="FW570" s="36"/>
      <c r="FX570" s="36"/>
      <c r="FY570" s="36"/>
      <c r="FZ570" s="36"/>
      <c r="GA570" s="36"/>
    </row>
    <row r="571" spans="10:183" s="34" customFormat="1" ht="15" hidden="1">
      <c r="J571" s="36"/>
      <c r="K571" s="36"/>
      <c r="L571" s="36"/>
      <c r="M571" s="36"/>
      <c r="N571" s="36"/>
      <c r="O571" s="36"/>
      <c r="P571" s="36"/>
      <c r="Q571" s="36"/>
      <c r="R571" s="36"/>
      <c r="S571" s="36"/>
      <c r="T571" s="136"/>
      <c r="U571" s="36"/>
      <c r="V571" s="36"/>
      <c r="W571" s="36"/>
      <c r="X571" s="36"/>
      <c r="Y571" s="36"/>
      <c r="Z571" s="36"/>
      <c r="AA571" s="136"/>
      <c r="AB571" s="36"/>
      <c r="AC571" s="136"/>
      <c r="AD571" s="36"/>
      <c r="AE571" s="36"/>
      <c r="AF571" s="36"/>
      <c r="AG571" s="36"/>
      <c r="AH571" s="36"/>
      <c r="AI571" s="36"/>
      <c r="AJ571" s="136"/>
      <c r="AK571" s="36"/>
      <c r="AL571" s="136"/>
      <c r="AM571" s="36"/>
      <c r="AN571" s="36"/>
      <c r="AO571" s="36"/>
      <c r="AP571" s="36"/>
      <c r="AQ571" s="36"/>
      <c r="AR571" s="36"/>
      <c r="AS571" s="36"/>
      <c r="AT571" s="36"/>
      <c r="AU571" s="136"/>
      <c r="AV571" s="36"/>
      <c r="AW571" s="36"/>
      <c r="AX571" s="36"/>
      <c r="AY571" s="36"/>
      <c r="AZ571" s="36"/>
      <c r="BA571" s="36"/>
      <c r="BC571" s="36"/>
      <c r="BD571" s="36"/>
      <c r="BE571" s="36"/>
      <c r="BF571" s="36"/>
      <c r="BG571" s="36"/>
      <c r="BH571" s="36"/>
      <c r="BI571" s="36"/>
      <c r="BJ571" s="36"/>
      <c r="BK571" s="36"/>
      <c r="BL571" s="36"/>
      <c r="BM571" s="36"/>
      <c r="BN571" s="36"/>
      <c r="BO571" s="36"/>
      <c r="BP571" s="36"/>
      <c r="BQ571" s="36"/>
      <c r="BR571" s="36"/>
      <c r="BS571" s="36"/>
      <c r="BT571" s="36"/>
      <c r="BU571" s="36"/>
      <c r="BV571" s="36"/>
      <c r="BW571" s="36"/>
      <c r="BX571" s="36"/>
      <c r="BY571" s="36"/>
      <c r="BZ571" s="36"/>
      <c r="CA571" s="36"/>
      <c r="CB571" s="36"/>
      <c r="CC571" s="36"/>
      <c r="CD571" s="36"/>
      <c r="CE571" s="36"/>
      <c r="CF571" s="36"/>
      <c r="CG571" s="36"/>
      <c r="CH571" s="36"/>
      <c r="CI571" s="36"/>
      <c r="CJ571" s="36"/>
      <c r="CK571" s="136"/>
      <c r="CQ571" s="35"/>
      <c r="CX571" s="36"/>
      <c r="CY571" s="36"/>
      <c r="CZ571" s="36"/>
      <c r="DA571" s="36"/>
      <c r="DB571" s="36"/>
      <c r="DC571" s="36"/>
      <c r="FR571" s="36"/>
      <c r="FS571" s="36"/>
      <c r="FT571" s="36"/>
      <c r="FU571" s="36"/>
      <c r="FV571" s="36"/>
      <c r="FW571" s="36"/>
      <c r="FX571" s="36"/>
      <c r="FY571" s="36"/>
      <c r="FZ571" s="36"/>
      <c r="GA571" s="36"/>
    </row>
    <row r="572" spans="10:183" s="34" customFormat="1" ht="15" hidden="1">
      <c r="J572" s="36"/>
      <c r="K572" s="36"/>
      <c r="L572" s="36"/>
      <c r="M572" s="36"/>
      <c r="N572" s="36"/>
      <c r="O572" s="36"/>
      <c r="P572" s="36"/>
      <c r="Q572" s="36"/>
      <c r="R572" s="36"/>
      <c r="S572" s="36"/>
      <c r="T572" s="136"/>
      <c r="U572" s="36"/>
      <c r="V572" s="36"/>
      <c r="W572" s="36"/>
      <c r="X572" s="36"/>
      <c r="Y572" s="36"/>
      <c r="Z572" s="36"/>
      <c r="AA572" s="136"/>
      <c r="AB572" s="36"/>
      <c r="AC572" s="136"/>
      <c r="AD572" s="36"/>
      <c r="AE572" s="36"/>
      <c r="AF572" s="36"/>
      <c r="AG572" s="36"/>
      <c r="AH572" s="36"/>
      <c r="AI572" s="36"/>
      <c r="AJ572" s="136"/>
      <c r="AK572" s="36"/>
      <c r="AL572" s="136"/>
      <c r="AM572" s="36"/>
      <c r="AN572" s="36"/>
      <c r="AO572" s="36"/>
      <c r="AP572" s="36"/>
      <c r="AQ572" s="36"/>
      <c r="AR572" s="36"/>
      <c r="AS572" s="36"/>
      <c r="AT572" s="36"/>
      <c r="AU572" s="136"/>
      <c r="AV572" s="36"/>
      <c r="AW572" s="36"/>
      <c r="AX572" s="36"/>
      <c r="AY572" s="36"/>
      <c r="AZ572" s="36"/>
      <c r="BA572" s="36"/>
      <c r="BC572" s="36"/>
      <c r="BD572" s="36"/>
      <c r="BE572" s="36"/>
      <c r="BF572" s="36"/>
      <c r="BG572" s="36"/>
      <c r="BH572" s="36"/>
      <c r="BI572" s="36"/>
      <c r="BJ572" s="36"/>
      <c r="BK572" s="36"/>
      <c r="BL572" s="36"/>
      <c r="BM572" s="36"/>
      <c r="BN572" s="36"/>
      <c r="BO572" s="36"/>
      <c r="BP572" s="36"/>
      <c r="BQ572" s="36"/>
      <c r="BR572" s="36"/>
      <c r="BS572" s="36"/>
      <c r="BT572" s="36"/>
      <c r="BU572" s="36"/>
      <c r="BV572" s="36"/>
      <c r="BW572" s="36"/>
      <c r="BX572" s="36"/>
      <c r="BY572" s="36"/>
      <c r="BZ572" s="36"/>
      <c r="CA572" s="36"/>
      <c r="CB572" s="36"/>
      <c r="CC572" s="36"/>
      <c r="CD572" s="36"/>
      <c r="CE572" s="36"/>
      <c r="CF572" s="36"/>
      <c r="CG572" s="36"/>
      <c r="CH572" s="36"/>
      <c r="CI572" s="36"/>
      <c r="CJ572" s="36"/>
      <c r="CK572" s="136"/>
      <c r="CQ572" s="35"/>
      <c r="CX572" s="36"/>
      <c r="CY572" s="36"/>
      <c r="CZ572" s="36"/>
      <c r="DA572" s="36"/>
      <c r="DB572" s="36"/>
      <c r="DC572" s="36"/>
      <c r="FR572" s="36"/>
      <c r="FS572" s="36"/>
      <c r="FT572" s="36"/>
      <c r="FU572" s="36"/>
      <c r="FV572" s="36"/>
      <c r="FW572" s="36"/>
      <c r="FX572" s="36"/>
      <c r="FY572" s="36"/>
      <c r="FZ572" s="36"/>
      <c r="GA572" s="36"/>
    </row>
    <row r="573" spans="10:183" s="34" customFormat="1" ht="15" hidden="1">
      <c r="J573" s="36"/>
      <c r="K573" s="36"/>
      <c r="L573" s="36"/>
      <c r="M573" s="36"/>
      <c r="N573" s="36"/>
      <c r="O573" s="36"/>
      <c r="P573" s="36"/>
      <c r="Q573" s="36"/>
      <c r="R573" s="36"/>
      <c r="S573" s="36"/>
      <c r="T573" s="136"/>
      <c r="U573" s="36"/>
      <c r="V573" s="36"/>
      <c r="W573" s="36"/>
      <c r="X573" s="36"/>
      <c r="Y573" s="36"/>
      <c r="Z573" s="36"/>
      <c r="AA573" s="136"/>
      <c r="AB573" s="36"/>
      <c r="AC573" s="136"/>
      <c r="AD573" s="36"/>
      <c r="AE573" s="36"/>
      <c r="AF573" s="36"/>
      <c r="AG573" s="36"/>
      <c r="AH573" s="36"/>
      <c r="AI573" s="36"/>
      <c r="AJ573" s="136"/>
      <c r="AK573" s="36"/>
      <c r="AL573" s="136"/>
      <c r="AM573" s="36"/>
      <c r="AN573" s="36"/>
      <c r="AO573" s="36"/>
      <c r="AP573" s="36"/>
      <c r="AQ573" s="36"/>
      <c r="AR573" s="36"/>
      <c r="AS573" s="36"/>
      <c r="AT573" s="36"/>
      <c r="AU573" s="136"/>
      <c r="AV573" s="36"/>
      <c r="AW573" s="36"/>
      <c r="AX573" s="36"/>
      <c r="AY573" s="36"/>
      <c r="AZ573" s="36"/>
      <c r="BA573" s="36"/>
      <c r="BB573" s="136"/>
      <c r="BC573" s="36"/>
      <c r="BD573" s="36"/>
      <c r="BE573" s="36"/>
      <c r="BF573" s="36"/>
      <c r="BG573" s="36"/>
      <c r="BH573" s="36"/>
      <c r="BI573" s="36"/>
      <c r="BJ573" s="36"/>
      <c r="BK573" s="36"/>
      <c r="BL573" s="36"/>
      <c r="BM573" s="36"/>
      <c r="BN573" s="36"/>
      <c r="BO573" s="36"/>
      <c r="BP573" s="36"/>
      <c r="BQ573" s="36"/>
      <c r="BR573" s="36"/>
      <c r="BS573" s="36"/>
      <c r="BT573" s="36"/>
      <c r="BU573" s="36"/>
      <c r="BV573" s="36"/>
      <c r="BW573" s="36"/>
      <c r="BX573" s="36"/>
      <c r="BY573" s="36"/>
      <c r="BZ573" s="36"/>
      <c r="CA573" s="36"/>
      <c r="CB573" s="36"/>
      <c r="CC573" s="36"/>
      <c r="CD573" s="36"/>
      <c r="CE573" s="36"/>
      <c r="CF573" s="36"/>
      <c r="CG573" s="36"/>
      <c r="CH573" s="36"/>
      <c r="CI573" s="36"/>
      <c r="CJ573" s="36"/>
      <c r="CK573" s="136"/>
      <c r="CQ573" s="35"/>
      <c r="CX573" s="36"/>
      <c r="CY573" s="36"/>
      <c r="CZ573" s="36"/>
      <c r="DA573" s="36"/>
      <c r="DB573" s="36"/>
      <c r="DC573" s="36"/>
      <c r="FR573" s="36"/>
      <c r="FS573" s="36"/>
      <c r="FT573" s="36"/>
      <c r="FU573" s="36"/>
      <c r="FV573" s="36"/>
      <c r="FW573" s="36"/>
      <c r="FX573" s="36"/>
      <c r="FY573" s="36"/>
      <c r="FZ573" s="36"/>
      <c r="GA573" s="36"/>
    </row>
    <row r="574" spans="10:183" s="34" customFormat="1" ht="15" hidden="1">
      <c r="J574" s="36"/>
      <c r="K574" s="36"/>
      <c r="L574" s="36"/>
      <c r="M574" s="36"/>
      <c r="N574" s="36"/>
      <c r="O574" s="36"/>
      <c r="P574" s="36"/>
      <c r="Q574" s="36"/>
      <c r="R574" s="36"/>
      <c r="S574" s="36"/>
      <c r="T574" s="136"/>
      <c r="U574" s="36"/>
      <c r="V574" s="36"/>
      <c r="W574" s="36"/>
      <c r="X574" s="36"/>
      <c r="Y574" s="36"/>
      <c r="Z574" s="36"/>
      <c r="AA574" s="136"/>
      <c r="AB574" s="36"/>
      <c r="AC574" s="136"/>
      <c r="AD574" s="36"/>
      <c r="AE574" s="36"/>
      <c r="AF574" s="36"/>
      <c r="AG574" s="36"/>
      <c r="AH574" s="36"/>
      <c r="AI574" s="36"/>
      <c r="AJ574" s="136"/>
      <c r="AK574" s="36"/>
      <c r="AL574" s="136"/>
      <c r="AM574" s="36"/>
      <c r="AN574" s="36"/>
      <c r="AO574" s="36"/>
      <c r="AP574" s="36"/>
      <c r="AQ574" s="36"/>
      <c r="AR574" s="36"/>
      <c r="AS574" s="36"/>
      <c r="AT574" s="36"/>
      <c r="AU574" s="136"/>
      <c r="AV574" s="36"/>
      <c r="AW574" s="36"/>
      <c r="AX574" s="36"/>
      <c r="AY574" s="36"/>
      <c r="AZ574" s="36"/>
      <c r="BA574" s="36"/>
      <c r="BB574" s="136"/>
      <c r="BC574" s="36"/>
      <c r="BD574" s="36"/>
      <c r="BE574" s="36"/>
      <c r="BF574" s="36"/>
      <c r="BG574" s="36"/>
      <c r="BH574" s="36"/>
      <c r="BI574" s="36"/>
      <c r="BJ574" s="36"/>
      <c r="BK574" s="36"/>
      <c r="BL574" s="36"/>
      <c r="BM574" s="36"/>
      <c r="BN574" s="36"/>
      <c r="BO574" s="36"/>
      <c r="BP574" s="36"/>
      <c r="BQ574" s="36"/>
      <c r="BR574" s="36"/>
      <c r="BS574" s="36"/>
      <c r="BT574" s="36"/>
      <c r="BU574" s="36"/>
      <c r="BV574" s="36"/>
      <c r="BW574" s="36"/>
      <c r="BX574" s="36"/>
      <c r="BY574" s="36"/>
      <c r="BZ574" s="36"/>
      <c r="CA574" s="36"/>
      <c r="CB574" s="36"/>
      <c r="CC574" s="36"/>
      <c r="CD574" s="36"/>
      <c r="CE574" s="36"/>
      <c r="CF574" s="36"/>
      <c r="CG574" s="36"/>
      <c r="CH574" s="36"/>
      <c r="CI574" s="36"/>
      <c r="CJ574" s="36"/>
      <c r="CK574" s="136"/>
      <c r="CQ574" s="35"/>
      <c r="CX574" s="36"/>
      <c r="CY574" s="36"/>
      <c r="CZ574" s="36"/>
      <c r="DA574" s="36"/>
      <c r="DB574" s="36"/>
      <c r="DC574" s="36"/>
      <c r="FR574" s="36"/>
      <c r="FS574" s="36"/>
      <c r="FT574" s="36"/>
      <c r="FU574" s="36"/>
      <c r="FV574" s="36"/>
      <c r="FW574" s="36"/>
      <c r="FX574" s="36"/>
      <c r="FY574" s="36"/>
      <c r="FZ574" s="36"/>
      <c r="GA574" s="36"/>
    </row>
    <row r="575" spans="10:183" s="34" customFormat="1" ht="15" hidden="1">
      <c r="J575" s="36"/>
      <c r="K575" s="36"/>
      <c r="L575" s="36"/>
      <c r="M575" s="36"/>
      <c r="N575" s="36"/>
      <c r="O575" s="36"/>
      <c r="P575" s="36"/>
      <c r="Q575" s="36"/>
      <c r="R575" s="36"/>
      <c r="S575" s="36"/>
      <c r="T575" s="136"/>
      <c r="U575" s="36"/>
      <c r="V575" s="36"/>
      <c r="W575" s="36"/>
      <c r="X575" s="36"/>
      <c r="Y575" s="36"/>
      <c r="Z575" s="36"/>
      <c r="AA575" s="136"/>
      <c r="AB575" s="36"/>
      <c r="AC575" s="136"/>
      <c r="AD575" s="36"/>
      <c r="AE575" s="36"/>
      <c r="AF575" s="36"/>
      <c r="AG575" s="36"/>
      <c r="AH575" s="36"/>
      <c r="AI575" s="36"/>
      <c r="AJ575" s="136"/>
      <c r="AK575" s="36"/>
      <c r="AL575" s="136"/>
      <c r="AM575" s="36"/>
      <c r="AN575" s="36"/>
      <c r="AO575" s="36"/>
      <c r="AP575" s="36"/>
      <c r="AQ575" s="36"/>
      <c r="AR575" s="36"/>
      <c r="AS575" s="36"/>
      <c r="AT575" s="36"/>
      <c r="AU575" s="136"/>
      <c r="AV575" s="36"/>
      <c r="AW575" s="36"/>
      <c r="AX575" s="36"/>
      <c r="AY575" s="36"/>
      <c r="AZ575" s="36"/>
      <c r="BA575" s="36"/>
      <c r="BB575" s="136"/>
      <c r="BC575" s="36"/>
      <c r="BD575" s="36"/>
      <c r="BE575" s="36"/>
      <c r="BF575" s="36"/>
      <c r="BG575" s="36"/>
      <c r="BH575" s="36"/>
      <c r="BI575" s="36"/>
      <c r="BJ575" s="36"/>
      <c r="BK575" s="36"/>
      <c r="BL575" s="36"/>
      <c r="BM575" s="36"/>
      <c r="BN575" s="36"/>
      <c r="BO575" s="36"/>
      <c r="BP575" s="36"/>
      <c r="BQ575" s="36"/>
      <c r="BR575" s="36"/>
      <c r="BS575" s="36"/>
      <c r="BT575" s="36"/>
      <c r="BU575" s="36"/>
      <c r="BV575" s="36"/>
      <c r="BW575" s="36"/>
      <c r="BX575" s="36"/>
      <c r="BY575" s="36"/>
      <c r="BZ575" s="36"/>
      <c r="CA575" s="36"/>
      <c r="CB575" s="36"/>
      <c r="CC575" s="36"/>
      <c r="CD575" s="36"/>
      <c r="CE575" s="36"/>
      <c r="CF575" s="36"/>
      <c r="CG575" s="36"/>
      <c r="CH575" s="36"/>
      <c r="CI575" s="36"/>
      <c r="CJ575" s="36"/>
      <c r="CK575" s="136"/>
      <c r="CQ575" s="35"/>
      <c r="CX575" s="36"/>
      <c r="CY575" s="36"/>
      <c r="CZ575" s="36"/>
      <c r="DA575" s="36"/>
      <c r="DB575" s="36"/>
      <c r="DC575" s="36"/>
      <c r="FR575" s="36"/>
      <c r="FS575" s="36"/>
      <c r="FT575" s="36"/>
      <c r="FU575" s="36"/>
      <c r="FV575" s="36"/>
      <c r="FW575" s="36"/>
      <c r="FX575" s="36"/>
      <c r="FY575" s="36"/>
      <c r="FZ575" s="36"/>
      <c r="GA575" s="36"/>
    </row>
    <row r="576" spans="10:183" s="34" customFormat="1" ht="15" hidden="1">
      <c r="J576" s="36"/>
      <c r="K576" s="36"/>
      <c r="L576" s="36"/>
      <c r="M576" s="36"/>
      <c r="N576" s="36"/>
      <c r="O576" s="36"/>
      <c r="P576" s="36"/>
      <c r="Q576" s="36"/>
      <c r="R576" s="36"/>
      <c r="S576" s="36"/>
      <c r="T576" s="136"/>
      <c r="U576" s="36"/>
      <c r="V576" s="36"/>
      <c r="W576" s="36"/>
      <c r="X576" s="36"/>
      <c r="Y576" s="36"/>
      <c r="Z576" s="36"/>
      <c r="AA576" s="136"/>
      <c r="AB576" s="36"/>
      <c r="AC576" s="136"/>
      <c r="AD576" s="36"/>
      <c r="AE576" s="36"/>
      <c r="AF576" s="36"/>
      <c r="AG576" s="36"/>
      <c r="AH576" s="36"/>
      <c r="AI576" s="36"/>
      <c r="AJ576" s="136"/>
      <c r="AK576" s="36"/>
      <c r="AL576" s="136"/>
      <c r="AM576" s="36"/>
      <c r="AN576" s="36"/>
      <c r="AO576" s="36"/>
      <c r="AP576" s="36"/>
      <c r="AQ576" s="36"/>
      <c r="AR576" s="36"/>
      <c r="AS576" s="36"/>
      <c r="AT576" s="36"/>
      <c r="AU576" s="136"/>
      <c r="AV576" s="36"/>
      <c r="AW576" s="36"/>
      <c r="AX576" s="36"/>
      <c r="AY576" s="36"/>
      <c r="AZ576" s="36"/>
      <c r="BA576" s="36"/>
      <c r="BB576" s="136"/>
      <c r="BC576" s="36"/>
      <c r="BD576" s="36"/>
      <c r="BE576" s="36"/>
      <c r="BF576" s="36"/>
      <c r="BG576" s="36"/>
      <c r="BH576" s="36"/>
      <c r="BI576" s="36"/>
      <c r="BJ576" s="36"/>
      <c r="BK576" s="36"/>
      <c r="BL576" s="36"/>
      <c r="BM576" s="36"/>
      <c r="BN576" s="36"/>
      <c r="BO576" s="36"/>
      <c r="BP576" s="36"/>
      <c r="BQ576" s="36"/>
      <c r="BR576" s="36"/>
      <c r="BS576" s="36"/>
      <c r="BT576" s="36"/>
      <c r="BU576" s="36"/>
      <c r="BV576" s="36"/>
      <c r="BW576" s="36"/>
      <c r="BX576" s="36"/>
      <c r="BY576" s="36"/>
      <c r="BZ576" s="36"/>
      <c r="CA576" s="36"/>
      <c r="CB576" s="36"/>
      <c r="CC576" s="36"/>
      <c r="CD576" s="36"/>
      <c r="CE576" s="36"/>
      <c r="CF576" s="36"/>
      <c r="CG576" s="36"/>
      <c r="CH576" s="36"/>
      <c r="CI576" s="36"/>
      <c r="CJ576" s="36"/>
      <c r="CK576" s="136"/>
      <c r="CQ576" s="35"/>
      <c r="CX576" s="36"/>
      <c r="CY576" s="36"/>
      <c r="CZ576" s="36"/>
      <c r="DA576" s="36"/>
      <c r="DB576" s="36"/>
      <c r="DC576" s="36"/>
      <c r="FR576" s="36"/>
      <c r="FS576" s="36"/>
      <c r="FT576" s="36"/>
      <c r="FU576" s="36"/>
      <c r="FV576" s="36"/>
      <c r="FW576" s="36"/>
      <c r="FX576" s="36"/>
      <c r="FY576" s="36"/>
      <c r="FZ576" s="36"/>
      <c r="GA576" s="36"/>
    </row>
    <row r="577" spans="10:183" s="34" customFormat="1" ht="15" hidden="1">
      <c r="J577" s="36"/>
      <c r="K577" s="36"/>
      <c r="L577" s="36"/>
      <c r="M577" s="36"/>
      <c r="N577" s="36"/>
      <c r="O577" s="36"/>
      <c r="P577" s="36"/>
      <c r="Q577" s="36"/>
      <c r="R577" s="36"/>
      <c r="S577" s="36"/>
      <c r="T577" s="136"/>
      <c r="U577" s="36"/>
      <c r="V577" s="36"/>
      <c r="W577" s="36"/>
      <c r="X577" s="36"/>
      <c r="Y577" s="36"/>
      <c r="Z577" s="36"/>
      <c r="AA577" s="136"/>
      <c r="AB577" s="36"/>
      <c r="AC577" s="136"/>
      <c r="AD577" s="36"/>
      <c r="AE577" s="36"/>
      <c r="AF577" s="36"/>
      <c r="AG577" s="36"/>
      <c r="AH577" s="36"/>
      <c r="AI577" s="36"/>
      <c r="AJ577" s="136"/>
      <c r="AK577" s="36"/>
      <c r="AL577" s="136"/>
      <c r="AM577" s="36"/>
      <c r="AN577" s="36"/>
      <c r="AO577" s="36"/>
      <c r="AP577" s="36"/>
      <c r="AQ577" s="36"/>
      <c r="AR577" s="36"/>
      <c r="AS577" s="36"/>
      <c r="AT577" s="36"/>
      <c r="AU577" s="136"/>
      <c r="AV577" s="36"/>
      <c r="AW577" s="36"/>
      <c r="AX577" s="36"/>
      <c r="AY577" s="36"/>
      <c r="AZ577" s="36"/>
      <c r="BA577" s="36"/>
      <c r="BB577" s="136"/>
      <c r="BC577" s="36"/>
      <c r="BD577" s="36"/>
      <c r="BE577" s="36"/>
      <c r="BF577" s="36"/>
      <c r="BG577" s="36"/>
      <c r="BH577" s="36"/>
      <c r="BI577" s="36"/>
      <c r="BJ577" s="36"/>
      <c r="BK577" s="36"/>
      <c r="BL577" s="36"/>
      <c r="BM577" s="36"/>
      <c r="BN577" s="36"/>
      <c r="BO577" s="36"/>
      <c r="BP577" s="36"/>
      <c r="BQ577" s="36"/>
      <c r="BR577" s="36"/>
      <c r="BS577" s="36"/>
      <c r="BT577" s="36"/>
      <c r="BU577" s="36"/>
      <c r="BV577" s="36"/>
      <c r="BW577" s="36"/>
      <c r="BX577" s="36"/>
      <c r="BY577" s="36"/>
      <c r="BZ577" s="36"/>
      <c r="CA577" s="36"/>
      <c r="CB577" s="36"/>
      <c r="CC577" s="36"/>
      <c r="CD577" s="36"/>
      <c r="CE577" s="36"/>
      <c r="CF577" s="36"/>
      <c r="CG577" s="36"/>
      <c r="CH577" s="36"/>
      <c r="CI577" s="36"/>
      <c r="CJ577" s="36"/>
      <c r="CK577" s="136"/>
      <c r="CQ577" s="35"/>
      <c r="CX577" s="36"/>
      <c r="CY577" s="36"/>
      <c r="CZ577" s="36"/>
      <c r="DA577" s="36"/>
      <c r="DB577" s="36"/>
      <c r="DC577" s="36"/>
      <c r="FR577" s="36"/>
      <c r="FS577" s="36"/>
      <c r="FT577" s="36"/>
      <c r="FU577" s="36"/>
      <c r="FV577" s="36"/>
      <c r="FW577" s="36"/>
      <c r="FX577" s="36"/>
      <c r="FY577" s="36"/>
      <c r="FZ577" s="36"/>
      <c r="GA577" s="36"/>
    </row>
    <row r="578" spans="10:183" s="34" customFormat="1" ht="15" hidden="1">
      <c r="J578" s="36"/>
      <c r="K578" s="36"/>
      <c r="L578" s="36"/>
      <c r="M578" s="36"/>
      <c r="N578" s="36"/>
      <c r="O578" s="36"/>
      <c r="P578" s="36"/>
      <c r="Q578" s="36"/>
      <c r="R578" s="36"/>
      <c r="S578" s="36"/>
      <c r="T578" s="136"/>
      <c r="U578" s="36"/>
      <c r="V578" s="36"/>
      <c r="W578" s="36"/>
      <c r="X578" s="36"/>
      <c r="Y578" s="36"/>
      <c r="Z578" s="36"/>
      <c r="AA578" s="136"/>
      <c r="AB578" s="36"/>
      <c r="AC578" s="136"/>
      <c r="AD578" s="36"/>
      <c r="AE578" s="36"/>
      <c r="AF578" s="36"/>
      <c r="AG578" s="36"/>
      <c r="AH578" s="36"/>
      <c r="AI578" s="36"/>
      <c r="AJ578" s="136"/>
      <c r="AK578" s="36"/>
      <c r="AL578" s="136"/>
      <c r="AM578" s="36"/>
      <c r="AN578" s="36"/>
      <c r="AO578" s="36"/>
      <c r="AP578" s="36"/>
      <c r="AQ578" s="36"/>
      <c r="AR578" s="36"/>
      <c r="AS578" s="36"/>
      <c r="AT578" s="36"/>
      <c r="AU578" s="136"/>
      <c r="AV578" s="36"/>
      <c r="AW578" s="36"/>
      <c r="AX578" s="36"/>
      <c r="AY578" s="36"/>
      <c r="AZ578" s="36"/>
      <c r="BA578" s="36"/>
      <c r="BB578" s="136"/>
      <c r="BC578" s="36"/>
      <c r="BD578" s="36"/>
      <c r="BE578" s="36"/>
      <c r="BF578" s="36"/>
      <c r="BG578" s="36"/>
      <c r="BH578" s="36"/>
      <c r="BI578" s="36"/>
      <c r="BJ578" s="36"/>
      <c r="BK578" s="36"/>
      <c r="BL578" s="36"/>
      <c r="BM578" s="36"/>
      <c r="BN578" s="36"/>
      <c r="BO578" s="36"/>
      <c r="BP578" s="36"/>
      <c r="BQ578" s="36"/>
      <c r="BR578" s="36"/>
      <c r="BS578" s="36"/>
      <c r="BT578" s="36"/>
      <c r="BU578" s="36"/>
      <c r="BV578" s="36"/>
      <c r="BW578" s="36"/>
      <c r="BX578" s="36"/>
      <c r="BY578" s="36"/>
      <c r="BZ578" s="36"/>
      <c r="CA578" s="36"/>
      <c r="CB578" s="36"/>
      <c r="CC578" s="36"/>
      <c r="CD578" s="36"/>
      <c r="CE578" s="36"/>
      <c r="CF578" s="36"/>
      <c r="CG578" s="36"/>
      <c r="CH578" s="36"/>
      <c r="CI578" s="36"/>
      <c r="CJ578" s="36"/>
      <c r="CK578" s="136"/>
      <c r="CQ578" s="35"/>
      <c r="CX578" s="36"/>
      <c r="CY578" s="36"/>
      <c r="CZ578" s="36"/>
      <c r="DA578" s="36"/>
      <c r="DB578" s="36"/>
      <c r="DC578" s="36"/>
      <c r="FR578" s="36"/>
      <c r="FS578" s="36"/>
      <c r="FT578" s="36"/>
      <c r="FU578" s="36"/>
      <c r="FV578" s="36"/>
      <c r="FW578" s="36"/>
      <c r="FX578" s="36"/>
      <c r="FY578" s="36"/>
      <c r="FZ578" s="36"/>
      <c r="GA578" s="36"/>
    </row>
    <row r="579" spans="10:183" s="34" customFormat="1" ht="15" hidden="1">
      <c r="J579" s="36"/>
      <c r="K579" s="36"/>
      <c r="L579" s="36"/>
      <c r="M579" s="36"/>
      <c r="N579" s="36"/>
      <c r="O579" s="36"/>
      <c r="P579" s="36"/>
      <c r="Q579" s="36"/>
      <c r="R579" s="36"/>
      <c r="S579" s="36"/>
      <c r="T579" s="136"/>
      <c r="U579" s="36"/>
      <c r="V579" s="36"/>
      <c r="W579" s="36"/>
      <c r="X579" s="36"/>
      <c r="Y579" s="36"/>
      <c r="Z579" s="36"/>
      <c r="AA579" s="136"/>
      <c r="AB579" s="36"/>
      <c r="AC579" s="136"/>
      <c r="AD579" s="36"/>
      <c r="AE579" s="36"/>
      <c r="AF579" s="36"/>
      <c r="AG579" s="36"/>
      <c r="AH579" s="36"/>
      <c r="AI579" s="36"/>
      <c r="AJ579" s="136"/>
      <c r="AK579" s="36"/>
      <c r="AL579" s="136"/>
      <c r="AM579" s="36"/>
      <c r="AN579" s="36"/>
      <c r="AO579" s="36"/>
      <c r="AP579" s="36"/>
      <c r="AQ579" s="36"/>
      <c r="AR579" s="36"/>
      <c r="AS579" s="36"/>
      <c r="AT579" s="36"/>
      <c r="AU579" s="136"/>
      <c r="AV579" s="36"/>
      <c r="AW579" s="36"/>
      <c r="AX579" s="36"/>
      <c r="AY579" s="36"/>
      <c r="AZ579" s="36"/>
      <c r="BA579" s="36"/>
      <c r="BB579" s="136"/>
      <c r="BC579" s="36"/>
      <c r="BD579" s="36"/>
      <c r="BE579" s="36"/>
      <c r="BF579" s="36"/>
      <c r="BG579" s="36"/>
      <c r="BH579" s="36"/>
      <c r="BI579" s="36"/>
      <c r="BJ579" s="36"/>
      <c r="BK579" s="36"/>
      <c r="BL579" s="36"/>
      <c r="BM579" s="36"/>
      <c r="BN579" s="36"/>
      <c r="BO579" s="36"/>
      <c r="BP579" s="36"/>
      <c r="BQ579" s="36"/>
      <c r="BR579" s="36"/>
      <c r="BS579" s="36"/>
      <c r="BT579" s="36"/>
      <c r="BU579" s="36"/>
      <c r="BV579" s="36"/>
      <c r="BW579" s="36"/>
      <c r="BX579" s="36"/>
      <c r="BY579" s="36"/>
      <c r="BZ579" s="36"/>
      <c r="CA579" s="36"/>
      <c r="CB579" s="36"/>
      <c r="CC579" s="36"/>
      <c r="CD579" s="36"/>
      <c r="CE579" s="36"/>
      <c r="CF579" s="36"/>
      <c r="CG579" s="36"/>
      <c r="CH579" s="36"/>
      <c r="CI579" s="36"/>
      <c r="CJ579" s="36"/>
      <c r="CK579" s="136"/>
      <c r="CQ579" s="35"/>
      <c r="CX579" s="36"/>
      <c r="CY579" s="36"/>
      <c r="CZ579" s="36"/>
      <c r="DA579" s="36"/>
      <c r="DB579" s="36"/>
      <c r="DC579" s="36"/>
      <c r="FR579" s="36"/>
      <c r="FS579" s="36"/>
      <c r="FT579" s="36"/>
      <c r="FU579" s="36"/>
      <c r="FV579" s="36"/>
      <c r="FW579" s="36"/>
      <c r="FX579" s="36"/>
      <c r="FY579" s="36"/>
      <c r="FZ579" s="36"/>
      <c r="GA579" s="36"/>
    </row>
    <row r="580" spans="10:183" s="34" customFormat="1" ht="15" hidden="1">
      <c r="J580" s="36"/>
      <c r="K580" s="36"/>
      <c r="L580" s="36"/>
      <c r="M580" s="36"/>
      <c r="N580" s="36"/>
      <c r="O580" s="36"/>
      <c r="P580" s="36"/>
      <c r="Q580" s="36"/>
      <c r="R580" s="36"/>
      <c r="S580" s="36"/>
      <c r="T580" s="136"/>
      <c r="U580" s="36"/>
      <c r="V580" s="36"/>
      <c r="W580" s="36"/>
      <c r="X580" s="36"/>
      <c r="Y580" s="36"/>
      <c r="Z580" s="36"/>
      <c r="AA580" s="136"/>
      <c r="AB580" s="36"/>
      <c r="AC580" s="136"/>
      <c r="AD580" s="36"/>
      <c r="AE580" s="36"/>
      <c r="AF580" s="36"/>
      <c r="AG580" s="36"/>
      <c r="AH580" s="36"/>
      <c r="AI580" s="36"/>
      <c r="AJ580" s="136"/>
      <c r="AK580" s="36"/>
      <c r="AL580" s="136"/>
      <c r="AM580" s="36"/>
      <c r="AN580" s="36"/>
      <c r="AO580" s="36"/>
      <c r="AP580" s="36"/>
      <c r="AQ580" s="36"/>
      <c r="AR580" s="36"/>
      <c r="AS580" s="36"/>
      <c r="AT580" s="36"/>
      <c r="AU580" s="136"/>
      <c r="AV580" s="36"/>
      <c r="AW580" s="36"/>
      <c r="AX580" s="36"/>
      <c r="AY580" s="36"/>
      <c r="AZ580" s="36"/>
      <c r="BA580" s="36"/>
      <c r="BB580" s="136"/>
      <c r="BC580" s="36"/>
      <c r="BD580" s="36"/>
      <c r="BE580" s="36"/>
      <c r="BF580" s="36"/>
      <c r="BG580" s="36"/>
      <c r="BH580" s="36"/>
      <c r="BI580" s="36"/>
      <c r="BJ580" s="36"/>
      <c r="BK580" s="36"/>
      <c r="BL580" s="36"/>
      <c r="BM580" s="36"/>
      <c r="BN580" s="36"/>
      <c r="BO580" s="36"/>
      <c r="BP580" s="36"/>
      <c r="BQ580" s="36"/>
      <c r="BR580" s="36"/>
      <c r="BS580" s="36"/>
      <c r="BT580" s="36"/>
      <c r="BU580" s="36"/>
      <c r="BV580" s="36"/>
      <c r="BW580" s="36"/>
      <c r="BX580" s="36"/>
      <c r="BY580" s="36"/>
      <c r="BZ580" s="36"/>
      <c r="CA580" s="36"/>
      <c r="CB580" s="36"/>
      <c r="CC580" s="36"/>
      <c r="CD580" s="36"/>
      <c r="CE580" s="36"/>
      <c r="CF580" s="36"/>
      <c r="CG580" s="36"/>
      <c r="CH580" s="36"/>
      <c r="CI580" s="36"/>
      <c r="CJ580" s="36"/>
      <c r="CK580" s="136"/>
      <c r="CQ580" s="35"/>
      <c r="CX580" s="36"/>
      <c r="CY580" s="36"/>
      <c r="CZ580" s="36"/>
      <c r="DA580" s="36"/>
      <c r="DB580" s="36"/>
      <c r="DC580" s="36"/>
      <c r="FR580" s="36"/>
      <c r="FS580" s="36"/>
      <c r="FT580" s="36"/>
      <c r="FU580" s="36"/>
      <c r="FV580" s="36"/>
      <c r="FW580" s="36"/>
      <c r="FX580" s="36"/>
      <c r="FY580" s="36"/>
      <c r="FZ580" s="36"/>
      <c r="GA580" s="36"/>
    </row>
    <row r="581" spans="10:183" s="34" customFormat="1" ht="15" hidden="1">
      <c r="J581" s="36"/>
      <c r="K581" s="36"/>
      <c r="L581" s="36"/>
      <c r="M581" s="36"/>
      <c r="N581" s="36"/>
      <c r="O581" s="36"/>
      <c r="P581" s="36"/>
      <c r="Q581" s="36"/>
      <c r="R581" s="36"/>
      <c r="S581" s="36"/>
      <c r="T581" s="136"/>
      <c r="U581" s="36"/>
      <c r="V581" s="36"/>
      <c r="W581" s="36"/>
      <c r="X581" s="36"/>
      <c r="Y581" s="36"/>
      <c r="Z581" s="36"/>
      <c r="AA581" s="136"/>
      <c r="AB581" s="36"/>
      <c r="AC581" s="136"/>
      <c r="AD581" s="36"/>
      <c r="AE581" s="36"/>
      <c r="AF581" s="36"/>
      <c r="AG581" s="36"/>
      <c r="AH581" s="36"/>
      <c r="AI581" s="36"/>
      <c r="AJ581" s="136"/>
      <c r="AK581" s="36"/>
      <c r="AL581" s="136"/>
      <c r="AM581" s="36"/>
      <c r="AN581" s="36"/>
      <c r="AO581" s="36"/>
      <c r="AP581" s="36"/>
      <c r="AQ581" s="36"/>
      <c r="AR581" s="36"/>
      <c r="AS581" s="36"/>
      <c r="AT581" s="36"/>
      <c r="AU581" s="136"/>
      <c r="AV581" s="36"/>
      <c r="AW581" s="36"/>
      <c r="AX581" s="36"/>
      <c r="AY581" s="36"/>
      <c r="AZ581" s="36"/>
      <c r="BA581" s="36"/>
      <c r="BB581" s="136"/>
      <c r="BC581" s="36"/>
      <c r="BD581" s="36"/>
      <c r="BE581" s="36"/>
      <c r="BF581" s="36"/>
      <c r="BG581" s="36"/>
      <c r="BH581" s="36"/>
      <c r="BI581" s="36"/>
      <c r="BJ581" s="36"/>
      <c r="BK581" s="36"/>
      <c r="BL581" s="36"/>
      <c r="BM581" s="36"/>
      <c r="BN581" s="36"/>
      <c r="BO581" s="36"/>
      <c r="BP581" s="36"/>
      <c r="BQ581" s="36"/>
      <c r="BR581" s="36"/>
      <c r="BS581" s="36"/>
      <c r="BT581" s="36"/>
      <c r="BU581" s="36"/>
      <c r="BV581" s="36"/>
      <c r="BW581" s="36"/>
      <c r="BX581" s="36"/>
      <c r="BY581" s="36"/>
      <c r="BZ581" s="36"/>
      <c r="CA581" s="36"/>
      <c r="CB581" s="36"/>
      <c r="CC581" s="36"/>
      <c r="CD581" s="36"/>
      <c r="CE581" s="36"/>
      <c r="CF581" s="36"/>
      <c r="CG581" s="36"/>
      <c r="CH581" s="36"/>
      <c r="CI581" s="36"/>
      <c r="CJ581" s="36"/>
      <c r="CK581" s="136"/>
      <c r="CQ581" s="35"/>
      <c r="CX581" s="36"/>
      <c r="CY581" s="36"/>
      <c r="CZ581" s="36"/>
      <c r="DA581" s="36"/>
      <c r="DB581" s="36"/>
      <c r="DC581" s="36"/>
      <c r="FR581" s="36"/>
      <c r="FS581" s="36"/>
      <c r="FT581" s="36"/>
      <c r="FU581" s="36"/>
      <c r="FV581" s="36"/>
      <c r="FW581" s="36"/>
      <c r="FX581" s="36"/>
      <c r="FY581" s="36"/>
      <c r="FZ581" s="36"/>
      <c r="GA581" s="36"/>
    </row>
    <row r="582" spans="10:183" s="34" customFormat="1" ht="15" hidden="1">
      <c r="J582" s="36"/>
      <c r="K582" s="36"/>
      <c r="L582" s="36"/>
      <c r="M582" s="36"/>
      <c r="N582" s="36"/>
      <c r="O582" s="36"/>
      <c r="P582" s="36"/>
      <c r="Q582" s="36"/>
      <c r="R582" s="36"/>
      <c r="S582" s="36"/>
      <c r="T582" s="136"/>
      <c r="U582" s="36"/>
      <c r="V582" s="36"/>
      <c r="W582" s="36"/>
      <c r="X582" s="36"/>
      <c r="Y582" s="36"/>
      <c r="Z582" s="36"/>
      <c r="AA582" s="136"/>
      <c r="AB582" s="36"/>
      <c r="AC582" s="136"/>
      <c r="AD582" s="36"/>
      <c r="AE582" s="36"/>
      <c r="AF582" s="36"/>
      <c r="AG582" s="36"/>
      <c r="AH582" s="36"/>
      <c r="AI582" s="36"/>
      <c r="AJ582" s="136"/>
      <c r="AK582" s="36"/>
      <c r="AL582" s="136"/>
      <c r="AM582" s="36"/>
      <c r="AN582" s="36"/>
      <c r="AO582" s="36"/>
      <c r="AP582" s="36"/>
      <c r="AQ582" s="36"/>
      <c r="AR582" s="36"/>
      <c r="AS582" s="36"/>
      <c r="AT582" s="36"/>
      <c r="AU582" s="136"/>
      <c r="AV582" s="36"/>
      <c r="AW582" s="36"/>
      <c r="AX582" s="36"/>
      <c r="AY582" s="36"/>
      <c r="AZ582" s="36"/>
      <c r="BA582" s="36"/>
      <c r="BB582" s="136"/>
      <c r="BC582" s="36"/>
      <c r="BD582" s="36"/>
      <c r="BE582" s="36"/>
      <c r="BF582" s="36"/>
      <c r="BG582" s="36"/>
      <c r="BH582" s="36"/>
      <c r="BI582" s="36"/>
      <c r="BJ582" s="36"/>
      <c r="BK582" s="36"/>
      <c r="BL582" s="36"/>
      <c r="BM582" s="36"/>
      <c r="BN582" s="36"/>
      <c r="BO582" s="36"/>
      <c r="BP582" s="36"/>
      <c r="BQ582" s="36"/>
      <c r="BR582" s="36"/>
      <c r="BS582" s="36"/>
      <c r="BT582" s="36"/>
      <c r="BU582" s="36"/>
      <c r="BV582" s="36"/>
      <c r="BW582" s="36"/>
      <c r="BX582" s="36"/>
      <c r="BY582" s="36"/>
      <c r="BZ582" s="36"/>
      <c r="CA582" s="36"/>
      <c r="CB582" s="36"/>
      <c r="CC582" s="36"/>
      <c r="CD582" s="36"/>
      <c r="CE582" s="36"/>
      <c r="CF582" s="36"/>
      <c r="CG582" s="36"/>
      <c r="CH582" s="36"/>
      <c r="CI582" s="36"/>
      <c r="CJ582" s="36"/>
      <c r="CK582" s="136"/>
      <c r="CQ582" s="35"/>
      <c r="CX582" s="36"/>
      <c r="CY582" s="36"/>
      <c r="CZ582" s="36"/>
      <c r="DA582" s="36"/>
      <c r="DB582" s="36"/>
      <c r="DC582" s="36"/>
      <c r="FR582" s="36"/>
      <c r="FS582" s="36"/>
      <c r="FT582" s="36"/>
      <c r="FU582" s="36"/>
      <c r="FV582" s="36"/>
      <c r="FW582" s="36"/>
      <c r="FX582" s="36"/>
      <c r="FY582" s="36"/>
      <c r="FZ582" s="36"/>
      <c r="GA582" s="36"/>
    </row>
    <row r="583" spans="10:183" s="34" customFormat="1" ht="15" hidden="1">
      <c r="J583" s="36"/>
      <c r="K583" s="36"/>
      <c r="L583" s="36"/>
      <c r="M583" s="36"/>
      <c r="N583" s="36"/>
      <c r="O583" s="36"/>
      <c r="P583" s="36"/>
      <c r="Q583" s="36"/>
      <c r="R583" s="36"/>
      <c r="S583" s="36"/>
      <c r="T583" s="136"/>
      <c r="U583" s="36"/>
      <c r="V583" s="36"/>
      <c r="W583" s="36"/>
      <c r="X583" s="36"/>
      <c r="Y583" s="36"/>
      <c r="Z583" s="36"/>
      <c r="AA583" s="136"/>
      <c r="AB583" s="36"/>
      <c r="AC583" s="136"/>
      <c r="AD583" s="36"/>
      <c r="AE583" s="36"/>
      <c r="AF583" s="36"/>
      <c r="AG583" s="36"/>
      <c r="AH583" s="36"/>
      <c r="AI583" s="36"/>
      <c r="AJ583" s="136"/>
      <c r="AK583" s="36"/>
      <c r="AL583" s="136"/>
      <c r="AM583" s="36"/>
      <c r="AN583" s="36"/>
      <c r="AO583" s="36"/>
      <c r="AP583" s="36"/>
      <c r="AQ583" s="36"/>
      <c r="AR583" s="36"/>
      <c r="AS583" s="36"/>
      <c r="AT583" s="36"/>
      <c r="AU583" s="136"/>
      <c r="AV583" s="36"/>
      <c r="AW583" s="36"/>
      <c r="AX583" s="36"/>
      <c r="AY583" s="36"/>
      <c r="AZ583" s="36"/>
      <c r="BA583" s="36"/>
      <c r="BB583" s="136"/>
      <c r="BC583" s="36"/>
      <c r="BD583" s="36"/>
      <c r="BE583" s="36"/>
      <c r="BF583" s="36"/>
      <c r="BG583" s="36"/>
      <c r="BH583" s="36"/>
      <c r="BI583" s="36"/>
      <c r="BJ583" s="36"/>
      <c r="BK583" s="36"/>
      <c r="BL583" s="36"/>
      <c r="BM583" s="36"/>
      <c r="BN583" s="36"/>
      <c r="BO583" s="36"/>
      <c r="BP583" s="36"/>
      <c r="BQ583" s="36"/>
      <c r="BR583" s="36"/>
      <c r="BS583" s="36"/>
      <c r="BT583" s="36"/>
      <c r="BU583" s="36"/>
      <c r="BV583" s="36"/>
      <c r="BW583" s="36"/>
      <c r="BX583" s="36"/>
      <c r="BY583" s="36"/>
      <c r="BZ583" s="36"/>
      <c r="CA583" s="36"/>
      <c r="CB583" s="36"/>
      <c r="CC583" s="36"/>
      <c r="CD583" s="36"/>
      <c r="CE583" s="36"/>
      <c r="CF583" s="36"/>
      <c r="CG583" s="36"/>
      <c r="CH583" s="36"/>
      <c r="CI583" s="36"/>
      <c r="CJ583" s="36"/>
      <c r="CK583" s="136"/>
      <c r="CQ583" s="35"/>
      <c r="CX583" s="36"/>
      <c r="CY583" s="36"/>
      <c r="CZ583" s="36"/>
      <c r="DA583" s="36"/>
      <c r="DB583" s="36"/>
      <c r="DC583" s="36"/>
      <c r="FR583" s="36"/>
      <c r="FS583" s="36"/>
      <c r="FT583" s="36"/>
      <c r="FU583" s="36"/>
      <c r="FV583" s="36"/>
      <c r="FW583" s="36"/>
      <c r="FX583" s="36"/>
      <c r="FY583" s="36"/>
      <c r="FZ583" s="36"/>
      <c r="GA583" s="36"/>
    </row>
    <row r="584" spans="10:183" s="34" customFormat="1" ht="15" hidden="1">
      <c r="J584" s="36"/>
      <c r="K584" s="36"/>
      <c r="L584" s="36"/>
      <c r="M584" s="36"/>
      <c r="N584" s="36"/>
      <c r="O584" s="36"/>
      <c r="P584" s="36"/>
      <c r="Q584" s="36"/>
      <c r="R584" s="36"/>
      <c r="S584" s="36"/>
      <c r="T584" s="136"/>
      <c r="U584" s="36"/>
      <c r="V584" s="36"/>
      <c r="W584" s="36"/>
      <c r="X584" s="36"/>
      <c r="Y584" s="36"/>
      <c r="Z584" s="36"/>
      <c r="AA584" s="136"/>
      <c r="AB584" s="36"/>
      <c r="AC584" s="136"/>
      <c r="AD584" s="36"/>
      <c r="AE584" s="36"/>
      <c r="AF584" s="36"/>
      <c r="AG584" s="36"/>
      <c r="AH584" s="36"/>
      <c r="AI584" s="36"/>
      <c r="AJ584" s="136"/>
      <c r="AK584" s="36"/>
      <c r="AL584" s="136"/>
      <c r="AM584" s="36"/>
      <c r="AN584" s="36"/>
      <c r="AO584" s="36"/>
      <c r="AP584" s="36"/>
      <c r="AQ584" s="36"/>
      <c r="AR584" s="36"/>
      <c r="AS584" s="36"/>
      <c r="AT584" s="36"/>
      <c r="AU584" s="136"/>
      <c r="AV584" s="36"/>
      <c r="AW584" s="36"/>
      <c r="AX584" s="36"/>
      <c r="AY584" s="36"/>
      <c r="AZ584" s="36"/>
      <c r="BA584" s="36"/>
      <c r="BB584" s="136"/>
      <c r="BC584" s="36"/>
      <c r="BD584" s="36"/>
      <c r="BE584" s="36"/>
      <c r="BF584" s="36"/>
      <c r="BG584" s="36"/>
      <c r="BH584" s="36"/>
      <c r="BI584" s="36"/>
      <c r="BJ584" s="36"/>
      <c r="BK584" s="36"/>
      <c r="BL584" s="36"/>
      <c r="BM584" s="36"/>
      <c r="BN584" s="36"/>
      <c r="BO584" s="36"/>
      <c r="BP584" s="36"/>
      <c r="BQ584" s="36"/>
      <c r="BR584" s="36"/>
      <c r="BS584" s="36"/>
      <c r="BT584" s="36"/>
      <c r="BU584" s="36"/>
      <c r="BV584" s="36"/>
      <c r="BW584" s="36"/>
      <c r="BX584" s="36"/>
      <c r="BY584" s="36"/>
      <c r="BZ584" s="36"/>
      <c r="CA584" s="36"/>
      <c r="CB584" s="36"/>
      <c r="CC584" s="36"/>
      <c r="CD584" s="36"/>
      <c r="CE584" s="36"/>
      <c r="CF584" s="36"/>
      <c r="CG584" s="36"/>
      <c r="CH584" s="36"/>
      <c r="CI584" s="36"/>
      <c r="CJ584" s="36"/>
      <c r="CK584" s="136"/>
      <c r="CQ584" s="35"/>
      <c r="CX584" s="36"/>
      <c r="CY584" s="36"/>
      <c r="CZ584" s="36"/>
      <c r="DA584" s="36"/>
      <c r="DB584" s="36"/>
      <c r="DC584" s="36"/>
      <c r="FR584" s="36"/>
      <c r="FS584" s="36"/>
      <c r="FT584" s="36"/>
      <c r="FU584" s="36"/>
      <c r="FV584" s="36"/>
      <c r="FW584" s="36"/>
      <c r="FX584" s="36"/>
      <c r="FY584" s="36"/>
      <c r="FZ584" s="36"/>
      <c r="GA584" s="36"/>
    </row>
    <row r="585" spans="10:183" s="34" customFormat="1" ht="15" hidden="1">
      <c r="J585" s="36"/>
      <c r="K585" s="36"/>
      <c r="L585" s="36"/>
      <c r="M585" s="36"/>
      <c r="N585" s="36"/>
      <c r="O585" s="36"/>
      <c r="P585" s="36"/>
      <c r="Q585" s="36"/>
      <c r="R585" s="36"/>
      <c r="S585" s="36"/>
      <c r="T585" s="136"/>
      <c r="U585" s="36"/>
      <c r="V585" s="36"/>
      <c r="W585" s="36"/>
      <c r="X585" s="36"/>
      <c r="Y585" s="36"/>
      <c r="Z585" s="36"/>
      <c r="AA585" s="136"/>
      <c r="AB585" s="36"/>
      <c r="AC585" s="136"/>
      <c r="AD585" s="36"/>
      <c r="AE585" s="36"/>
      <c r="AF585" s="36"/>
      <c r="AG585" s="36"/>
      <c r="AH585" s="36"/>
      <c r="AI585" s="36"/>
      <c r="AJ585" s="136"/>
      <c r="AK585" s="36"/>
      <c r="AL585" s="136"/>
      <c r="AM585" s="36"/>
      <c r="AN585" s="36"/>
      <c r="AO585" s="36"/>
      <c r="AP585" s="36"/>
      <c r="AQ585" s="36"/>
      <c r="AR585" s="36"/>
      <c r="AS585" s="36"/>
      <c r="AT585" s="36"/>
      <c r="AU585" s="136"/>
      <c r="AV585" s="36"/>
      <c r="AW585" s="36"/>
      <c r="AX585" s="36"/>
      <c r="AY585" s="36"/>
      <c r="AZ585" s="36"/>
      <c r="BA585" s="36"/>
      <c r="BB585" s="136"/>
      <c r="BC585" s="36"/>
      <c r="BD585" s="36"/>
      <c r="BE585" s="36"/>
      <c r="BF585" s="36"/>
      <c r="BG585" s="36"/>
      <c r="BH585" s="36"/>
      <c r="BI585" s="36"/>
      <c r="BJ585" s="36"/>
      <c r="BK585" s="36"/>
      <c r="BL585" s="36"/>
      <c r="BM585" s="36"/>
      <c r="BN585" s="36"/>
      <c r="BO585" s="36"/>
      <c r="BP585" s="36"/>
      <c r="BQ585" s="36"/>
      <c r="BR585" s="36"/>
      <c r="BS585" s="36"/>
      <c r="BT585" s="36"/>
      <c r="BU585" s="36"/>
      <c r="BV585" s="36"/>
      <c r="BW585" s="36"/>
      <c r="BX585" s="36"/>
      <c r="BY585" s="36"/>
      <c r="BZ585" s="36"/>
      <c r="CA585" s="36"/>
      <c r="CB585" s="36"/>
      <c r="CC585" s="36"/>
      <c r="CD585" s="36"/>
      <c r="CE585" s="36"/>
      <c r="CF585" s="36"/>
      <c r="CG585" s="36"/>
      <c r="CH585" s="36"/>
      <c r="CI585" s="36"/>
      <c r="CJ585" s="36"/>
      <c r="CK585" s="136"/>
      <c r="CQ585" s="35"/>
      <c r="CX585" s="36"/>
      <c r="CY585" s="36"/>
      <c r="CZ585" s="36"/>
      <c r="DA585" s="36"/>
      <c r="DB585" s="36"/>
      <c r="DC585" s="36"/>
      <c r="FR585" s="36"/>
      <c r="FS585" s="36"/>
      <c r="FT585" s="36"/>
      <c r="FU585" s="36"/>
      <c r="FV585" s="36"/>
      <c r="FW585" s="36"/>
      <c r="FX585" s="36"/>
      <c r="FY585" s="36"/>
      <c r="FZ585" s="36"/>
      <c r="GA585" s="36"/>
    </row>
    <row r="586" spans="10:183" s="34" customFormat="1" ht="15" hidden="1">
      <c r="J586" s="36"/>
      <c r="K586" s="36"/>
      <c r="L586" s="36"/>
      <c r="M586" s="36"/>
      <c r="N586" s="36"/>
      <c r="O586" s="36"/>
      <c r="P586" s="36"/>
      <c r="Q586" s="36"/>
      <c r="R586" s="36"/>
      <c r="S586" s="36"/>
      <c r="T586" s="136"/>
      <c r="U586" s="36"/>
      <c r="V586" s="36"/>
      <c r="W586" s="36"/>
      <c r="X586" s="36"/>
      <c r="Y586" s="36"/>
      <c r="Z586" s="36"/>
      <c r="AA586" s="136"/>
      <c r="AB586" s="36"/>
      <c r="AC586" s="136"/>
      <c r="AD586" s="36"/>
      <c r="AE586" s="36"/>
      <c r="AF586" s="36"/>
      <c r="AG586" s="36"/>
      <c r="AH586" s="36"/>
      <c r="AI586" s="36"/>
      <c r="AJ586" s="136"/>
      <c r="AK586" s="36"/>
      <c r="AL586" s="136"/>
      <c r="AM586" s="36"/>
      <c r="AN586" s="36"/>
      <c r="AO586" s="36"/>
      <c r="AP586" s="36"/>
      <c r="AQ586" s="36"/>
      <c r="AR586" s="36"/>
      <c r="AS586" s="36"/>
      <c r="AT586" s="36"/>
      <c r="AU586" s="136"/>
      <c r="AV586" s="36"/>
      <c r="AW586" s="36"/>
      <c r="AX586" s="36"/>
      <c r="AY586" s="36"/>
      <c r="AZ586" s="36"/>
      <c r="BA586" s="36"/>
      <c r="BB586" s="136"/>
      <c r="BC586" s="36"/>
      <c r="BD586" s="36"/>
      <c r="BE586" s="36"/>
      <c r="BF586" s="36"/>
      <c r="BG586" s="36"/>
      <c r="BH586" s="36"/>
      <c r="BI586" s="36"/>
      <c r="BJ586" s="36"/>
      <c r="BK586" s="36"/>
      <c r="BL586" s="36"/>
      <c r="BM586" s="36"/>
      <c r="BN586" s="36"/>
      <c r="BO586" s="36"/>
      <c r="BP586" s="36"/>
      <c r="BQ586" s="36"/>
      <c r="BR586" s="36"/>
      <c r="BS586" s="36"/>
      <c r="BT586" s="36"/>
      <c r="BU586" s="36"/>
      <c r="BV586" s="36"/>
      <c r="BW586" s="36"/>
      <c r="BX586" s="36"/>
      <c r="BY586" s="36"/>
      <c r="BZ586" s="36"/>
      <c r="CA586" s="36"/>
      <c r="CB586" s="36"/>
      <c r="CC586" s="36"/>
      <c r="CD586" s="36"/>
      <c r="CE586" s="36"/>
      <c r="CF586" s="36"/>
      <c r="CG586" s="36"/>
      <c r="CH586" s="36"/>
      <c r="CI586" s="36"/>
      <c r="CJ586" s="36"/>
      <c r="CK586" s="136"/>
      <c r="CQ586" s="35"/>
      <c r="CX586" s="36"/>
      <c r="CY586" s="36"/>
      <c r="CZ586" s="36"/>
      <c r="DA586" s="36"/>
      <c r="DB586" s="36"/>
      <c r="DC586" s="36"/>
      <c r="FR586" s="36"/>
      <c r="FS586" s="36"/>
      <c r="FT586" s="36"/>
      <c r="FU586" s="36"/>
      <c r="FV586" s="36"/>
      <c r="FW586" s="36"/>
      <c r="FX586" s="36"/>
      <c r="FY586" s="36"/>
      <c r="FZ586" s="36"/>
      <c r="GA586" s="36"/>
    </row>
    <row r="587" spans="10:183" s="34" customFormat="1" ht="15" hidden="1">
      <c r="J587" s="36"/>
      <c r="K587" s="36"/>
      <c r="L587" s="36"/>
      <c r="M587" s="36"/>
      <c r="N587" s="36"/>
      <c r="O587" s="36"/>
      <c r="P587" s="36"/>
      <c r="Q587" s="36"/>
      <c r="R587" s="36"/>
      <c r="S587" s="36"/>
      <c r="T587" s="136"/>
      <c r="U587" s="36"/>
      <c r="V587" s="36"/>
      <c r="W587" s="36"/>
      <c r="X587" s="36"/>
      <c r="Y587" s="36"/>
      <c r="Z587" s="36"/>
      <c r="AA587" s="136"/>
      <c r="AB587" s="36"/>
      <c r="AC587" s="136"/>
      <c r="AD587" s="36"/>
      <c r="AE587" s="36"/>
      <c r="AF587" s="36"/>
      <c r="AG587" s="36"/>
      <c r="AH587" s="36"/>
      <c r="AI587" s="36"/>
      <c r="AJ587" s="136"/>
      <c r="AK587" s="36"/>
      <c r="AL587" s="136"/>
      <c r="AM587" s="36"/>
      <c r="AN587" s="36"/>
      <c r="AO587" s="36"/>
      <c r="AP587" s="36"/>
      <c r="AQ587" s="36"/>
      <c r="AR587" s="36"/>
      <c r="AS587" s="36"/>
      <c r="AT587" s="36"/>
      <c r="AU587" s="136"/>
      <c r="AV587" s="36"/>
      <c r="AW587" s="36"/>
      <c r="AX587" s="36"/>
      <c r="AY587" s="36"/>
      <c r="AZ587" s="36"/>
      <c r="BA587" s="36"/>
      <c r="BB587" s="136"/>
      <c r="BC587" s="36"/>
      <c r="BD587" s="36"/>
      <c r="BE587" s="36"/>
      <c r="BF587" s="36"/>
      <c r="BG587" s="36"/>
      <c r="BH587" s="36"/>
      <c r="BI587" s="36"/>
      <c r="BJ587" s="36"/>
      <c r="BK587" s="36"/>
      <c r="BL587" s="36"/>
      <c r="BM587" s="36"/>
      <c r="BN587" s="36"/>
      <c r="BO587" s="36"/>
      <c r="BP587" s="36"/>
      <c r="BQ587" s="36"/>
      <c r="BR587" s="36"/>
      <c r="BS587" s="36"/>
      <c r="BT587" s="36"/>
      <c r="BU587" s="36"/>
      <c r="BV587" s="36"/>
      <c r="BW587" s="36"/>
      <c r="BX587" s="36"/>
      <c r="BY587" s="36"/>
      <c r="BZ587" s="36"/>
      <c r="CA587" s="36"/>
      <c r="CB587" s="36"/>
      <c r="CC587" s="36"/>
      <c r="CD587" s="36"/>
      <c r="CE587" s="36"/>
      <c r="CF587" s="36"/>
      <c r="CG587" s="36"/>
      <c r="CH587" s="36"/>
      <c r="CI587" s="36"/>
      <c r="CJ587" s="36"/>
      <c r="CK587" s="136"/>
      <c r="CQ587" s="35"/>
      <c r="CX587" s="36"/>
      <c r="CY587" s="36"/>
      <c r="CZ587" s="36"/>
      <c r="DA587" s="36"/>
      <c r="DB587" s="36"/>
      <c r="DC587" s="36"/>
      <c r="FR587" s="36"/>
      <c r="FS587" s="36"/>
      <c r="FT587" s="36"/>
      <c r="FU587" s="36"/>
      <c r="FV587" s="36"/>
      <c r="FW587" s="36"/>
      <c r="FX587" s="36"/>
      <c r="FY587" s="36"/>
      <c r="FZ587" s="36"/>
      <c r="GA587" s="36"/>
    </row>
    <row r="588" spans="10:183" s="34" customFormat="1" ht="0" hidden="1" customHeight="1">
      <c r="J588" s="36"/>
      <c r="K588" s="36"/>
      <c r="L588" s="36"/>
      <c r="M588" s="36"/>
      <c r="N588" s="36"/>
      <c r="O588" s="36"/>
      <c r="P588" s="36"/>
      <c r="Q588" s="36"/>
      <c r="R588" s="36"/>
      <c r="S588" s="36"/>
      <c r="T588" s="136"/>
      <c r="U588" s="36"/>
      <c r="V588" s="36"/>
      <c r="W588" s="36"/>
      <c r="X588" s="36"/>
      <c r="Y588" s="36"/>
      <c r="Z588" s="36"/>
      <c r="AA588" s="136"/>
      <c r="AB588" s="36"/>
      <c r="AC588" s="136"/>
      <c r="AD588" s="36"/>
      <c r="AE588" s="36"/>
      <c r="AF588" s="36"/>
      <c r="AG588" s="36"/>
      <c r="AH588" s="36"/>
      <c r="AI588" s="36"/>
      <c r="AJ588" s="136"/>
      <c r="AK588" s="36"/>
      <c r="AL588" s="136"/>
      <c r="AM588" s="36"/>
      <c r="AN588" s="36"/>
      <c r="AO588" s="36"/>
      <c r="AP588" s="36"/>
      <c r="AQ588" s="36"/>
      <c r="AR588" s="36"/>
      <c r="AS588" s="36"/>
      <c r="AT588" s="36"/>
      <c r="AU588" s="136"/>
      <c r="AV588" s="36"/>
      <c r="AW588" s="36"/>
      <c r="AX588" s="36"/>
      <c r="AY588" s="36"/>
      <c r="AZ588" s="36"/>
      <c r="BA588" s="36"/>
      <c r="BB588" s="136"/>
      <c r="BC588" s="36"/>
      <c r="BD588" s="36"/>
      <c r="BE588" s="36"/>
      <c r="BF588" s="36"/>
      <c r="BG588" s="36"/>
      <c r="BH588" s="36"/>
      <c r="BI588" s="36"/>
      <c r="BJ588" s="36"/>
      <c r="BK588" s="36"/>
      <c r="BL588" s="36"/>
      <c r="BM588" s="36"/>
      <c r="BN588" s="36"/>
      <c r="BO588" s="36"/>
      <c r="BP588" s="36"/>
      <c r="BQ588" s="36"/>
      <c r="BR588" s="36"/>
      <c r="BS588" s="36"/>
      <c r="BT588" s="36"/>
      <c r="BU588" s="36"/>
      <c r="BV588" s="36"/>
      <c r="BW588" s="36"/>
      <c r="BX588" s="36"/>
      <c r="BY588" s="36"/>
      <c r="BZ588" s="36"/>
      <c r="CA588" s="36"/>
      <c r="CB588" s="36"/>
      <c r="CC588" s="36"/>
      <c r="CD588" s="36"/>
      <c r="CE588" s="36"/>
      <c r="CF588" s="36"/>
      <c r="CG588" s="36"/>
      <c r="CH588" s="36"/>
      <c r="CI588" s="36"/>
      <c r="CJ588" s="36"/>
      <c r="CK588" s="136"/>
      <c r="CQ588" s="35"/>
      <c r="CX588" s="36"/>
      <c r="CY588" s="36"/>
      <c r="CZ588" s="36"/>
      <c r="DA588" s="36"/>
      <c r="DB588" s="36"/>
      <c r="DC588" s="36"/>
      <c r="FR588" s="36"/>
      <c r="FS588" s="36"/>
      <c r="FT588" s="36"/>
      <c r="FU588" s="36"/>
      <c r="FV588" s="36"/>
      <c r="FW588" s="36"/>
      <c r="FX588" s="36"/>
      <c r="FY588" s="36"/>
      <c r="FZ588" s="36"/>
      <c r="GA588" s="36"/>
    </row>
    <row r="589" spans="10:183" s="34" customFormat="1" ht="0" hidden="1" customHeight="1">
      <c r="J589" s="36"/>
      <c r="K589" s="36"/>
      <c r="L589" s="36"/>
      <c r="M589" s="36"/>
      <c r="N589" s="36"/>
      <c r="O589" s="36"/>
      <c r="P589" s="36"/>
      <c r="Q589" s="36"/>
      <c r="R589" s="36"/>
      <c r="S589" s="36"/>
      <c r="T589" s="136"/>
      <c r="U589" s="36"/>
      <c r="V589" s="36"/>
      <c r="W589" s="36"/>
      <c r="X589" s="36"/>
      <c r="Y589" s="36"/>
      <c r="Z589" s="36"/>
      <c r="AA589" s="136"/>
      <c r="AB589" s="36"/>
      <c r="AC589" s="136"/>
      <c r="AD589" s="36"/>
      <c r="AE589" s="36"/>
      <c r="AF589" s="36"/>
      <c r="AG589" s="36"/>
      <c r="AH589" s="36"/>
      <c r="AI589" s="36"/>
      <c r="AJ589" s="136"/>
      <c r="AK589" s="36"/>
      <c r="AL589" s="136"/>
      <c r="AM589" s="36"/>
      <c r="AN589" s="36"/>
      <c r="AO589" s="36"/>
      <c r="AP589" s="36"/>
      <c r="AQ589" s="36"/>
      <c r="AR589" s="36"/>
      <c r="AS589" s="36"/>
      <c r="AT589" s="36"/>
      <c r="AU589" s="136"/>
      <c r="AV589" s="36"/>
      <c r="AW589" s="36"/>
      <c r="AX589" s="36"/>
      <c r="AY589" s="36"/>
      <c r="AZ589" s="36"/>
      <c r="BA589" s="36"/>
      <c r="BB589" s="136"/>
      <c r="BC589" s="36"/>
      <c r="BD589" s="36"/>
      <c r="BE589" s="36"/>
      <c r="BF589" s="36"/>
      <c r="BG589" s="36"/>
      <c r="BH589" s="36"/>
      <c r="BI589" s="36"/>
      <c r="BJ589" s="36"/>
      <c r="BK589" s="36"/>
      <c r="BL589" s="36"/>
      <c r="BM589" s="36"/>
      <c r="BN589" s="36"/>
      <c r="BO589" s="36"/>
      <c r="BP589" s="36"/>
      <c r="BQ589" s="36"/>
      <c r="BR589" s="36"/>
      <c r="BS589" s="36"/>
      <c r="BT589" s="36"/>
      <c r="BU589" s="36"/>
      <c r="BV589" s="36"/>
      <c r="BW589" s="36"/>
      <c r="BX589" s="36"/>
      <c r="BY589" s="36"/>
      <c r="BZ589" s="36"/>
      <c r="CA589" s="36"/>
      <c r="CB589" s="36"/>
      <c r="CC589" s="36"/>
      <c r="CD589" s="36"/>
      <c r="CE589" s="36"/>
      <c r="CF589" s="36"/>
      <c r="CG589" s="36"/>
      <c r="CH589" s="36"/>
      <c r="CI589" s="36"/>
      <c r="CJ589" s="36"/>
      <c r="CK589" s="136"/>
      <c r="CQ589" s="35"/>
      <c r="CX589" s="36"/>
      <c r="CY589" s="36"/>
      <c r="CZ589" s="36"/>
      <c r="DA589" s="36"/>
      <c r="DB589" s="36"/>
      <c r="DC589" s="36"/>
      <c r="FR589" s="36"/>
      <c r="FS589" s="36"/>
      <c r="FT589" s="36"/>
      <c r="FU589" s="36"/>
      <c r="FV589" s="36"/>
      <c r="FW589" s="36"/>
      <c r="FX589" s="36"/>
      <c r="FY589" s="36"/>
      <c r="FZ589" s="36"/>
      <c r="GA589" s="36"/>
    </row>
    <row r="590" spans="10:183" s="34" customFormat="1" ht="0" hidden="1" customHeight="1">
      <c r="J590" s="36"/>
      <c r="K590" s="36"/>
      <c r="L590" s="36"/>
      <c r="M590" s="36"/>
      <c r="N590" s="36"/>
      <c r="O590" s="36"/>
      <c r="P590" s="36"/>
      <c r="Q590" s="36"/>
      <c r="R590" s="36"/>
      <c r="S590" s="36"/>
      <c r="T590" s="136"/>
      <c r="U590" s="36"/>
      <c r="V590" s="36"/>
      <c r="W590" s="36"/>
      <c r="X590" s="36"/>
      <c r="Y590" s="36"/>
      <c r="Z590" s="36"/>
      <c r="AA590" s="136"/>
      <c r="AB590" s="36"/>
      <c r="AC590" s="136"/>
      <c r="AD590" s="36"/>
      <c r="AE590" s="36"/>
      <c r="AF590" s="36"/>
      <c r="AG590" s="36"/>
      <c r="AH590" s="36"/>
      <c r="AI590" s="36"/>
      <c r="AJ590" s="136"/>
      <c r="AK590" s="36"/>
      <c r="AL590" s="136"/>
      <c r="AM590" s="36"/>
      <c r="AN590" s="36"/>
      <c r="AO590" s="36"/>
      <c r="AP590" s="36"/>
      <c r="AQ590" s="36"/>
      <c r="AR590" s="36"/>
      <c r="AS590" s="36"/>
      <c r="AT590" s="36"/>
      <c r="AU590" s="136"/>
      <c r="AV590" s="36"/>
      <c r="AW590" s="36"/>
      <c r="AX590" s="36"/>
      <c r="AY590" s="36"/>
      <c r="AZ590" s="36"/>
      <c r="BA590" s="36"/>
      <c r="BB590" s="136"/>
      <c r="BC590" s="36"/>
      <c r="BD590" s="36"/>
      <c r="BE590" s="36"/>
      <c r="BF590" s="36"/>
      <c r="BG590" s="36"/>
      <c r="BH590" s="36"/>
      <c r="BI590" s="36"/>
      <c r="BJ590" s="36"/>
      <c r="BK590" s="36"/>
      <c r="BL590" s="36"/>
      <c r="BM590" s="36"/>
      <c r="BN590" s="36"/>
      <c r="BO590" s="36"/>
      <c r="BP590" s="36"/>
      <c r="BQ590" s="36"/>
      <c r="BR590" s="36"/>
      <c r="BS590" s="36"/>
      <c r="BT590" s="36"/>
      <c r="BU590" s="36"/>
      <c r="BV590" s="36"/>
      <c r="BW590" s="36"/>
      <c r="BX590" s="36"/>
      <c r="BY590" s="36"/>
      <c r="BZ590" s="36"/>
      <c r="CA590" s="36"/>
      <c r="CB590" s="36"/>
      <c r="CC590" s="36"/>
      <c r="CD590" s="36"/>
      <c r="CE590" s="36"/>
      <c r="CF590" s="36"/>
      <c r="CG590" s="36"/>
      <c r="CH590" s="36"/>
      <c r="CI590" s="36"/>
      <c r="CJ590" s="36"/>
      <c r="CK590" s="136"/>
      <c r="CQ590" s="35"/>
      <c r="CX590" s="36"/>
      <c r="CY590" s="36"/>
      <c r="CZ590" s="36"/>
      <c r="DA590" s="36"/>
      <c r="DB590" s="36"/>
      <c r="DC590" s="36"/>
      <c r="FR590" s="36"/>
      <c r="FS590" s="36"/>
      <c r="FT590" s="36"/>
      <c r="FU590" s="36"/>
      <c r="FV590" s="36"/>
      <c r="FW590" s="36"/>
      <c r="FX590" s="36"/>
      <c r="FY590" s="36"/>
      <c r="FZ590" s="36"/>
      <c r="GA590" s="36"/>
    </row>
  </sheetData>
  <mergeCells count="1391">
    <mergeCell ref="U236:BD236"/>
    <mergeCell ref="BF304:CC305"/>
    <mergeCell ref="L355:M356"/>
    <mergeCell ref="U355:Z356"/>
    <mergeCell ref="U357:Z358"/>
    <mergeCell ref="Z214:AG214"/>
    <mergeCell ref="AJ214:AL214"/>
    <mergeCell ref="AO214:AO215"/>
    <mergeCell ref="AP214:AW214"/>
    <mergeCell ref="BX214:BX215"/>
    <mergeCell ref="L215:Q215"/>
    <mergeCell ref="R215:T215"/>
    <mergeCell ref="Z215:AG215"/>
    <mergeCell ref="AJ215:AL215"/>
    <mergeCell ref="AP215:AW215"/>
    <mergeCell ref="G214:G215"/>
    <mergeCell ref="H214:H215"/>
    <mergeCell ref="K214:K215"/>
    <mergeCell ref="L214:Q214"/>
    <mergeCell ref="R214:T214"/>
    <mergeCell ref="Y214:Y215"/>
    <mergeCell ref="A214:A215"/>
    <mergeCell ref="B214:B215"/>
    <mergeCell ref="C214:C215"/>
    <mergeCell ref="D214:D215"/>
    <mergeCell ref="E214:E215"/>
    <mergeCell ref="F214:F215"/>
    <mergeCell ref="Z212:AG212"/>
    <mergeCell ref="AJ212:AL212"/>
    <mergeCell ref="AO212:AO213"/>
    <mergeCell ref="AP212:AW212"/>
    <mergeCell ref="BX212:BX213"/>
    <mergeCell ref="L213:Q213"/>
    <mergeCell ref="R213:T213"/>
    <mergeCell ref="Z213:AG213"/>
    <mergeCell ref="AJ213:AL213"/>
    <mergeCell ref="AP213:AW213"/>
    <mergeCell ref="G212:G213"/>
    <mergeCell ref="H212:H213"/>
    <mergeCell ref="K212:K213"/>
    <mergeCell ref="L212:Q212"/>
    <mergeCell ref="R212:T212"/>
    <mergeCell ref="Y212:Y213"/>
    <mergeCell ref="A212:A213"/>
    <mergeCell ref="B212:B213"/>
    <mergeCell ref="C212:C213"/>
    <mergeCell ref="D212:D213"/>
    <mergeCell ref="E212:E213"/>
    <mergeCell ref="F212:F213"/>
    <mergeCell ref="Z210:AG210"/>
    <mergeCell ref="AJ210:AL210"/>
    <mergeCell ref="AO210:AO211"/>
    <mergeCell ref="AP210:AW210"/>
    <mergeCell ref="BX210:CC210"/>
    <mergeCell ref="L211:Q211"/>
    <mergeCell ref="R211:T211"/>
    <mergeCell ref="Z211:AG211"/>
    <mergeCell ref="AJ211:AL211"/>
    <mergeCell ref="AP211:AW211"/>
    <mergeCell ref="G210:G211"/>
    <mergeCell ref="H210:H211"/>
    <mergeCell ref="K210:K211"/>
    <mergeCell ref="L210:Q210"/>
    <mergeCell ref="R210:T210"/>
    <mergeCell ref="Y210:Y211"/>
    <mergeCell ref="A210:A211"/>
    <mergeCell ref="B210:B211"/>
    <mergeCell ref="C210:C211"/>
    <mergeCell ref="D210:D211"/>
    <mergeCell ref="E210:E211"/>
    <mergeCell ref="F210:F211"/>
    <mergeCell ref="BX208:BY208"/>
    <mergeCell ref="L209:Q209"/>
    <mergeCell ref="R209:T209"/>
    <mergeCell ref="Z209:AG209"/>
    <mergeCell ref="AJ209:AL209"/>
    <mergeCell ref="AP209:AW209"/>
    <mergeCell ref="AP207:AW208"/>
    <mergeCell ref="BX207:BY207"/>
    <mergeCell ref="A208:A209"/>
    <mergeCell ref="B208:B209"/>
    <mergeCell ref="C208:C209"/>
    <mergeCell ref="D208:D209"/>
    <mergeCell ref="E208:E209"/>
    <mergeCell ref="F208:F209"/>
    <mergeCell ref="G208:G209"/>
    <mergeCell ref="H208:H209"/>
    <mergeCell ref="R206:T206"/>
    <mergeCell ref="K207:K209"/>
    <mergeCell ref="L207:Q208"/>
    <mergeCell ref="Y207:Y209"/>
    <mergeCell ref="Z207:AG208"/>
    <mergeCell ref="AO207:AO209"/>
    <mergeCell ref="R208:T208"/>
    <mergeCell ref="AJ208:AL208"/>
    <mergeCell ref="BF205:BG205"/>
    <mergeCell ref="BX205:CC205"/>
    <mergeCell ref="A206:A207"/>
    <mergeCell ref="B206:B207"/>
    <mergeCell ref="C206:C207"/>
    <mergeCell ref="D206:D207"/>
    <mergeCell ref="E206:E207"/>
    <mergeCell ref="F206:F207"/>
    <mergeCell ref="G206:G207"/>
    <mergeCell ref="H206:H207"/>
    <mergeCell ref="Z204:AG204"/>
    <mergeCell ref="AJ204:AL204"/>
    <mergeCell ref="AO204:AO205"/>
    <mergeCell ref="AP204:AW204"/>
    <mergeCell ref="L205:Q205"/>
    <mergeCell ref="R205:T205"/>
    <mergeCell ref="Z205:AG205"/>
    <mergeCell ref="AJ205:AL205"/>
    <mergeCell ref="AP205:AW205"/>
    <mergeCell ref="G204:G205"/>
    <mergeCell ref="H204:H205"/>
    <mergeCell ref="K204:K205"/>
    <mergeCell ref="L204:Q204"/>
    <mergeCell ref="R204:T204"/>
    <mergeCell ref="Y204:Y205"/>
    <mergeCell ref="A204:A205"/>
    <mergeCell ref="B204:B205"/>
    <mergeCell ref="C204:C205"/>
    <mergeCell ref="D204:D205"/>
    <mergeCell ref="E204:E205"/>
    <mergeCell ref="F204:F205"/>
    <mergeCell ref="Z202:AG202"/>
    <mergeCell ref="AJ202:AL202"/>
    <mergeCell ref="AO202:AO203"/>
    <mergeCell ref="AP202:AW202"/>
    <mergeCell ref="L203:Q203"/>
    <mergeCell ref="R203:T203"/>
    <mergeCell ref="Z203:AG203"/>
    <mergeCell ref="AJ203:AL203"/>
    <mergeCell ref="AP203:AW203"/>
    <mergeCell ref="G202:G203"/>
    <mergeCell ref="H202:H203"/>
    <mergeCell ref="K202:K203"/>
    <mergeCell ref="L202:Q202"/>
    <mergeCell ref="R202:T202"/>
    <mergeCell ref="Y202:Y203"/>
    <mergeCell ref="BF201:BK202"/>
    <mergeCell ref="BL201:BQ202"/>
    <mergeCell ref="BR201:BW202"/>
    <mergeCell ref="BX201:CC202"/>
    <mergeCell ref="A202:A203"/>
    <mergeCell ref="B202:B203"/>
    <mergeCell ref="C202:C203"/>
    <mergeCell ref="D202:D203"/>
    <mergeCell ref="E202:E203"/>
    <mergeCell ref="F202:F203"/>
    <mergeCell ref="AP200:AW200"/>
    <mergeCell ref="L201:Q201"/>
    <mergeCell ref="R201:T201"/>
    <mergeCell ref="Z201:AG201"/>
    <mergeCell ref="AJ201:AL201"/>
    <mergeCell ref="AP201:AW201"/>
    <mergeCell ref="L200:Q200"/>
    <mergeCell ref="R200:T200"/>
    <mergeCell ref="Y200:Y201"/>
    <mergeCell ref="Z200:AG200"/>
    <mergeCell ref="AJ200:AL200"/>
    <mergeCell ref="AO200:AO201"/>
    <mergeCell ref="AP199:AW199"/>
    <mergeCell ref="A200:A201"/>
    <mergeCell ref="B200:B201"/>
    <mergeCell ref="C200:C201"/>
    <mergeCell ref="D200:D201"/>
    <mergeCell ref="E200:E201"/>
    <mergeCell ref="F200:F201"/>
    <mergeCell ref="G200:G201"/>
    <mergeCell ref="H200:H201"/>
    <mergeCell ref="K200:K201"/>
    <mergeCell ref="G198:G199"/>
    <mergeCell ref="H198:H199"/>
    <mergeCell ref="R198:T198"/>
    <mergeCell ref="AJ198:AL198"/>
    <mergeCell ref="L199:Q199"/>
    <mergeCell ref="R199:T199"/>
    <mergeCell ref="Z199:AG199"/>
    <mergeCell ref="AJ199:AL199"/>
    <mergeCell ref="A198:A199"/>
    <mergeCell ref="B198:B199"/>
    <mergeCell ref="C198:C199"/>
    <mergeCell ref="D198:D199"/>
    <mergeCell ref="E198:E199"/>
    <mergeCell ref="F198:F199"/>
    <mergeCell ref="BL197:BO198"/>
    <mergeCell ref="BP197:BQ198"/>
    <mergeCell ref="BR197:BU198"/>
    <mergeCell ref="BV197:BW198"/>
    <mergeCell ref="BX197:CA198"/>
    <mergeCell ref="CB197:CC198"/>
    <mergeCell ref="BF195:CC196"/>
    <mergeCell ref="A197:B197"/>
    <mergeCell ref="K197:K199"/>
    <mergeCell ref="L197:Q198"/>
    <mergeCell ref="Y197:Y199"/>
    <mergeCell ref="Z197:AG198"/>
    <mergeCell ref="AO197:AO199"/>
    <mergeCell ref="AP197:AW198"/>
    <mergeCell ref="BF197:BI198"/>
    <mergeCell ref="BJ197:BK198"/>
    <mergeCell ref="Z194:AG194"/>
    <mergeCell ref="AJ194:AL194"/>
    <mergeCell ref="AO194:AO195"/>
    <mergeCell ref="AP194:AW194"/>
    <mergeCell ref="L195:Q195"/>
    <mergeCell ref="R195:T195"/>
    <mergeCell ref="Z195:AG195"/>
    <mergeCell ref="AJ195:AL195"/>
    <mergeCell ref="AP195:AW195"/>
    <mergeCell ref="G194:G195"/>
    <mergeCell ref="H194:H195"/>
    <mergeCell ref="K194:K195"/>
    <mergeCell ref="L194:Q194"/>
    <mergeCell ref="R194:T194"/>
    <mergeCell ref="Y194:Y195"/>
    <mergeCell ref="A194:A195"/>
    <mergeCell ref="B194:B195"/>
    <mergeCell ref="C194:C195"/>
    <mergeCell ref="D194:D195"/>
    <mergeCell ref="E194:E195"/>
    <mergeCell ref="F194:F195"/>
    <mergeCell ref="Z192:AG192"/>
    <mergeCell ref="AJ192:AL192"/>
    <mergeCell ref="AO192:AO193"/>
    <mergeCell ref="AP192:AW192"/>
    <mergeCell ref="L193:Q193"/>
    <mergeCell ref="R193:T193"/>
    <mergeCell ref="Z193:AG193"/>
    <mergeCell ref="AJ193:AL193"/>
    <mergeCell ref="AP193:AW193"/>
    <mergeCell ref="G192:G193"/>
    <mergeCell ref="H192:H193"/>
    <mergeCell ref="K192:K193"/>
    <mergeCell ref="L192:Q192"/>
    <mergeCell ref="R192:T192"/>
    <mergeCell ref="Y192:Y193"/>
    <mergeCell ref="BF191:BK192"/>
    <mergeCell ref="BL191:BQ192"/>
    <mergeCell ref="BR191:BW192"/>
    <mergeCell ref="BX191:CC192"/>
    <mergeCell ref="A192:A193"/>
    <mergeCell ref="B192:B193"/>
    <mergeCell ref="C192:C193"/>
    <mergeCell ref="D192:D193"/>
    <mergeCell ref="E192:E193"/>
    <mergeCell ref="F192:F193"/>
    <mergeCell ref="Z190:AG190"/>
    <mergeCell ref="AJ190:AL190"/>
    <mergeCell ref="AO190:AO191"/>
    <mergeCell ref="AP190:AW190"/>
    <mergeCell ref="L191:Q191"/>
    <mergeCell ref="R191:T191"/>
    <mergeCell ref="Z191:AG191"/>
    <mergeCell ref="AJ191:AL191"/>
    <mergeCell ref="AP191:AW191"/>
    <mergeCell ref="G190:G191"/>
    <mergeCell ref="H190:H191"/>
    <mergeCell ref="K190:K191"/>
    <mergeCell ref="L190:Q190"/>
    <mergeCell ref="R190:T190"/>
    <mergeCell ref="Y190:Y191"/>
    <mergeCell ref="A190:A191"/>
    <mergeCell ref="B190:B191"/>
    <mergeCell ref="C190:C191"/>
    <mergeCell ref="D190:D191"/>
    <mergeCell ref="E190:E191"/>
    <mergeCell ref="F190:F191"/>
    <mergeCell ref="AJ188:AL188"/>
    <mergeCell ref="L189:Q189"/>
    <mergeCell ref="R189:T189"/>
    <mergeCell ref="Z189:AG189"/>
    <mergeCell ref="AJ189:AL189"/>
    <mergeCell ref="AP189:AW189"/>
    <mergeCell ref="BR187:BU188"/>
    <mergeCell ref="BV187:BW188"/>
    <mergeCell ref="BX187:CA188"/>
    <mergeCell ref="CB187:CC188"/>
    <mergeCell ref="A188:A189"/>
    <mergeCell ref="B188:B189"/>
    <mergeCell ref="C188:C189"/>
    <mergeCell ref="D188:D189"/>
    <mergeCell ref="E188:E189"/>
    <mergeCell ref="F188:F189"/>
    <mergeCell ref="AO187:AO189"/>
    <mergeCell ref="AP187:AW188"/>
    <mergeCell ref="BF187:BI188"/>
    <mergeCell ref="BJ187:BK188"/>
    <mergeCell ref="BL187:BO188"/>
    <mergeCell ref="BP187:BQ188"/>
    <mergeCell ref="G186:G187"/>
    <mergeCell ref="H186:H187"/>
    <mergeCell ref="K187:K189"/>
    <mergeCell ref="L187:Q188"/>
    <mergeCell ref="Y187:Y189"/>
    <mergeCell ref="Z187:AG188"/>
    <mergeCell ref="G188:G189"/>
    <mergeCell ref="H188:H189"/>
    <mergeCell ref="R188:T188"/>
    <mergeCell ref="A186:A187"/>
    <mergeCell ref="B186:B187"/>
    <mergeCell ref="C186:C187"/>
    <mergeCell ref="D186:D187"/>
    <mergeCell ref="E186:E187"/>
    <mergeCell ref="F186:F187"/>
    <mergeCell ref="AS184:AU184"/>
    <mergeCell ref="L185:T185"/>
    <mergeCell ref="AA185:AC185"/>
    <mergeCell ref="AJ185:AL185"/>
    <mergeCell ref="AS185:AU185"/>
    <mergeCell ref="BF185:CC186"/>
    <mergeCell ref="F184:F185"/>
    <mergeCell ref="G184:G185"/>
    <mergeCell ref="H184:H185"/>
    <mergeCell ref="L184:T184"/>
    <mergeCell ref="AA184:AC184"/>
    <mergeCell ref="AJ184:AL184"/>
    <mergeCell ref="AS182:AU182"/>
    <mergeCell ref="L183:T183"/>
    <mergeCell ref="AA183:AC183"/>
    <mergeCell ref="AJ183:AL183"/>
    <mergeCell ref="AS183:AU183"/>
    <mergeCell ref="A184:A185"/>
    <mergeCell ref="B184:B185"/>
    <mergeCell ref="C184:C185"/>
    <mergeCell ref="D184:D185"/>
    <mergeCell ref="E184:E185"/>
    <mergeCell ref="F182:F183"/>
    <mergeCell ref="G182:G183"/>
    <mergeCell ref="H182:H183"/>
    <mergeCell ref="L182:T182"/>
    <mergeCell ref="AA182:AC182"/>
    <mergeCell ref="AJ182:AL182"/>
    <mergeCell ref="AS180:AU180"/>
    <mergeCell ref="L181:T181"/>
    <mergeCell ref="AA181:AC181"/>
    <mergeCell ref="AJ181:AL181"/>
    <mergeCell ref="AS181:AU181"/>
    <mergeCell ref="A182:A183"/>
    <mergeCell ref="B182:B183"/>
    <mergeCell ref="C182:C183"/>
    <mergeCell ref="D182:D183"/>
    <mergeCell ref="E182:E183"/>
    <mergeCell ref="F180:F181"/>
    <mergeCell ref="G180:G181"/>
    <mergeCell ref="H180:H181"/>
    <mergeCell ref="L180:T180"/>
    <mergeCell ref="AA180:AC180"/>
    <mergeCell ref="AJ180:AL180"/>
    <mergeCell ref="AS178:AU178"/>
    <mergeCell ref="L179:T179"/>
    <mergeCell ref="AA179:AC179"/>
    <mergeCell ref="AJ179:AL179"/>
    <mergeCell ref="AS179:AU179"/>
    <mergeCell ref="A180:A181"/>
    <mergeCell ref="B180:B181"/>
    <mergeCell ref="C180:C181"/>
    <mergeCell ref="D180:D181"/>
    <mergeCell ref="E180:E181"/>
    <mergeCell ref="F178:F179"/>
    <mergeCell ref="G178:G179"/>
    <mergeCell ref="H178:H179"/>
    <mergeCell ref="L178:T178"/>
    <mergeCell ref="AA178:AC178"/>
    <mergeCell ref="AJ178:AL178"/>
    <mergeCell ref="A177:B177"/>
    <mergeCell ref="L177:T177"/>
    <mergeCell ref="AA177:AC177"/>
    <mergeCell ref="AJ177:AL177"/>
    <mergeCell ref="AS177:AU177"/>
    <mergeCell ref="A178:A179"/>
    <mergeCell ref="B178:B179"/>
    <mergeCell ref="C178:C179"/>
    <mergeCell ref="D178:D179"/>
    <mergeCell ref="E178:E179"/>
    <mergeCell ref="AQ172:AY172"/>
    <mergeCell ref="K175:S176"/>
    <mergeCell ref="AA175:AC175"/>
    <mergeCell ref="AJ175:AL175"/>
    <mergeCell ref="AS175:AU175"/>
    <mergeCell ref="E176:E177"/>
    <mergeCell ref="F176:F177"/>
    <mergeCell ref="AA176:AC176"/>
    <mergeCell ref="AJ176:AL176"/>
    <mergeCell ref="AS176:AU176"/>
    <mergeCell ref="K172:L172"/>
    <mergeCell ref="M172:W172"/>
    <mergeCell ref="Z172:AC172"/>
    <mergeCell ref="AD172:AE172"/>
    <mergeCell ref="AG172:AH172"/>
    <mergeCell ref="AO172:AP172"/>
    <mergeCell ref="G165:G166"/>
    <mergeCell ref="H165:H166"/>
    <mergeCell ref="K165:K166"/>
    <mergeCell ref="L165:P166"/>
    <mergeCell ref="Q165:R165"/>
    <mergeCell ref="U165:Z166"/>
    <mergeCell ref="Q166:R166"/>
    <mergeCell ref="A165:A166"/>
    <mergeCell ref="B165:B166"/>
    <mergeCell ref="C165:C166"/>
    <mergeCell ref="D165:D166"/>
    <mergeCell ref="E165:E166"/>
    <mergeCell ref="F165:F166"/>
    <mergeCell ref="G163:G164"/>
    <mergeCell ref="H163:H164"/>
    <mergeCell ref="K163:K164"/>
    <mergeCell ref="L163:P164"/>
    <mergeCell ref="Q163:R163"/>
    <mergeCell ref="U163:Z164"/>
    <mergeCell ref="Q164:R164"/>
    <mergeCell ref="A163:A164"/>
    <mergeCell ref="B163:B164"/>
    <mergeCell ref="C163:C164"/>
    <mergeCell ref="D163:D164"/>
    <mergeCell ref="E163:E164"/>
    <mergeCell ref="F163:F164"/>
    <mergeCell ref="G161:G162"/>
    <mergeCell ref="H161:H162"/>
    <mergeCell ref="K161:K162"/>
    <mergeCell ref="L161:P162"/>
    <mergeCell ref="Q161:R161"/>
    <mergeCell ref="U161:Z162"/>
    <mergeCell ref="Q162:R162"/>
    <mergeCell ref="A161:A162"/>
    <mergeCell ref="B161:B162"/>
    <mergeCell ref="C161:C162"/>
    <mergeCell ref="D161:D162"/>
    <mergeCell ref="E161:E162"/>
    <mergeCell ref="F161:F162"/>
    <mergeCell ref="G159:G160"/>
    <mergeCell ref="H159:H160"/>
    <mergeCell ref="K159:K160"/>
    <mergeCell ref="L159:P160"/>
    <mergeCell ref="Q159:R159"/>
    <mergeCell ref="U159:Z160"/>
    <mergeCell ref="Q160:R160"/>
    <mergeCell ref="A159:A160"/>
    <mergeCell ref="B159:B160"/>
    <mergeCell ref="C159:C160"/>
    <mergeCell ref="D159:D160"/>
    <mergeCell ref="E159:E160"/>
    <mergeCell ref="F159:F160"/>
    <mergeCell ref="G157:G158"/>
    <mergeCell ref="H157:H158"/>
    <mergeCell ref="K157:K158"/>
    <mergeCell ref="L157:P158"/>
    <mergeCell ref="Q157:R157"/>
    <mergeCell ref="U157:Z158"/>
    <mergeCell ref="Q158:R158"/>
    <mergeCell ref="A157:A158"/>
    <mergeCell ref="B157:B158"/>
    <mergeCell ref="C157:C158"/>
    <mergeCell ref="D157:D158"/>
    <mergeCell ref="E157:E158"/>
    <mergeCell ref="F157:F158"/>
    <mergeCell ref="G155:G156"/>
    <mergeCell ref="H155:H156"/>
    <mergeCell ref="K155:K156"/>
    <mergeCell ref="L155:P156"/>
    <mergeCell ref="Q155:R155"/>
    <mergeCell ref="U155:Z156"/>
    <mergeCell ref="Q156:R156"/>
    <mergeCell ref="A155:A156"/>
    <mergeCell ref="B155:B156"/>
    <mergeCell ref="C155:C156"/>
    <mergeCell ref="D155:D156"/>
    <mergeCell ref="E155:E156"/>
    <mergeCell ref="F155:F156"/>
    <mergeCell ref="G153:G154"/>
    <mergeCell ref="H153:H154"/>
    <mergeCell ref="K153:K154"/>
    <mergeCell ref="L153:P154"/>
    <mergeCell ref="Q153:R153"/>
    <mergeCell ref="U153:Z154"/>
    <mergeCell ref="Q154:R154"/>
    <mergeCell ref="A153:A154"/>
    <mergeCell ref="B153:B154"/>
    <mergeCell ref="C153:C154"/>
    <mergeCell ref="D153:D154"/>
    <mergeCell ref="E153:E154"/>
    <mergeCell ref="F153:F154"/>
    <mergeCell ref="G151:G152"/>
    <mergeCell ref="H151:H152"/>
    <mergeCell ref="K151:K152"/>
    <mergeCell ref="L151:P152"/>
    <mergeCell ref="Q151:R151"/>
    <mergeCell ref="U151:Z152"/>
    <mergeCell ref="Q152:R152"/>
    <mergeCell ref="A151:A152"/>
    <mergeCell ref="B151:B152"/>
    <mergeCell ref="C151:C152"/>
    <mergeCell ref="D151:D152"/>
    <mergeCell ref="E151:E152"/>
    <mergeCell ref="F151:F152"/>
    <mergeCell ref="AZ149:BA149"/>
    <mergeCell ref="A150:B150"/>
    <mergeCell ref="U150:Z150"/>
    <mergeCell ref="AD150:AI150"/>
    <mergeCell ref="AM150:AR150"/>
    <mergeCell ref="AV150:BA150"/>
    <mergeCell ref="BV147:BV148"/>
    <mergeCell ref="BW147:BW148"/>
    <mergeCell ref="BX147:BX148"/>
    <mergeCell ref="E149:E150"/>
    <mergeCell ref="F149:F150"/>
    <mergeCell ref="K149:R150"/>
    <mergeCell ref="V149:W149"/>
    <mergeCell ref="AE149:AF149"/>
    <mergeCell ref="AN149:AO149"/>
    <mergeCell ref="AW149:AX149"/>
    <mergeCell ref="BH147:BH148"/>
    <mergeCell ref="BI147:BI148"/>
    <mergeCell ref="BJ147:BJ148"/>
    <mergeCell ref="BK147:BK148"/>
    <mergeCell ref="BT147:BT148"/>
    <mergeCell ref="BU147:BU148"/>
    <mergeCell ref="G145:G146"/>
    <mergeCell ref="H145:H146"/>
    <mergeCell ref="K145:K146"/>
    <mergeCell ref="L145:P146"/>
    <mergeCell ref="Q145:R145"/>
    <mergeCell ref="U145:Z146"/>
    <mergeCell ref="Q146:R146"/>
    <mergeCell ref="A145:A146"/>
    <mergeCell ref="B145:B146"/>
    <mergeCell ref="C145:C146"/>
    <mergeCell ref="D145:D146"/>
    <mergeCell ref="E145:E146"/>
    <mergeCell ref="F145:F146"/>
    <mergeCell ref="G143:G144"/>
    <mergeCell ref="H143:H144"/>
    <mergeCell ref="K143:K144"/>
    <mergeCell ref="L143:P144"/>
    <mergeCell ref="Q143:R143"/>
    <mergeCell ref="U143:Z144"/>
    <mergeCell ref="Q144:R144"/>
    <mergeCell ref="A143:A144"/>
    <mergeCell ref="B143:B144"/>
    <mergeCell ref="C143:C144"/>
    <mergeCell ref="D143:D144"/>
    <mergeCell ref="E143:E144"/>
    <mergeCell ref="F143:F144"/>
    <mergeCell ref="G141:G142"/>
    <mergeCell ref="H141:H142"/>
    <mergeCell ref="K141:K142"/>
    <mergeCell ref="L141:P142"/>
    <mergeCell ref="Q141:R141"/>
    <mergeCell ref="U141:Z142"/>
    <mergeCell ref="Q142:R142"/>
    <mergeCell ref="A141:A142"/>
    <mergeCell ref="B141:B142"/>
    <mergeCell ref="C141:C142"/>
    <mergeCell ref="D141:D142"/>
    <mergeCell ref="E141:E142"/>
    <mergeCell ref="F141:F142"/>
    <mergeCell ref="G139:G140"/>
    <mergeCell ref="H139:H140"/>
    <mergeCell ref="K139:K140"/>
    <mergeCell ref="L139:P140"/>
    <mergeCell ref="Q139:R139"/>
    <mergeCell ref="U139:Z140"/>
    <mergeCell ref="Q140:R140"/>
    <mergeCell ref="A139:A140"/>
    <mergeCell ref="B139:B140"/>
    <mergeCell ref="C139:C140"/>
    <mergeCell ref="D139:D140"/>
    <mergeCell ref="E139:E140"/>
    <mergeCell ref="F139:F140"/>
    <mergeCell ref="G137:G138"/>
    <mergeCell ref="H137:H138"/>
    <mergeCell ref="K137:K138"/>
    <mergeCell ref="L137:P138"/>
    <mergeCell ref="Q137:R137"/>
    <mergeCell ref="U137:Z138"/>
    <mergeCell ref="Q138:R138"/>
    <mergeCell ref="A137:A138"/>
    <mergeCell ref="B137:B138"/>
    <mergeCell ref="C137:C138"/>
    <mergeCell ref="D137:D138"/>
    <mergeCell ref="E137:E138"/>
    <mergeCell ref="F137:F138"/>
    <mergeCell ref="G135:G136"/>
    <mergeCell ref="H135:H136"/>
    <mergeCell ref="K135:K136"/>
    <mergeCell ref="L135:P136"/>
    <mergeCell ref="Q135:R135"/>
    <mergeCell ref="U135:Z136"/>
    <mergeCell ref="Q136:R136"/>
    <mergeCell ref="A135:A136"/>
    <mergeCell ref="B135:B136"/>
    <mergeCell ref="C135:C136"/>
    <mergeCell ref="D135:D136"/>
    <mergeCell ref="E135:E136"/>
    <mergeCell ref="F135:F136"/>
    <mergeCell ref="G133:G134"/>
    <mergeCell ref="H133:H134"/>
    <mergeCell ref="K133:K134"/>
    <mergeCell ref="L133:P134"/>
    <mergeCell ref="Q133:R133"/>
    <mergeCell ref="U133:Z134"/>
    <mergeCell ref="Q134:R134"/>
    <mergeCell ref="A133:A134"/>
    <mergeCell ref="B133:B134"/>
    <mergeCell ref="C133:C134"/>
    <mergeCell ref="D133:D134"/>
    <mergeCell ref="E133:E134"/>
    <mergeCell ref="F133:F134"/>
    <mergeCell ref="G131:G132"/>
    <mergeCell ref="H131:H132"/>
    <mergeCell ref="K131:K132"/>
    <mergeCell ref="L131:P132"/>
    <mergeCell ref="Q131:R131"/>
    <mergeCell ref="U131:Z132"/>
    <mergeCell ref="Q132:R132"/>
    <mergeCell ref="A131:A132"/>
    <mergeCell ref="B131:B132"/>
    <mergeCell ref="C131:C132"/>
    <mergeCell ref="D131:D132"/>
    <mergeCell ref="E131:E132"/>
    <mergeCell ref="F131:F132"/>
    <mergeCell ref="AW129:AX129"/>
    <mergeCell ref="A130:B130"/>
    <mergeCell ref="U130:Z130"/>
    <mergeCell ref="AD130:AI130"/>
    <mergeCell ref="AM130:AR130"/>
    <mergeCell ref="AV130:BA130"/>
    <mergeCell ref="E129:E130"/>
    <mergeCell ref="F129:F130"/>
    <mergeCell ref="K129:R130"/>
    <mergeCell ref="V129:W129"/>
    <mergeCell ref="AE129:AF129"/>
    <mergeCell ref="AN129:AO129"/>
    <mergeCell ref="L127:O127"/>
    <mergeCell ref="P127:W127"/>
    <mergeCell ref="X127:AE127"/>
    <mergeCell ref="AG127:AL127"/>
    <mergeCell ref="AM127:AR127"/>
    <mergeCell ref="AS127:AZ127"/>
    <mergeCell ref="L124:AE124"/>
    <mergeCell ref="AG124:AZ124"/>
    <mergeCell ref="L125:AE125"/>
    <mergeCell ref="AG125:AZ125"/>
    <mergeCell ref="L126:O126"/>
    <mergeCell ref="P126:W126"/>
    <mergeCell ref="X126:AE126"/>
    <mergeCell ref="AG126:AL126"/>
    <mergeCell ref="AM126:AR126"/>
    <mergeCell ref="AS126:AZ126"/>
    <mergeCell ref="BV119:BV120"/>
    <mergeCell ref="BW119:BW120"/>
    <mergeCell ref="BX119:BX120"/>
    <mergeCell ref="K122:L122"/>
    <mergeCell ref="M122:W122"/>
    <mergeCell ref="Z122:AC122"/>
    <mergeCell ref="AD122:AE122"/>
    <mergeCell ref="AG122:AH122"/>
    <mergeCell ref="AO122:AP122"/>
    <mergeCell ref="AQ122:AY122"/>
    <mergeCell ref="BH119:BH120"/>
    <mergeCell ref="BI119:BI120"/>
    <mergeCell ref="BJ119:BJ120"/>
    <mergeCell ref="BK119:BK120"/>
    <mergeCell ref="BT119:BT120"/>
    <mergeCell ref="BU119:BU120"/>
    <mergeCell ref="G117:G118"/>
    <mergeCell ref="H117:H118"/>
    <mergeCell ref="K117:K118"/>
    <mergeCell ref="L117:P118"/>
    <mergeCell ref="Q117:R117"/>
    <mergeCell ref="U117:Z118"/>
    <mergeCell ref="Q118:R118"/>
    <mergeCell ref="A117:A118"/>
    <mergeCell ref="B117:B118"/>
    <mergeCell ref="C117:C118"/>
    <mergeCell ref="D117:D118"/>
    <mergeCell ref="E117:E118"/>
    <mergeCell ref="F117:F118"/>
    <mergeCell ref="G115:G116"/>
    <mergeCell ref="H115:H116"/>
    <mergeCell ref="K115:K116"/>
    <mergeCell ref="L115:P116"/>
    <mergeCell ref="Q115:R115"/>
    <mergeCell ref="U115:Z116"/>
    <mergeCell ref="Q116:R116"/>
    <mergeCell ref="A115:A116"/>
    <mergeCell ref="B115:B116"/>
    <mergeCell ref="C115:C116"/>
    <mergeCell ref="D115:D116"/>
    <mergeCell ref="E115:E116"/>
    <mergeCell ref="F115:F116"/>
    <mergeCell ref="G113:G114"/>
    <mergeCell ref="H113:H114"/>
    <mergeCell ref="K113:K114"/>
    <mergeCell ref="L113:P114"/>
    <mergeCell ref="Q113:R113"/>
    <mergeCell ref="U113:Z114"/>
    <mergeCell ref="Q114:R114"/>
    <mergeCell ref="A113:A114"/>
    <mergeCell ref="B113:B114"/>
    <mergeCell ref="C113:C114"/>
    <mergeCell ref="D113:D114"/>
    <mergeCell ref="E113:E114"/>
    <mergeCell ref="F113:F114"/>
    <mergeCell ref="G111:G112"/>
    <mergeCell ref="H111:H112"/>
    <mergeCell ref="K111:K112"/>
    <mergeCell ref="L111:P112"/>
    <mergeCell ref="Q111:R111"/>
    <mergeCell ref="U111:Z112"/>
    <mergeCell ref="Q112:R112"/>
    <mergeCell ref="A111:A112"/>
    <mergeCell ref="B111:B112"/>
    <mergeCell ref="C111:C112"/>
    <mergeCell ref="D111:D112"/>
    <mergeCell ref="E111:E112"/>
    <mergeCell ref="F111:F112"/>
    <mergeCell ref="G109:G110"/>
    <mergeCell ref="H109:H110"/>
    <mergeCell ref="K109:K110"/>
    <mergeCell ref="L109:P110"/>
    <mergeCell ref="Q109:R109"/>
    <mergeCell ref="U109:Z110"/>
    <mergeCell ref="Q110:R110"/>
    <mergeCell ref="A109:A110"/>
    <mergeCell ref="B109:B110"/>
    <mergeCell ref="C109:C110"/>
    <mergeCell ref="D109:D110"/>
    <mergeCell ref="E109:E110"/>
    <mergeCell ref="F109:F110"/>
    <mergeCell ref="G107:G108"/>
    <mergeCell ref="H107:H108"/>
    <mergeCell ref="K107:K108"/>
    <mergeCell ref="L107:P108"/>
    <mergeCell ref="Q107:R107"/>
    <mergeCell ref="U107:Z108"/>
    <mergeCell ref="Q108:R108"/>
    <mergeCell ref="A107:A108"/>
    <mergeCell ref="B107:B108"/>
    <mergeCell ref="C107:C108"/>
    <mergeCell ref="D107:D108"/>
    <mergeCell ref="E107:E108"/>
    <mergeCell ref="F107:F108"/>
    <mergeCell ref="G105:G106"/>
    <mergeCell ref="H105:H106"/>
    <mergeCell ref="K105:K106"/>
    <mergeCell ref="L105:P106"/>
    <mergeCell ref="Q105:R105"/>
    <mergeCell ref="U105:Z106"/>
    <mergeCell ref="Q106:R106"/>
    <mergeCell ref="A105:A106"/>
    <mergeCell ref="B105:B106"/>
    <mergeCell ref="C105:C106"/>
    <mergeCell ref="D105:D106"/>
    <mergeCell ref="E105:E106"/>
    <mergeCell ref="F105:F106"/>
    <mergeCell ref="G103:G104"/>
    <mergeCell ref="H103:H104"/>
    <mergeCell ref="K103:K104"/>
    <mergeCell ref="L103:P104"/>
    <mergeCell ref="Q103:R103"/>
    <mergeCell ref="U103:Z104"/>
    <mergeCell ref="Q104:R104"/>
    <mergeCell ref="A103:A104"/>
    <mergeCell ref="B103:B104"/>
    <mergeCell ref="C103:C104"/>
    <mergeCell ref="D103:D104"/>
    <mergeCell ref="E103:E104"/>
    <mergeCell ref="F103:F104"/>
    <mergeCell ref="AZ101:BA101"/>
    <mergeCell ref="A102:B102"/>
    <mergeCell ref="U102:Z102"/>
    <mergeCell ref="AD102:AI102"/>
    <mergeCell ref="AM102:AR102"/>
    <mergeCell ref="AV102:BA102"/>
    <mergeCell ref="BV99:BV100"/>
    <mergeCell ref="BW99:BW100"/>
    <mergeCell ref="BX99:BX100"/>
    <mergeCell ref="E101:E102"/>
    <mergeCell ref="F101:F102"/>
    <mergeCell ref="K101:R102"/>
    <mergeCell ref="V101:W101"/>
    <mergeCell ref="AE101:AF101"/>
    <mergeCell ref="AN101:AO101"/>
    <mergeCell ref="AW101:AX101"/>
    <mergeCell ref="BH99:BH100"/>
    <mergeCell ref="BI99:BI100"/>
    <mergeCell ref="BJ99:BJ100"/>
    <mergeCell ref="BK99:BK100"/>
    <mergeCell ref="BT99:BT100"/>
    <mergeCell ref="BU99:BU100"/>
    <mergeCell ref="G97:G98"/>
    <mergeCell ref="H97:H98"/>
    <mergeCell ref="K97:K98"/>
    <mergeCell ref="L97:P98"/>
    <mergeCell ref="Q97:R97"/>
    <mergeCell ref="U97:Z98"/>
    <mergeCell ref="Q98:R98"/>
    <mergeCell ref="A97:A98"/>
    <mergeCell ref="B97:B98"/>
    <mergeCell ref="C97:C98"/>
    <mergeCell ref="D97:D98"/>
    <mergeCell ref="E97:E98"/>
    <mergeCell ref="F97:F98"/>
    <mergeCell ref="G95:G96"/>
    <mergeCell ref="H95:H96"/>
    <mergeCell ref="K95:K96"/>
    <mergeCell ref="L95:P96"/>
    <mergeCell ref="Q95:R95"/>
    <mergeCell ref="U95:Z96"/>
    <mergeCell ref="Q96:R96"/>
    <mergeCell ref="A95:A96"/>
    <mergeCell ref="B95:B96"/>
    <mergeCell ref="C95:C96"/>
    <mergeCell ref="D95:D96"/>
    <mergeCell ref="E95:E96"/>
    <mergeCell ref="F95:F96"/>
    <mergeCell ref="G93:G94"/>
    <mergeCell ref="H93:H94"/>
    <mergeCell ref="K93:K94"/>
    <mergeCell ref="L93:P94"/>
    <mergeCell ref="Q93:R93"/>
    <mergeCell ref="U93:Z94"/>
    <mergeCell ref="Q94:R94"/>
    <mergeCell ref="A93:A94"/>
    <mergeCell ref="B93:B94"/>
    <mergeCell ref="C93:C94"/>
    <mergeCell ref="D93:D94"/>
    <mergeCell ref="E93:E94"/>
    <mergeCell ref="F93:F94"/>
    <mergeCell ref="G91:G92"/>
    <mergeCell ref="H91:H92"/>
    <mergeCell ref="K91:K92"/>
    <mergeCell ref="L91:P92"/>
    <mergeCell ref="Q91:R91"/>
    <mergeCell ref="U91:Z92"/>
    <mergeCell ref="Q92:R92"/>
    <mergeCell ref="A91:A92"/>
    <mergeCell ref="B91:B92"/>
    <mergeCell ref="C91:C92"/>
    <mergeCell ref="D91:D92"/>
    <mergeCell ref="E91:E92"/>
    <mergeCell ref="F91:F92"/>
    <mergeCell ref="G89:G90"/>
    <mergeCell ref="H89:H90"/>
    <mergeCell ref="K89:K90"/>
    <mergeCell ref="L89:P90"/>
    <mergeCell ref="Q89:R89"/>
    <mergeCell ref="U89:Z90"/>
    <mergeCell ref="Q90:R90"/>
    <mergeCell ref="A89:A90"/>
    <mergeCell ref="B89:B90"/>
    <mergeCell ref="C89:C90"/>
    <mergeCell ref="D89:D90"/>
    <mergeCell ref="E89:E90"/>
    <mergeCell ref="F89:F90"/>
    <mergeCell ref="G87:G88"/>
    <mergeCell ref="H87:H88"/>
    <mergeCell ref="K87:K88"/>
    <mergeCell ref="L87:P88"/>
    <mergeCell ref="Q87:R87"/>
    <mergeCell ref="U87:Z88"/>
    <mergeCell ref="Q88:R88"/>
    <mergeCell ref="A87:A88"/>
    <mergeCell ref="B87:B88"/>
    <mergeCell ref="C87:C88"/>
    <mergeCell ref="D87:D88"/>
    <mergeCell ref="E87:E88"/>
    <mergeCell ref="F87:F88"/>
    <mergeCell ref="G85:G86"/>
    <mergeCell ref="H85:H86"/>
    <mergeCell ref="K85:K86"/>
    <mergeCell ref="L85:P86"/>
    <mergeCell ref="Q85:R85"/>
    <mergeCell ref="U85:Z86"/>
    <mergeCell ref="Q86:R86"/>
    <mergeCell ref="A85:A86"/>
    <mergeCell ref="B85:B86"/>
    <mergeCell ref="C85:C86"/>
    <mergeCell ref="D85:D86"/>
    <mergeCell ref="E85:E86"/>
    <mergeCell ref="F85:F86"/>
    <mergeCell ref="G83:G84"/>
    <mergeCell ref="H83:H84"/>
    <mergeCell ref="K83:K84"/>
    <mergeCell ref="L83:P84"/>
    <mergeCell ref="Q83:R83"/>
    <mergeCell ref="U83:Z84"/>
    <mergeCell ref="Q84:R84"/>
    <mergeCell ref="A83:A84"/>
    <mergeCell ref="B83:B84"/>
    <mergeCell ref="C83:C84"/>
    <mergeCell ref="D83:D84"/>
    <mergeCell ref="E83:E84"/>
    <mergeCell ref="F83:F84"/>
    <mergeCell ref="AZ81:BA81"/>
    <mergeCell ref="A82:B82"/>
    <mergeCell ref="U82:Z82"/>
    <mergeCell ref="AD82:AI82"/>
    <mergeCell ref="AM82:AR82"/>
    <mergeCell ref="AV82:BA82"/>
    <mergeCell ref="BV79:BV80"/>
    <mergeCell ref="BW79:BW80"/>
    <mergeCell ref="BX79:BX80"/>
    <mergeCell ref="E81:E82"/>
    <mergeCell ref="F81:F82"/>
    <mergeCell ref="K81:R82"/>
    <mergeCell ref="V81:W81"/>
    <mergeCell ref="AE81:AF81"/>
    <mergeCell ref="AN81:AO81"/>
    <mergeCell ref="AW81:AX81"/>
    <mergeCell ref="BH79:BH80"/>
    <mergeCell ref="BI79:BI80"/>
    <mergeCell ref="BJ79:BJ80"/>
    <mergeCell ref="BK79:BK80"/>
    <mergeCell ref="BT79:BT80"/>
    <mergeCell ref="BU79:BU80"/>
    <mergeCell ref="G77:G78"/>
    <mergeCell ref="H77:H78"/>
    <mergeCell ref="K77:K78"/>
    <mergeCell ref="L77:P78"/>
    <mergeCell ref="Q77:R77"/>
    <mergeCell ref="U77:Z78"/>
    <mergeCell ref="Q78:R78"/>
    <mergeCell ref="A77:A78"/>
    <mergeCell ref="B77:B78"/>
    <mergeCell ref="C77:C78"/>
    <mergeCell ref="D77:D78"/>
    <mergeCell ref="E77:E78"/>
    <mergeCell ref="F77:F78"/>
    <mergeCell ref="G75:G76"/>
    <mergeCell ref="H75:H76"/>
    <mergeCell ref="K75:K76"/>
    <mergeCell ref="L75:P76"/>
    <mergeCell ref="Q75:R75"/>
    <mergeCell ref="U75:Z76"/>
    <mergeCell ref="Q76:R76"/>
    <mergeCell ref="A75:A76"/>
    <mergeCell ref="B75:B76"/>
    <mergeCell ref="C75:C76"/>
    <mergeCell ref="D75:D76"/>
    <mergeCell ref="E75:E76"/>
    <mergeCell ref="F75:F76"/>
    <mergeCell ref="G73:G74"/>
    <mergeCell ref="H73:H74"/>
    <mergeCell ref="K73:K74"/>
    <mergeCell ref="L73:P74"/>
    <mergeCell ref="Q73:R73"/>
    <mergeCell ref="U73:Z74"/>
    <mergeCell ref="Q74:R74"/>
    <mergeCell ref="A73:A74"/>
    <mergeCell ref="B73:B74"/>
    <mergeCell ref="C73:C74"/>
    <mergeCell ref="D73:D74"/>
    <mergeCell ref="E73:E74"/>
    <mergeCell ref="F73:F74"/>
    <mergeCell ref="G71:G72"/>
    <mergeCell ref="H71:H72"/>
    <mergeCell ref="K71:K72"/>
    <mergeCell ref="L71:P72"/>
    <mergeCell ref="Q71:R71"/>
    <mergeCell ref="U71:Z72"/>
    <mergeCell ref="Q72:R72"/>
    <mergeCell ref="A71:A72"/>
    <mergeCell ref="B71:B72"/>
    <mergeCell ref="C71:C72"/>
    <mergeCell ref="D71:D72"/>
    <mergeCell ref="E71:E72"/>
    <mergeCell ref="F71:F72"/>
    <mergeCell ref="G69:G70"/>
    <mergeCell ref="H69:H70"/>
    <mergeCell ref="K69:K70"/>
    <mergeCell ref="L69:P70"/>
    <mergeCell ref="Q69:R69"/>
    <mergeCell ref="U69:Z70"/>
    <mergeCell ref="Q70:R70"/>
    <mergeCell ref="A69:A70"/>
    <mergeCell ref="B69:B70"/>
    <mergeCell ref="C69:C70"/>
    <mergeCell ref="D69:D70"/>
    <mergeCell ref="E69:E70"/>
    <mergeCell ref="F69:F70"/>
    <mergeCell ref="G67:G68"/>
    <mergeCell ref="H67:H68"/>
    <mergeCell ref="K67:K68"/>
    <mergeCell ref="L67:P68"/>
    <mergeCell ref="Q67:R67"/>
    <mergeCell ref="U67:Z68"/>
    <mergeCell ref="Q68:R68"/>
    <mergeCell ref="A67:A68"/>
    <mergeCell ref="B67:B68"/>
    <mergeCell ref="C67:C68"/>
    <mergeCell ref="D67:D68"/>
    <mergeCell ref="E67:E68"/>
    <mergeCell ref="F67:F68"/>
    <mergeCell ref="G65:G66"/>
    <mergeCell ref="H65:H66"/>
    <mergeCell ref="K65:K66"/>
    <mergeCell ref="L65:P66"/>
    <mergeCell ref="Q65:R65"/>
    <mergeCell ref="U65:Z66"/>
    <mergeCell ref="Q66:R66"/>
    <mergeCell ref="A65:A66"/>
    <mergeCell ref="B65:B66"/>
    <mergeCell ref="C65:C66"/>
    <mergeCell ref="D65:D66"/>
    <mergeCell ref="E65:E66"/>
    <mergeCell ref="F65:F66"/>
    <mergeCell ref="G63:G64"/>
    <mergeCell ref="H63:H64"/>
    <mergeCell ref="K63:K64"/>
    <mergeCell ref="L63:P64"/>
    <mergeCell ref="Q63:R63"/>
    <mergeCell ref="U63:Z64"/>
    <mergeCell ref="Q64:R64"/>
    <mergeCell ref="A63:A64"/>
    <mergeCell ref="B63:B64"/>
    <mergeCell ref="C63:C64"/>
    <mergeCell ref="D63:D64"/>
    <mergeCell ref="E63:E64"/>
    <mergeCell ref="F63:F64"/>
    <mergeCell ref="AN61:AO61"/>
    <mergeCell ref="AW61:AX61"/>
    <mergeCell ref="A62:B62"/>
    <mergeCell ref="U62:Z62"/>
    <mergeCell ref="AD62:AI62"/>
    <mergeCell ref="AM62:AR62"/>
    <mergeCell ref="AV62:BA62"/>
    <mergeCell ref="M59:U59"/>
    <mergeCell ref="V59:Y59"/>
    <mergeCell ref="AE59:AO59"/>
    <mergeCell ref="AR59:AW59"/>
    <mergeCell ref="AX59:BB59"/>
    <mergeCell ref="E61:E62"/>
    <mergeCell ref="F61:F62"/>
    <mergeCell ref="K61:R62"/>
    <mergeCell ref="V61:W61"/>
    <mergeCell ref="AE61:AF61"/>
    <mergeCell ref="AQ56:AY56"/>
    <mergeCell ref="L58:L59"/>
    <mergeCell ref="M58:U58"/>
    <mergeCell ref="V58:Y58"/>
    <mergeCell ref="AB58:AD59"/>
    <mergeCell ref="AE58:AH58"/>
    <mergeCell ref="AI58:AO58"/>
    <mergeCell ref="AQ58:AQ59"/>
    <mergeCell ref="AR58:AW58"/>
    <mergeCell ref="AX58:BB58"/>
    <mergeCell ref="L54:T54"/>
    <mergeCell ref="Z54:AH54"/>
    <mergeCell ref="AJ54:AL54"/>
    <mergeCell ref="AP54:AX54"/>
    <mergeCell ref="K56:L56"/>
    <mergeCell ref="M56:W56"/>
    <mergeCell ref="Z56:AC56"/>
    <mergeCell ref="AD56:AE56"/>
    <mergeCell ref="AG56:AH56"/>
    <mergeCell ref="AO56:AP56"/>
    <mergeCell ref="BF52:BG52"/>
    <mergeCell ref="L53:T53"/>
    <mergeCell ref="Z53:AH53"/>
    <mergeCell ref="AJ53:AL53"/>
    <mergeCell ref="AP53:AX53"/>
    <mergeCell ref="BF53:BG53"/>
    <mergeCell ref="G52:G53"/>
    <mergeCell ref="H52:H53"/>
    <mergeCell ref="L52:T52"/>
    <mergeCell ref="Z52:AH52"/>
    <mergeCell ref="AJ52:AL52"/>
    <mergeCell ref="AP52:AX52"/>
    <mergeCell ref="A52:A53"/>
    <mergeCell ref="B52:B53"/>
    <mergeCell ref="C52:C53"/>
    <mergeCell ref="D52:D53"/>
    <mergeCell ref="E52:E53"/>
    <mergeCell ref="F52:F53"/>
    <mergeCell ref="BF50:BG50"/>
    <mergeCell ref="L51:T51"/>
    <mergeCell ref="Z51:AH51"/>
    <mergeCell ref="AJ51:AL51"/>
    <mergeCell ref="AP51:AX51"/>
    <mergeCell ref="BF51:BG51"/>
    <mergeCell ref="G50:G51"/>
    <mergeCell ref="H50:H51"/>
    <mergeCell ref="L50:T50"/>
    <mergeCell ref="Z50:AH50"/>
    <mergeCell ref="AJ50:AL50"/>
    <mergeCell ref="AP50:AX50"/>
    <mergeCell ref="A50:A51"/>
    <mergeCell ref="B50:B51"/>
    <mergeCell ref="C50:C51"/>
    <mergeCell ref="D50:D51"/>
    <mergeCell ref="E50:E51"/>
    <mergeCell ref="F50:F51"/>
    <mergeCell ref="BF48:BG48"/>
    <mergeCell ref="L49:T49"/>
    <mergeCell ref="Z49:AH49"/>
    <mergeCell ref="AJ49:AL49"/>
    <mergeCell ref="AP49:AX49"/>
    <mergeCell ref="BF49:BG49"/>
    <mergeCell ref="G48:G49"/>
    <mergeCell ref="H48:H49"/>
    <mergeCell ref="L48:T48"/>
    <mergeCell ref="Z48:AH48"/>
    <mergeCell ref="AJ48:AL48"/>
    <mergeCell ref="AP48:AX48"/>
    <mergeCell ref="A48:A49"/>
    <mergeCell ref="B48:B49"/>
    <mergeCell ref="C48:C49"/>
    <mergeCell ref="D48:D49"/>
    <mergeCell ref="E48:E49"/>
    <mergeCell ref="F48:F49"/>
    <mergeCell ref="G46:G47"/>
    <mergeCell ref="H46:H47"/>
    <mergeCell ref="BF46:BG46"/>
    <mergeCell ref="K47:T47"/>
    <mergeCell ref="Y47:AH47"/>
    <mergeCell ref="AJ47:AL47"/>
    <mergeCell ref="AO47:AX47"/>
    <mergeCell ref="BF47:BG47"/>
    <mergeCell ref="A46:A47"/>
    <mergeCell ref="B46:B47"/>
    <mergeCell ref="C46:C47"/>
    <mergeCell ref="D46:D47"/>
    <mergeCell ref="E46:E47"/>
    <mergeCell ref="F46:F47"/>
    <mergeCell ref="BF44:BG44"/>
    <mergeCell ref="L45:T45"/>
    <mergeCell ref="Z45:AH45"/>
    <mergeCell ref="AJ45:AL45"/>
    <mergeCell ref="AP45:AX45"/>
    <mergeCell ref="BF45:BG45"/>
    <mergeCell ref="G44:G45"/>
    <mergeCell ref="H44:H45"/>
    <mergeCell ref="L44:T44"/>
    <mergeCell ref="Z44:AH44"/>
    <mergeCell ref="AJ44:AL44"/>
    <mergeCell ref="AP44:AX44"/>
    <mergeCell ref="A44:A45"/>
    <mergeCell ref="B44:B45"/>
    <mergeCell ref="C44:C45"/>
    <mergeCell ref="D44:D45"/>
    <mergeCell ref="E44:E45"/>
    <mergeCell ref="F44:F45"/>
    <mergeCell ref="BF42:BG42"/>
    <mergeCell ref="L43:T43"/>
    <mergeCell ref="Z43:AH43"/>
    <mergeCell ref="AJ43:AL43"/>
    <mergeCell ref="AP43:AX43"/>
    <mergeCell ref="BF43:BG43"/>
    <mergeCell ref="G42:G43"/>
    <mergeCell ref="H42:H43"/>
    <mergeCell ref="L42:T42"/>
    <mergeCell ref="Z42:AH42"/>
    <mergeCell ref="AJ42:AL42"/>
    <mergeCell ref="AP42:AX42"/>
    <mergeCell ref="A42:A43"/>
    <mergeCell ref="B42:B43"/>
    <mergeCell ref="C42:C43"/>
    <mergeCell ref="D42:D43"/>
    <mergeCell ref="E42:E43"/>
    <mergeCell ref="F42:F43"/>
    <mergeCell ref="BF40:BG40"/>
    <mergeCell ref="L41:T41"/>
    <mergeCell ref="Z41:AH41"/>
    <mergeCell ref="AJ41:AL41"/>
    <mergeCell ref="AP41:AX41"/>
    <mergeCell ref="BF41:BG41"/>
    <mergeCell ref="G40:G41"/>
    <mergeCell ref="H40:H41"/>
    <mergeCell ref="L40:T40"/>
    <mergeCell ref="Z40:AH40"/>
    <mergeCell ref="AJ40:AL40"/>
    <mergeCell ref="AP40:AX40"/>
    <mergeCell ref="A40:A41"/>
    <mergeCell ref="B40:B41"/>
    <mergeCell ref="C40:C41"/>
    <mergeCell ref="D40:D41"/>
    <mergeCell ref="E40:E41"/>
    <mergeCell ref="F40:F41"/>
    <mergeCell ref="G38:G39"/>
    <mergeCell ref="H38:H39"/>
    <mergeCell ref="BF38:BG38"/>
    <mergeCell ref="K39:T39"/>
    <mergeCell ref="Y39:AH39"/>
    <mergeCell ref="AJ39:AL39"/>
    <mergeCell ref="AO39:AX39"/>
    <mergeCell ref="BF39:BG39"/>
    <mergeCell ref="A38:A39"/>
    <mergeCell ref="B38:B39"/>
    <mergeCell ref="C38:C39"/>
    <mergeCell ref="D38:D39"/>
    <mergeCell ref="E38:E39"/>
    <mergeCell ref="F38:F39"/>
    <mergeCell ref="BF36:BG36"/>
    <mergeCell ref="L37:T37"/>
    <mergeCell ref="Z37:AH37"/>
    <mergeCell ref="AJ37:AL37"/>
    <mergeCell ref="AP37:AX37"/>
    <mergeCell ref="BF37:BG37"/>
    <mergeCell ref="G36:G37"/>
    <mergeCell ref="H36:H37"/>
    <mergeCell ref="L36:T36"/>
    <mergeCell ref="Z36:AH36"/>
    <mergeCell ref="AJ36:AL36"/>
    <mergeCell ref="AP36:AX36"/>
    <mergeCell ref="A36:A37"/>
    <mergeCell ref="B36:B37"/>
    <mergeCell ref="C36:C37"/>
    <mergeCell ref="D36:D37"/>
    <mergeCell ref="E36:E37"/>
    <mergeCell ref="F36:F37"/>
    <mergeCell ref="BF34:BG34"/>
    <mergeCell ref="L35:T35"/>
    <mergeCell ref="Z35:AH35"/>
    <mergeCell ref="AJ35:AL35"/>
    <mergeCell ref="AP35:AX35"/>
    <mergeCell ref="BF35:BG35"/>
    <mergeCell ref="G34:G35"/>
    <mergeCell ref="H34:H35"/>
    <mergeCell ref="L34:T34"/>
    <mergeCell ref="Z34:AH34"/>
    <mergeCell ref="AJ34:AL34"/>
    <mergeCell ref="AP34:AX34"/>
    <mergeCell ref="A34:A35"/>
    <mergeCell ref="B34:B35"/>
    <mergeCell ref="C34:C35"/>
    <mergeCell ref="D34:D35"/>
    <mergeCell ref="E34:E35"/>
    <mergeCell ref="F34:F35"/>
    <mergeCell ref="BF32:BG32"/>
    <mergeCell ref="L33:T33"/>
    <mergeCell ref="Z33:AH33"/>
    <mergeCell ref="AJ33:AL33"/>
    <mergeCell ref="AP33:AX33"/>
    <mergeCell ref="BF33:BG33"/>
    <mergeCell ref="G32:G33"/>
    <mergeCell ref="H32:H33"/>
    <mergeCell ref="L32:T32"/>
    <mergeCell ref="Z32:AH32"/>
    <mergeCell ref="AJ32:AL32"/>
    <mergeCell ref="AP32:AX32"/>
    <mergeCell ref="L31:T31"/>
    <mergeCell ref="Z31:AH31"/>
    <mergeCell ref="AJ31:AL31"/>
    <mergeCell ref="AP31:AX31"/>
    <mergeCell ref="BF31:BG31"/>
    <mergeCell ref="A32:B33"/>
    <mergeCell ref="C32:C33"/>
    <mergeCell ref="D32:D33"/>
    <mergeCell ref="E32:E33"/>
    <mergeCell ref="F32:F33"/>
    <mergeCell ref="L29:T29"/>
    <mergeCell ref="Z29:AH29"/>
    <mergeCell ref="AJ29:AL29"/>
    <mergeCell ref="AP29:AX29"/>
    <mergeCell ref="BF29:BG29"/>
    <mergeCell ref="L30:T30"/>
    <mergeCell ref="Z30:AH30"/>
    <mergeCell ref="AJ30:AL30"/>
    <mergeCell ref="AP30:AX30"/>
    <mergeCell ref="BF30:BG30"/>
    <mergeCell ref="BF27:BG27"/>
    <mergeCell ref="K28:T28"/>
    <mergeCell ref="Y28:AH28"/>
    <mergeCell ref="AJ28:AL28"/>
    <mergeCell ref="AO28:AX28"/>
    <mergeCell ref="BF28:BG28"/>
    <mergeCell ref="L25:T25"/>
    <mergeCell ref="Z25:AH25"/>
    <mergeCell ref="AJ25:AL25"/>
    <mergeCell ref="AP25:AX25"/>
    <mergeCell ref="BF25:BG25"/>
    <mergeCell ref="L26:T26"/>
    <mergeCell ref="Z26:AH26"/>
    <mergeCell ref="AJ26:AL26"/>
    <mergeCell ref="AP26:AX26"/>
    <mergeCell ref="BF26:BG26"/>
    <mergeCell ref="L23:T23"/>
    <mergeCell ref="Z23:AH23"/>
    <mergeCell ref="AJ23:AL23"/>
    <mergeCell ref="AP23:AX23"/>
    <mergeCell ref="BF23:BG23"/>
    <mergeCell ref="L24:T24"/>
    <mergeCell ref="Z24:AH24"/>
    <mergeCell ref="AJ24:AL24"/>
    <mergeCell ref="AP24:AX24"/>
    <mergeCell ref="BF24:BG24"/>
    <mergeCell ref="BF21:BG21"/>
    <mergeCell ref="L22:T22"/>
    <mergeCell ref="Z22:AH22"/>
    <mergeCell ref="AJ22:AL22"/>
    <mergeCell ref="AP22:AX22"/>
    <mergeCell ref="BF22:BG22"/>
    <mergeCell ref="L20:T20"/>
    <mergeCell ref="Z20:AH20"/>
    <mergeCell ref="AJ20:AL20"/>
    <mergeCell ref="AP20:AX20"/>
    <mergeCell ref="BF20:BG20"/>
    <mergeCell ref="A21:B21"/>
    <mergeCell ref="L21:T21"/>
    <mergeCell ref="Z21:AH21"/>
    <mergeCell ref="AJ21:AL21"/>
    <mergeCell ref="AP21:AX21"/>
    <mergeCell ref="L18:T18"/>
    <mergeCell ref="Z18:AH18"/>
    <mergeCell ref="AJ18:AL18"/>
    <mergeCell ref="AP18:AX18"/>
    <mergeCell ref="BF18:BG18"/>
    <mergeCell ref="L19:T19"/>
    <mergeCell ref="Z19:AH19"/>
    <mergeCell ref="AJ19:AL19"/>
    <mergeCell ref="AP19:AX19"/>
    <mergeCell ref="BF19:BG19"/>
    <mergeCell ref="BF16:BG16"/>
    <mergeCell ref="K17:T17"/>
    <mergeCell ref="Y17:AH17"/>
    <mergeCell ref="AJ17:AL17"/>
    <mergeCell ref="AO17:AX17"/>
    <mergeCell ref="BF17:BG17"/>
    <mergeCell ref="BS14:BS15"/>
    <mergeCell ref="A15:B15"/>
    <mergeCell ref="L15:T15"/>
    <mergeCell ref="Z15:AH15"/>
    <mergeCell ref="AJ15:AL15"/>
    <mergeCell ref="AP15:AX15"/>
    <mergeCell ref="BM14:BM15"/>
    <mergeCell ref="BN14:BN15"/>
    <mergeCell ref="BO14:BO15"/>
    <mergeCell ref="BP14:BP15"/>
    <mergeCell ref="BQ14:BQ15"/>
    <mergeCell ref="BR14:BR15"/>
    <mergeCell ref="BF14:BG15"/>
    <mergeCell ref="BH14:BH15"/>
    <mergeCell ref="BI14:BI15"/>
    <mergeCell ref="BJ14:BJ15"/>
    <mergeCell ref="BK14:BK15"/>
    <mergeCell ref="BL14:BL15"/>
    <mergeCell ref="E14:E15"/>
    <mergeCell ref="F14:F15"/>
    <mergeCell ref="K14:T14"/>
    <mergeCell ref="Y14:AH14"/>
    <mergeCell ref="AJ14:AL14"/>
    <mergeCell ref="AO14:AX14"/>
    <mergeCell ref="AR11:AY11"/>
    <mergeCell ref="BH11:BM12"/>
    <mergeCell ref="BN11:BS12"/>
    <mergeCell ref="K13:W13"/>
    <mergeCell ref="Y13:AM13"/>
    <mergeCell ref="AO13:BA13"/>
    <mergeCell ref="BF13:BG13"/>
    <mergeCell ref="K11:L11"/>
    <mergeCell ref="M11:W11"/>
    <mergeCell ref="Z11:AC11"/>
    <mergeCell ref="AD11:AE11"/>
    <mergeCell ref="AG11:AH11"/>
    <mergeCell ref="AO11:AQ11"/>
    <mergeCell ref="B8:C8"/>
    <mergeCell ref="D8:W8"/>
    <mergeCell ref="X8:BB8"/>
    <mergeCell ref="BG8:BU8"/>
    <mergeCell ref="B9:C9"/>
    <mergeCell ref="D9:W9"/>
    <mergeCell ref="X9:BB9"/>
    <mergeCell ref="BG9:BU9"/>
    <mergeCell ref="B6:C6"/>
    <mergeCell ref="D6:W6"/>
    <mergeCell ref="X6:BB6"/>
    <mergeCell ref="BG6:BU6"/>
    <mergeCell ref="B7:C7"/>
    <mergeCell ref="D7:W7"/>
    <mergeCell ref="X7:BB7"/>
    <mergeCell ref="BG7:BU7"/>
    <mergeCell ref="B4:C4"/>
    <mergeCell ref="D4:W4"/>
    <mergeCell ref="X4:BB4"/>
    <mergeCell ref="BG4:BU4"/>
    <mergeCell ref="B5:C5"/>
    <mergeCell ref="D5:W5"/>
    <mergeCell ref="X5:BB5"/>
    <mergeCell ref="BG5:BU5"/>
    <mergeCell ref="A2:C2"/>
    <mergeCell ref="D2:W2"/>
    <mergeCell ref="X2:BB2"/>
    <mergeCell ref="BF2:BU2"/>
    <mergeCell ref="B3:C3"/>
    <mergeCell ref="D3:W3"/>
    <mergeCell ref="X3:BB3"/>
    <mergeCell ref="BG3:BU3"/>
  </mergeCells>
  <conditionalFormatting sqref="T64">
    <cfRule type="expression" dxfId="305" priority="196">
      <formula>T63:Y63&gt;0</formula>
    </cfRule>
  </conditionalFormatting>
  <conditionalFormatting sqref="T66">
    <cfRule type="expression" dxfId="304" priority="195">
      <formula>T65:Y65&gt;0</formula>
    </cfRule>
  </conditionalFormatting>
  <conditionalFormatting sqref="T68">
    <cfRule type="expression" dxfId="303" priority="194">
      <formula>T67:Y67&gt;0</formula>
    </cfRule>
  </conditionalFormatting>
  <conditionalFormatting sqref="T70">
    <cfRule type="expression" dxfId="302" priority="193">
      <formula>T69:Y69&gt;0</formula>
    </cfRule>
  </conditionalFormatting>
  <conditionalFormatting sqref="T72">
    <cfRule type="expression" dxfId="301" priority="192">
      <formula>T71:Y71&gt;0</formula>
    </cfRule>
  </conditionalFormatting>
  <conditionalFormatting sqref="T74">
    <cfRule type="expression" dxfId="300" priority="188">
      <formula>T73:Y73&gt;0</formula>
    </cfRule>
  </conditionalFormatting>
  <conditionalFormatting sqref="T76">
    <cfRule type="expression" dxfId="299" priority="189">
      <formula>T75:Y75&gt;0</formula>
    </cfRule>
  </conditionalFormatting>
  <conditionalFormatting sqref="T78">
    <cfRule type="expression" dxfId="298" priority="191">
      <formula>T77:Y77&gt;0</formula>
    </cfRule>
  </conditionalFormatting>
  <conditionalFormatting sqref="T84">
    <cfRule type="expression" dxfId="297" priority="200">
      <formula>T83:Y83&gt;0</formula>
    </cfRule>
  </conditionalFormatting>
  <conditionalFormatting sqref="T86">
    <cfRule type="expression" dxfId="296" priority="190">
      <formula>T85:Y85&gt;0</formula>
    </cfRule>
  </conditionalFormatting>
  <conditionalFormatting sqref="T88">
    <cfRule type="expression" dxfId="295" priority="199">
      <formula>T87:Y87&gt;0</formula>
    </cfRule>
  </conditionalFormatting>
  <conditionalFormatting sqref="T90">
    <cfRule type="expression" dxfId="294" priority="187">
      <formula>T89:Y89&gt;0</formula>
    </cfRule>
  </conditionalFormatting>
  <conditionalFormatting sqref="T92">
    <cfRule type="expression" dxfId="293" priority="126">
      <formula>T91:Y91&gt;0</formula>
    </cfRule>
  </conditionalFormatting>
  <conditionalFormatting sqref="T94">
    <cfRule type="expression" dxfId="292" priority="186">
      <formula>T93:Y93&gt;0</formula>
    </cfRule>
  </conditionalFormatting>
  <conditionalFormatting sqref="T96">
    <cfRule type="expression" dxfId="291" priority="198">
      <formula>T95:Y95&gt;0</formula>
    </cfRule>
  </conditionalFormatting>
  <conditionalFormatting sqref="T98">
    <cfRule type="expression" dxfId="290" priority="197">
      <formula>T97:Y97&gt;0</formula>
    </cfRule>
  </conditionalFormatting>
  <conditionalFormatting sqref="T104">
    <cfRule type="expression" dxfId="289" priority="152">
      <formula>T103:Y103&gt;0</formula>
    </cfRule>
  </conditionalFormatting>
  <conditionalFormatting sqref="T106">
    <cfRule type="expression" dxfId="288" priority="148">
      <formula>T105:Y105&gt;0</formula>
    </cfRule>
  </conditionalFormatting>
  <conditionalFormatting sqref="T108">
    <cfRule type="expression" dxfId="287" priority="151">
      <formula>T107:Y107&gt;0</formula>
    </cfRule>
  </conditionalFormatting>
  <conditionalFormatting sqref="T110">
    <cfRule type="expression" dxfId="286" priority="147">
      <formula>T109:Y109&gt;0</formula>
    </cfRule>
  </conditionalFormatting>
  <conditionalFormatting sqref="T112">
    <cfRule type="expression" dxfId="285" priority="145">
      <formula>T111:Y111&gt;0</formula>
    </cfRule>
  </conditionalFormatting>
  <conditionalFormatting sqref="T114">
    <cfRule type="expression" dxfId="284" priority="146">
      <formula>T113:Y113&gt;0</formula>
    </cfRule>
  </conditionalFormatting>
  <conditionalFormatting sqref="T116">
    <cfRule type="expression" dxfId="283" priority="150">
      <formula>T115:Y115&gt;0</formula>
    </cfRule>
  </conditionalFormatting>
  <conditionalFormatting sqref="T118">
    <cfRule type="expression" dxfId="282" priority="149">
      <formula>T117:Y117&gt;0</formula>
    </cfRule>
  </conditionalFormatting>
  <conditionalFormatting sqref="T132">
    <cfRule type="expression" dxfId="281" priority="116">
      <formula>T131:Y131&gt;0</formula>
    </cfRule>
  </conditionalFormatting>
  <conditionalFormatting sqref="T134">
    <cfRule type="expression" dxfId="280" priority="115">
      <formula>T133:Y133&gt;0</formula>
    </cfRule>
  </conditionalFormatting>
  <conditionalFormatting sqref="T136">
    <cfRule type="expression" dxfId="279" priority="114">
      <formula>T135:Y135&gt;0</formula>
    </cfRule>
  </conditionalFormatting>
  <conditionalFormatting sqref="T138">
    <cfRule type="expression" dxfId="278" priority="113">
      <formula>T137:Y137&gt;0</formula>
    </cfRule>
  </conditionalFormatting>
  <conditionalFormatting sqref="T140">
    <cfRule type="expression" dxfId="277" priority="112">
      <formula>T139:Y139&gt;0</formula>
    </cfRule>
  </conditionalFormatting>
  <conditionalFormatting sqref="T142">
    <cfRule type="expression" dxfId="276" priority="108">
      <formula>T141:Y141&gt;0</formula>
    </cfRule>
  </conditionalFormatting>
  <conditionalFormatting sqref="T144">
    <cfRule type="expression" dxfId="275" priority="109">
      <formula>T143:Y143&gt;0</formula>
    </cfRule>
  </conditionalFormatting>
  <conditionalFormatting sqref="T146">
    <cfRule type="expression" dxfId="274" priority="111">
      <formula>T145:Y145&gt;0</formula>
    </cfRule>
  </conditionalFormatting>
  <conditionalFormatting sqref="T152">
    <cfRule type="expression" dxfId="273" priority="120">
      <formula>T151:Y151&gt;0</formula>
    </cfRule>
  </conditionalFormatting>
  <conditionalFormatting sqref="T154">
    <cfRule type="expression" dxfId="272" priority="110">
      <formula>T153:Y153&gt;0</formula>
    </cfRule>
  </conditionalFormatting>
  <conditionalFormatting sqref="T156">
    <cfRule type="expression" dxfId="271" priority="119">
      <formula>T155:Y155&gt;0</formula>
    </cfRule>
  </conditionalFormatting>
  <conditionalFormatting sqref="T158">
    <cfRule type="expression" dxfId="270" priority="107">
      <formula>T157:Y157&gt;0</formula>
    </cfRule>
  </conditionalFormatting>
  <conditionalFormatting sqref="T160">
    <cfRule type="expression" dxfId="269" priority="105">
      <formula>T159:Y159&gt;0</formula>
    </cfRule>
  </conditionalFormatting>
  <conditionalFormatting sqref="T162">
    <cfRule type="expression" dxfId="268" priority="106">
      <formula>T161:Y161&gt;0</formula>
    </cfRule>
  </conditionalFormatting>
  <conditionalFormatting sqref="T164">
    <cfRule type="expression" dxfId="267" priority="118">
      <formula>T163:Y163&gt;0</formula>
    </cfRule>
  </conditionalFormatting>
  <conditionalFormatting sqref="T166">
    <cfRule type="expression" dxfId="266" priority="117">
      <formula>T165:Y165&gt;0</formula>
    </cfRule>
  </conditionalFormatting>
  <conditionalFormatting sqref="T355">
    <cfRule type="cellIs" dxfId="265" priority="202" operator="lessThan">
      <formula>1</formula>
    </cfRule>
  </conditionalFormatting>
  <conditionalFormatting sqref="T356">
    <cfRule type="expression" dxfId="264" priority="201">
      <formula>T355:Y355&gt;0</formula>
    </cfRule>
  </conditionalFormatting>
  <conditionalFormatting sqref="T63:U63 T65:U65 T67:U67 T69:U69 T71:U71 T73:U73 T75:U75 T77:U77">
    <cfRule type="cellIs" dxfId="263" priority="125" operator="lessThan">
      <formula>1</formula>
    </cfRule>
  </conditionalFormatting>
  <conditionalFormatting sqref="T83:U83 T85:U85 T87:U87 T89:U89 T91:U91 T93:U93 T95:U95 T97:U97">
    <cfRule type="cellIs" dxfId="262" priority="3" operator="lessThan">
      <formula>1</formula>
    </cfRule>
  </conditionalFormatting>
  <conditionalFormatting sqref="T103:U103 T105:U105 T107:U107 T109:U109 T111:U111 T113:U113 T115:U115 T117:U117">
    <cfRule type="cellIs" dxfId="261" priority="2" operator="lessThan">
      <formula>1</formula>
    </cfRule>
  </conditionalFormatting>
  <conditionalFormatting sqref="T131:U131 T133:U133 T135:U135 T137:U137 T139:U139 T141:U141 T143:U143 T145:U145">
    <cfRule type="cellIs" dxfId="260" priority="104" operator="lessThan">
      <formula>1</formula>
    </cfRule>
  </conditionalFormatting>
  <conditionalFormatting sqref="T151:U151 T153:U153 T155:U155 T157:U157 T159:U159 T161:U161 T163:U163 T165:U165">
    <cfRule type="cellIs" dxfId="259" priority="1" operator="lessThan">
      <formula>1</formula>
    </cfRule>
  </conditionalFormatting>
  <conditionalFormatting sqref="AA63:AA78">
    <cfRule type="expression" dxfId="258" priority="237">
      <formula>AA62:AF62&gt;0</formula>
    </cfRule>
  </conditionalFormatting>
  <conditionalFormatting sqref="AA83:AA98">
    <cfRule type="expression" dxfId="257" priority="270">
      <formula>AA82:AF82&gt;0</formula>
    </cfRule>
  </conditionalFormatting>
  <conditionalFormatting sqref="AA103:AA118">
    <cfRule type="expression" dxfId="256" priority="127">
      <formula>AA102:AF102&gt;0</formula>
    </cfRule>
  </conditionalFormatting>
  <conditionalFormatting sqref="AA131:AA146">
    <cfRule type="expression" dxfId="255" priority="122">
      <formula>AA130:AF130&gt;0</formula>
    </cfRule>
  </conditionalFormatting>
  <conditionalFormatting sqref="AA151:AA166">
    <cfRule type="expression" dxfId="254" priority="123">
      <formula>AA150:AF150&gt;0</formula>
    </cfRule>
  </conditionalFormatting>
  <conditionalFormatting sqref="AC63:AJ63">
    <cfRule type="cellIs" dxfId="253" priority="253" operator="lessThan">
      <formula>1</formula>
    </cfRule>
  </conditionalFormatting>
  <conditionalFormatting sqref="AC64:AJ64">
    <cfRule type="expression" dxfId="252" priority="245">
      <formula>AC63:AH63&gt;0</formula>
    </cfRule>
  </conditionalFormatting>
  <conditionalFormatting sqref="AC65:AJ65">
    <cfRule type="cellIs" dxfId="251" priority="252" operator="lessThan">
      <formula>1</formula>
    </cfRule>
  </conditionalFormatting>
  <conditionalFormatting sqref="AC66:AJ66">
    <cfRule type="expression" dxfId="250" priority="244">
      <formula>AC65:AH65&gt;0</formula>
    </cfRule>
  </conditionalFormatting>
  <conditionalFormatting sqref="AC67:AJ67">
    <cfRule type="cellIs" dxfId="249" priority="251" operator="lessThan">
      <formula>1</formula>
    </cfRule>
  </conditionalFormatting>
  <conditionalFormatting sqref="AC68:AJ68">
    <cfRule type="expression" dxfId="248" priority="243">
      <formula>AC67:AH67&gt;0</formula>
    </cfRule>
  </conditionalFormatting>
  <conditionalFormatting sqref="AC69:AJ69">
    <cfRule type="cellIs" dxfId="247" priority="250" operator="lessThan">
      <formula>1</formula>
    </cfRule>
  </conditionalFormatting>
  <conditionalFormatting sqref="AC70:AJ70">
    <cfRule type="expression" dxfId="246" priority="242">
      <formula>AC69:AH69&gt;0</formula>
    </cfRule>
  </conditionalFormatting>
  <conditionalFormatting sqref="AC71:AJ71">
    <cfRule type="cellIs" dxfId="245" priority="249" operator="lessThan">
      <formula>1</formula>
    </cfRule>
  </conditionalFormatting>
  <conditionalFormatting sqref="AC72:AJ72">
    <cfRule type="expression" dxfId="244" priority="241">
      <formula>AC71:AH71&gt;0</formula>
    </cfRule>
  </conditionalFormatting>
  <conditionalFormatting sqref="AC73:AJ73">
    <cfRule type="cellIs" dxfId="243" priority="248" operator="lessThan">
      <formula>1</formula>
    </cfRule>
  </conditionalFormatting>
  <conditionalFormatting sqref="AC74:AJ74">
    <cfRule type="expression" dxfId="242" priority="240">
      <formula>AC73:AH73&gt;0</formula>
    </cfRule>
  </conditionalFormatting>
  <conditionalFormatting sqref="AC75:AJ75">
    <cfRule type="cellIs" dxfId="241" priority="247" operator="lessThan">
      <formula>1</formula>
    </cfRule>
  </conditionalFormatting>
  <conditionalFormatting sqref="AC76:AJ76">
    <cfRule type="expression" dxfId="240" priority="239">
      <formula>AC75:AH75&gt;0</formula>
    </cfRule>
  </conditionalFormatting>
  <conditionalFormatting sqref="AC77:AJ77">
    <cfRule type="cellIs" dxfId="239" priority="246" operator="lessThan">
      <formula>1</formula>
    </cfRule>
  </conditionalFormatting>
  <conditionalFormatting sqref="AC78:AJ78">
    <cfRule type="expression" dxfId="238" priority="238">
      <formula>AC77:AH77&gt;0</formula>
    </cfRule>
  </conditionalFormatting>
  <conditionalFormatting sqref="AC83:AJ83">
    <cfRule type="cellIs" dxfId="237" priority="286" operator="lessThan">
      <formula>1</formula>
    </cfRule>
  </conditionalFormatting>
  <conditionalFormatting sqref="AC84:AJ84">
    <cfRule type="expression" dxfId="236" priority="278">
      <formula>AC83:AH83&gt;0</formula>
    </cfRule>
  </conditionalFormatting>
  <conditionalFormatting sqref="AC85:AJ85">
    <cfRule type="cellIs" dxfId="235" priority="285" operator="lessThan">
      <formula>1</formula>
    </cfRule>
  </conditionalFormatting>
  <conditionalFormatting sqref="AC86:AJ86">
    <cfRule type="expression" dxfId="234" priority="277">
      <formula>AC85:AH85&gt;0</formula>
    </cfRule>
  </conditionalFormatting>
  <conditionalFormatting sqref="AC87:AJ87">
    <cfRule type="cellIs" dxfId="233" priority="284" operator="lessThan">
      <formula>1</formula>
    </cfRule>
  </conditionalFormatting>
  <conditionalFormatting sqref="AC88:AJ88">
    <cfRule type="expression" dxfId="232" priority="276">
      <formula>AC87:AH87&gt;0</formula>
    </cfRule>
  </conditionalFormatting>
  <conditionalFormatting sqref="AC89:AJ89">
    <cfRule type="cellIs" dxfId="231" priority="283" operator="lessThan">
      <formula>1</formula>
    </cfRule>
  </conditionalFormatting>
  <conditionalFormatting sqref="AC90:AJ90">
    <cfRule type="expression" dxfId="230" priority="275">
      <formula>AC89:AH89&gt;0</formula>
    </cfRule>
  </conditionalFormatting>
  <conditionalFormatting sqref="AC91:AJ91">
    <cfRule type="cellIs" dxfId="229" priority="282" operator="lessThan">
      <formula>1</formula>
    </cfRule>
  </conditionalFormatting>
  <conditionalFormatting sqref="AC92:AJ92">
    <cfRule type="expression" dxfId="228" priority="274">
      <formula>AC91:AH91&gt;0</formula>
    </cfRule>
  </conditionalFormatting>
  <conditionalFormatting sqref="AC93:AJ93">
    <cfRule type="cellIs" dxfId="227" priority="281" operator="lessThan">
      <formula>1</formula>
    </cfRule>
  </conditionalFormatting>
  <conditionalFormatting sqref="AC94:AJ94">
    <cfRule type="expression" dxfId="226" priority="273">
      <formula>AC93:AH93&gt;0</formula>
    </cfRule>
  </conditionalFormatting>
  <conditionalFormatting sqref="AC95:AJ95">
    <cfRule type="cellIs" dxfId="225" priority="280" operator="lessThan">
      <formula>1</formula>
    </cfRule>
  </conditionalFormatting>
  <conditionalFormatting sqref="AC96:AJ96">
    <cfRule type="expression" dxfId="224" priority="272">
      <formula>AC95:AH95&gt;0</formula>
    </cfRule>
  </conditionalFormatting>
  <conditionalFormatting sqref="AC97:AJ97">
    <cfRule type="cellIs" dxfId="223" priority="279" operator="lessThan">
      <formula>1</formula>
    </cfRule>
  </conditionalFormatting>
  <conditionalFormatting sqref="AC98:AJ98">
    <cfRule type="expression" dxfId="222" priority="271">
      <formula>AC97:AH97&gt;0</formula>
    </cfRule>
  </conditionalFormatting>
  <conditionalFormatting sqref="AC103:AJ103">
    <cfRule type="cellIs" dxfId="221" priority="143" operator="lessThan">
      <formula>1</formula>
    </cfRule>
  </conditionalFormatting>
  <conditionalFormatting sqref="AC104:AJ104">
    <cfRule type="expression" dxfId="220" priority="135">
      <formula>AC103:AH103&gt;0</formula>
    </cfRule>
  </conditionalFormatting>
  <conditionalFormatting sqref="AC105:AJ105">
    <cfRule type="cellIs" dxfId="219" priority="142" operator="lessThan">
      <formula>1</formula>
    </cfRule>
  </conditionalFormatting>
  <conditionalFormatting sqref="AC106:AJ106">
    <cfRule type="expression" dxfId="218" priority="134">
      <formula>AC105:AH105&gt;0</formula>
    </cfRule>
  </conditionalFormatting>
  <conditionalFormatting sqref="AC107:AJ107">
    <cfRule type="cellIs" dxfId="217" priority="141" operator="lessThan">
      <formula>1</formula>
    </cfRule>
  </conditionalFormatting>
  <conditionalFormatting sqref="AC108:AJ108">
    <cfRule type="expression" dxfId="216" priority="133">
      <formula>AC107:AH107&gt;0</formula>
    </cfRule>
  </conditionalFormatting>
  <conditionalFormatting sqref="AC109:AJ109">
    <cfRule type="cellIs" dxfId="215" priority="140" operator="lessThan">
      <formula>1</formula>
    </cfRule>
  </conditionalFormatting>
  <conditionalFormatting sqref="AC110:AJ110">
    <cfRule type="expression" dxfId="214" priority="132">
      <formula>AC109:AH109&gt;0</formula>
    </cfRule>
  </conditionalFormatting>
  <conditionalFormatting sqref="AC111:AJ111">
    <cfRule type="cellIs" dxfId="213" priority="139" operator="lessThan">
      <formula>1</formula>
    </cfRule>
  </conditionalFormatting>
  <conditionalFormatting sqref="AC112:AJ112">
    <cfRule type="expression" dxfId="212" priority="131">
      <formula>AC111:AH111&gt;0</formula>
    </cfRule>
  </conditionalFormatting>
  <conditionalFormatting sqref="AC113:AJ113">
    <cfRule type="cellIs" dxfId="211" priority="138" operator="lessThan">
      <formula>1</formula>
    </cfRule>
  </conditionalFormatting>
  <conditionalFormatting sqref="AC114:AJ114">
    <cfRule type="expression" dxfId="210" priority="130">
      <formula>AC113:AH113&gt;0</formula>
    </cfRule>
  </conditionalFormatting>
  <conditionalFormatting sqref="AC115:AJ115">
    <cfRule type="cellIs" dxfId="209" priority="137" operator="lessThan">
      <formula>1</formula>
    </cfRule>
  </conditionalFormatting>
  <conditionalFormatting sqref="AC116:AJ116">
    <cfRule type="expression" dxfId="208" priority="129">
      <formula>AC115:AH115&gt;0</formula>
    </cfRule>
  </conditionalFormatting>
  <conditionalFormatting sqref="AC117:AJ117">
    <cfRule type="cellIs" dxfId="207" priority="136" operator="lessThan">
      <formula>1</formula>
    </cfRule>
  </conditionalFormatting>
  <conditionalFormatting sqref="AC118:AJ118">
    <cfRule type="expression" dxfId="206" priority="128">
      <formula>AC117:AH117&gt;0</formula>
    </cfRule>
  </conditionalFormatting>
  <conditionalFormatting sqref="AC131:AJ131">
    <cfRule type="cellIs" dxfId="205" priority="69" operator="lessThan">
      <formula>1</formula>
    </cfRule>
  </conditionalFormatting>
  <conditionalFormatting sqref="AC132:AJ132">
    <cfRule type="expression" dxfId="204" priority="61">
      <formula>AC131:AH131&gt;0</formula>
    </cfRule>
  </conditionalFormatting>
  <conditionalFormatting sqref="AC133:AJ133">
    <cfRule type="cellIs" dxfId="203" priority="68" operator="lessThan">
      <formula>1</formula>
    </cfRule>
  </conditionalFormatting>
  <conditionalFormatting sqref="AC134:AJ134">
    <cfRule type="expression" dxfId="202" priority="60">
      <formula>AC133:AH133&gt;0</formula>
    </cfRule>
  </conditionalFormatting>
  <conditionalFormatting sqref="AC135:AJ135">
    <cfRule type="cellIs" dxfId="201" priority="67" operator="lessThan">
      <formula>1</formula>
    </cfRule>
  </conditionalFormatting>
  <conditionalFormatting sqref="AC136:AJ136">
    <cfRule type="expression" dxfId="200" priority="59">
      <formula>AC135:AH135&gt;0</formula>
    </cfRule>
  </conditionalFormatting>
  <conditionalFormatting sqref="AC137:AJ137">
    <cfRule type="cellIs" dxfId="199" priority="66" operator="lessThan">
      <formula>1</formula>
    </cfRule>
  </conditionalFormatting>
  <conditionalFormatting sqref="AC138:AJ138">
    <cfRule type="expression" dxfId="198" priority="58">
      <formula>AC137:AH137&gt;0</formula>
    </cfRule>
  </conditionalFormatting>
  <conditionalFormatting sqref="AC139:AJ139">
    <cfRule type="cellIs" dxfId="197" priority="65" operator="lessThan">
      <formula>1</formula>
    </cfRule>
  </conditionalFormatting>
  <conditionalFormatting sqref="AC140:AJ140">
    <cfRule type="expression" dxfId="196" priority="57">
      <formula>AC139:AH139&gt;0</formula>
    </cfRule>
  </conditionalFormatting>
  <conditionalFormatting sqref="AC141:AJ141">
    <cfRule type="cellIs" dxfId="195" priority="64" operator="lessThan">
      <formula>1</formula>
    </cfRule>
  </conditionalFormatting>
  <conditionalFormatting sqref="AC142:AJ142">
    <cfRule type="expression" dxfId="194" priority="56">
      <formula>AC141:AH141&gt;0</formula>
    </cfRule>
  </conditionalFormatting>
  <conditionalFormatting sqref="AC143:AJ143">
    <cfRule type="cellIs" dxfId="193" priority="63" operator="lessThan">
      <formula>1</formula>
    </cfRule>
  </conditionalFormatting>
  <conditionalFormatting sqref="AC144:AJ144">
    <cfRule type="expression" dxfId="192" priority="55">
      <formula>AC143:AH143&gt;0</formula>
    </cfRule>
  </conditionalFormatting>
  <conditionalFormatting sqref="AC145:AJ145">
    <cfRule type="cellIs" dxfId="191" priority="62" operator="lessThan">
      <formula>1</formula>
    </cfRule>
  </conditionalFormatting>
  <conditionalFormatting sqref="AC146:AJ146">
    <cfRule type="expression" dxfId="190" priority="54">
      <formula>AC145:AH145&gt;0</formula>
    </cfRule>
  </conditionalFormatting>
  <conditionalFormatting sqref="AC151:AJ151">
    <cfRule type="cellIs" dxfId="189" priority="19" operator="lessThan">
      <formula>1</formula>
    </cfRule>
  </conditionalFormatting>
  <conditionalFormatting sqref="AC152:AJ152">
    <cfRule type="expression" dxfId="188" priority="11">
      <formula>AC151:AH151&gt;0</formula>
    </cfRule>
  </conditionalFormatting>
  <conditionalFormatting sqref="AC153:AJ153">
    <cfRule type="cellIs" dxfId="187" priority="18" operator="lessThan">
      <formula>1</formula>
    </cfRule>
  </conditionalFormatting>
  <conditionalFormatting sqref="AC154:AJ154">
    <cfRule type="expression" dxfId="186" priority="10">
      <formula>AC153:AH153&gt;0</formula>
    </cfRule>
  </conditionalFormatting>
  <conditionalFormatting sqref="AC155:AJ155">
    <cfRule type="cellIs" dxfId="185" priority="17" operator="lessThan">
      <formula>1</formula>
    </cfRule>
  </conditionalFormatting>
  <conditionalFormatting sqref="AC156:AJ156">
    <cfRule type="expression" dxfId="184" priority="9">
      <formula>AC155:AH155&gt;0</formula>
    </cfRule>
  </conditionalFormatting>
  <conditionalFormatting sqref="AC157:AJ157">
    <cfRule type="cellIs" dxfId="183" priority="16" operator="lessThan">
      <formula>1</formula>
    </cfRule>
  </conditionalFormatting>
  <conditionalFormatting sqref="AC158:AJ158">
    <cfRule type="expression" dxfId="182" priority="8">
      <formula>AC157:AH157&gt;0</formula>
    </cfRule>
  </conditionalFormatting>
  <conditionalFormatting sqref="AC159:AJ159">
    <cfRule type="cellIs" dxfId="181" priority="15" operator="lessThan">
      <formula>1</formula>
    </cfRule>
  </conditionalFormatting>
  <conditionalFormatting sqref="AC160:AJ160">
    <cfRule type="expression" dxfId="180" priority="7">
      <formula>AC159:AH159&gt;0</formula>
    </cfRule>
  </conditionalFormatting>
  <conditionalFormatting sqref="AC161:AJ161">
    <cfRule type="cellIs" dxfId="179" priority="14" operator="lessThan">
      <formula>1</formula>
    </cfRule>
  </conditionalFormatting>
  <conditionalFormatting sqref="AC162:AJ162">
    <cfRule type="expression" dxfId="178" priority="6">
      <formula>AC161:AH161&gt;0</formula>
    </cfRule>
  </conditionalFormatting>
  <conditionalFormatting sqref="AC163:AJ163">
    <cfRule type="cellIs" dxfId="177" priority="13" operator="lessThan">
      <formula>1</formula>
    </cfRule>
  </conditionalFormatting>
  <conditionalFormatting sqref="AC164:AJ164">
    <cfRule type="expression" dxfId="176" priority="5">
      <formula>AC163:AH163&gt;0</formula>
    </cfRule>
  </conditionalFormatting>
  <conditionalFormatting sqref="AC165:AJ165">
    <cfRule type="cellIs" dxfId="175" priority="12" operator="lessThan">
      <formula>1</formula>
    </cfRule>
  </conditionalFormatting>
  <conditionalFormatting sqref="AC166:AJ166">
    <cfRule type="expression" dxfId="174" priority="4">
      <formula>AC165:AH165&gt;0</formula>
    </cfRule>
  </conditionalFormatting>
  <conditionalFormatting sqref="AL64">
    <cfRule type="expression" dxfId="173" priority="261">
      <formula>AL63:AQ63&gt;0</formula>
    </cfRule>
  </conditionalFormatting>
  <conditionalFormatting sqref="AL66">
    <cfRule type="expression" dxfId="172" priority="260">
      <formula>AL65:AQ65&gt;0</formula>
    </cfRule>
  </conditionalFormatting>
  <conditionalFormatting sqref="AL68">
    <cfRule type="expression" dxfId="171" priority="259">
      <formula>AL67:AQ67&gt;0</formula>
    </cfRule>
  </conditionalFormatting>
  <conditionalFormatting sqref="AL70">
    <cfRule type="expression" dxfId="170" priority="258">
      <formula>AL69:AQ69&gt;0</formula>
    </cfRule>
  </conditionalFormatting>
  <conditionalFormatting sqref="AL72">
    <cfRule type="expression" dxfId="169" priority="257">
      <formula>AL71:AQ71&gt;0</formula>
    </cfRule>
  </conditionalFormatting>
  <conditionalFormatting sqref="AL74">
    <cfRule type="expression" dxfId="168" priority="256">
      <formula>AL73:AQ73&gt;0</formula>
    </cfRule>
  </conditionalFormatting>
  <conditionalFormatting sqref="AL76">
    <cfRule type="expression" dxfId="167" priority="255">
      <formula>AL75:AQ75&gt;0</formula>
    </cfRule>
  </conditionalFormatting>
  <conditionalFormatting sqref="AL78">
    <cfRule type="expression" dxfId="166" priority="254">
      <formula>AL77:AQ77&gt;0</formula>
    </cfRule>
  </conditionalFormatting>
  <conditionalFormatting sqref="AL84">
    <cfRule type="expression" dxfId="165" priority="294">
      <formula>AL83:AQ83&gt;0</formula>
    </cfRule>
  </conditionalFormatting>
  <conditionalFormatting sqref="AL86">
    <cfRule type="expression" dxfId="164" priority="293">
      <formula>AL85:AQ85&gt;0</formula>
    </cfRule>
  </conditionalFormatting>
  <conditionalFormatting sqref="AL88">
    <cfRule type="expression" dxfId="163" priority="292">
      <formula>AL87:AQ87&gt;0</formula>
    </cfRule>
  </conditionalFormatting>
  <conditionalFormatting sqref="AL90">
    <cfRule type="expression" dxfId="162" priority="291">
      <formula>AL89:AQ89&gt;0</formula>
    </cfRule>
  </conditionalFormatting>
  <conditionalFormatting sqref="AL92">
    <cfRule type="expression" dxfId="161" priority="290">
      <formula>AL91:AQ91&gt;0</formula>
    </cfRule>
  </conditionalFormatting>
  <conditionalFormatting sqref="AL94">
    <cfRule type="expression" dxfId="160" priority="289">
      <formula>AL93:AQ93&gt;0</formula>
    </cfRule>
  </conditionalFormatting>
  <conditionalFormatting sqref="AL96">
    <cfRule type="expression" dxfId="159" priority="288">
      <formula>AL95:AQ95&gt;0</formula>
    </cfRule>
  </conditionalFormatting>
  <conditionalFormatting sqref="AL98">
    <cfRule type="expression" dxfId="158" priority="287">
      <formula>AL97:AQ97&gt;0</formula>
    </cfRule>
  </conditionalFormatting>
  <conditionalFormatting sqref="AL104">
    <cfRule type="expression" dxfId="157" priority="176">
      <formula>AL103:AQ103&gt;0</formula>
    </cfRule>
  </conditionalFormatting>
  <conditionalFormatting sqref="AL106">
    <cfRule type="expression" dxfId="156" priority="175">
      <formula>AL105:AQ105&gt;0</formula>
    </cfRule>
  </conditionalFormatting>
  <conditionalFormatting sqref="AL108">
    <cfRule type="expression" dxfId="155" priority="174">
      <formula>AL107:AQ107&gt;0</formula>
    </cfRule>
  </conditionalFormatting>
  <conditionalFormatting sqref="AL110">
    <cfRule type="expression" dxfId="154" priority="173">
      <formula>AL109:AQ109&gt;0</formula>
    </cfRule>
  </conditionalFormatting>
  <conditionalFormatting sqref="AL112">
    <cfRule type="expression" dxfId="153" priority="172">
      <formula>AL111:AQ111&gt;0</formula>
    </cfRule>
  </conditionalFormatting>
  <conditionalFormatting sqref="AL114">
    <cfRule type="expression" dxfId="152" priority="171">
      <formula>AL113:AQ113&gt;0</formula>
    </cfRule>
  </conditionalFormatting>
  <conditionalFormatting sqref="AL116">
    <cfRule type="expression" dxfId="151" priority="170">
      <formula>AL115:AQ115&gt;0</formula>
    </cfRule>
  </conditionalFormatting>
  <conditionalFormatting sqref="AL118">
    <cfRule type="expression" dxfId="150" priority="169">
      <formula>AL117:AQ117&gt;0</formula>
    </cfRule>
  </conditionalFormatting>
  <conditionalFormatting sqref="AL132">
    <cfRule type="expression" dxfId="149" priority="93">
      <formula>AL131:AQ131&gt;0</formula>
    </cfRule>
  </conditionalFormatting>
  <conditionalFormatting sqref="AL134">
    <cfRule type="expression" dxfId="148" priority="92">
      <formula>AL133:AQ133&gt;0</formula>
    </cfRule>
  </conditionalFormatting>
  <conditionalFormatting sqref="AL136">
    <cfRule type="expression" dxfId="147" priority="91">
      <formula>AL135:AQ135&gt;0</formula>
    </cfRule>
  </conditionalFormatting>
  <conditionalFormatting sqref="AL138">
    <cfRule type="expression" dxfId="146" priority="90">
      <formula>AL137:AQ137&gt;0</formula>
    </cfRule>
  </conditionalFormatting>
  <conditionalFormatting sqref="AL140">
    <cfRule type="expression" dxfId="145" priority="89">
      <formula>AL139:AQ139&gt;0</formula>
    </cfRule>
  </conditionalFormatting>
  <conditionalFormatting sqref="AL142">
    <cfRule type="expression" dxfId="144" priority="88">
      <formula>AL141:AQ141&gt;0</formula>
    </cfRule>
  </conditionalFormatting>
  <conditionalFormatting sqref="AL144">
    <cfRule type="expression" dxfId="143" priority="87">
      <formula>AL143:AQ143&gt;0</formula>
    </cfRule>
  </conditionalFormatting>
  <conditionalFormatting sqref="AL146">
    <cfRule type="expression" dxfId="142" priority="86">
      <formula>AL145:AQ145&gt;0</formula>
    </cfRule>
  </conditionalFormatting>
  <conditionalFormatting sqref="AL152">
    <cfRule type="expression" dxfId="141" priority="43">
      <formula>AL151:AQ151&gt;0</formula>
    </cfRule>
  </conditionalFormatting>
  <conditionalFormatting sqref="AL154">
    <cfRule type="expression" dxfId="140" priority="42">
      <formula>AL153:AQ153&gt;0</formula>
    </cfRule>
  </conditionalFormatting>
  <conditionalFormatting sqref="AL156">
    <cfRule type="expression" dxfId="139" priority="41">
      <formula>AL155:AQ155&gt;0</formula>
    </cfRule>
  </conditionalFormatting>
  <conditionalFormatting sqref="AL158">
    <cfRule type="expression" dxfId="138" priority="40">
      <formula>AL157:AQ157&gt;0</formula>
    </cfRule>
  </conditionalFormatting>
  <conditionalFormatting sqref="AL160">
    <cfRule type="expression" dxfId="137" priority="39">
      <formula>AL159:AQ159&gt;0</formula>
    </cfRule>
  </conditionalFormatting>
  <conditionalFormatting sqref="AL162">
    <cfRule type="expression" dxfId="136" priority="38">
      <formula>AL161:AQ161&gt;0</formula>
    </cfRule>
  </conditionalFormatting>
  <conditionalFormatting sqref="AL164">
    <cfRule type="expression" dxfId="135" priority="37">
      <formula>AL163:AQ163&gt;0</formula>
    </cfRule>
  </conditionalFormatting>
  <conditionalFormatting sqref="AL166">
    <cfRule type="expression" dxfId="134" priority="36">
      <formula>AL165:AQ165&gt;0</formula>
    </cfRule>
  </conditionalFormatting>
  <conditionalFormatting sqref="AL63:AS63">
    <cfRule type="cellIs" dxfId="133" priority="269" operator="lessThan">
      <formula>1</formula>
    </cfRule>
  </conditionalFormatting>
  <conditionalFormatting sqref="AL65:AS65">
    <cfRule type="cellIs" dxfId="132" priority="268" operator="lessThan">
      <formula>1</formula>
    </cfRule>
  </conditionalFormatting>
  <conditionalFormatting sqref="AL67:AS67">
    <cfRule type="cellIs" dxfId="131" priority="267" operator="lessThan">
      <formula>1</formula>
    </cfRule>
  </conditionalFormatting>
  <conditionalFormatting sqref="AL69:AS69">
    <cfRule type="cellIs" dxfId="130" priority="266" operator="lessThan">
      <formula>1</formula>
    </cfRule>
  </conditionalFormatting>
  <conditionalFormatting sqref="AL71:AS71">
    <cfRule type="cellIs" dxfId="129" priority="265" operator="lessThan">
      <formula>1</formula>
    </cfRule>
  </conditionalFormatting>
  <conditionalFormatting sqref="AL73:AS73">
    <cfRule type="cellIs" dxfId="128" priority="264" operator="lessThan">
      <formula>1</formula>
    </cfRule>
  </conditionalFormatting>
  <conditionalFormatting sqref="AL75:AS75">
    <cfRule type="cellIs" dxfId="127" priority="263" operator="lessThan">
      <formula>1</formula>
    </cfRule>
  </conditionalFormatting>
  <conditionalFormatting sqref="AL77:AS77">
    <cfRule type="cellIs" dxfId="126" priority="262" operator="lessThan">
      <formula>1</formula>
    </cfRule>
  </conditionalFormatting>
  <conditionalFormatting sqref="AL83:AS83">
    <cfRule type="cellIs" dxfId="125" priority="302" operator="lessThan">
      <formula>1</formula>
    </cfRule>
  </conditionalFormatting>
  <conditionalFormatting sqref="AL85:AS85">
    <cfRule type="cellIs" dxfId="124" priority="301" operator="lessThan">
      <formula>1</formula>
    </cfRule>
  </conditionalFormatting>
  <conditionalFormatting sqref="AL87:AS87">
    <cfRule type="cellIs" dxfId="123" priority="300" operator="lessThan">
      <formula>1</formula>
    </cfRule>
  </conditionalFormatting>
  <conditionalFormatting sqref="AL89:AS89">
    <cfRule type="cellIs" dxfId="122" priority="299" operator="lessThan">
      <formula>1</formula>
    </cfRule>
  </conditionalFormatting>
  <conditionalFormatting sqref="AL91:AS91">
    <cfRule type="cellIs" dxfId="121" priority="298" operator="lessThan">
      <formula>1</formula>
    </cfRule>
  </conditionalFormatting>
  <conditionalFormatting sqref="AL93:AS93">
    <cfRule type="cellIs" dxfId="120" priority="297" operator="lessThan">
      <formula>1</formula>
    </cfRule>
  </conditionalFormatting>
  <conditionalFormatting sqref="AL95:AS95">
    <cfRule type="cellIs" dxfId="119" priority="296" operator="lessThan">
      <formula>1</formula>
    </cfRule>
  </conditionalFormatting>
  <conditionalFormatting sqref="AL97:AS97">
    <cfRule type="cellIs" dxfId="118" priority="295" operator="lessThan">
      <formula>1</formula>
    </cfRule>
  </conditionalFormatting>
  <conditionalFormatting sqref="AL103:AS103">
    <cfRule type="cellIs" dxfId="117" priority="184" operator="lessThan">
      <formula>1</formula>
    </cfRule>
  </conditionalFormatting>
  <conditionalFormatting sqref="AL105:AS105">
    <cfRule type="cellIs" dxfId="116" priority="183" operator="lessThan">
      <formula>1</formula>
    </cfRule>
  </conditionalFormatting>
  <conditionalFormatting sqref="AL107:AS107">
    <cfRule type="cellIs" dxfId="115" priority="182" operator="lessThan">
      <formula>1</formula>
    </cfRule>
  </conditionalFormatting>
  <conditionalFormatting sqref="AL109:AS109">
    <cfRule type="cellIs" dxfId="114" priority="181" operator="lessThan">
      <formula>1</formula>
    </cfRule>
  </conditionalFormatting>
  <conditionalFormatting sqref="AL111:AS111">
    <cfRule type="cellIs" dxfId="113" priority="180" operator="lessThan">
      <formula>1</formula>
    </cfRule>
  </conditionalFormatting>
  <conditionalFormatting sqref="AL113:AS113">
    <cfRule type="cellIs" dxfId="112" priority="179" operator="lessThan">
      <formula>1</formula>
    </cfRule>
  </conditionalFormatting>
  <conditionalFormatting sqref="AL115:AS115">
    <cfRule type="cellIs" dxfId="111" priority="178" operator="lessThan">
      <formula>1</formula>
    </cfRule>
  </conditionalFormatting>
  <conditionalFormatting sqref="AL117:AS117">
    <cfRule type="cellIs" dxfId="110" priority="177" operator="lessThan">
      <formula>1</formula>
    </cfRule>
  </conditionalFormatting>
  <conditionalFormatting sqref="AL131:AS131">
    <cfRule type="cellIs" dxfId="109" priority="101" operator="lessThan">
      <formula>1</formula>
    </cfRule>
  </conditionalFormatting>
  <conditionalFormatting sqref="AL133:AS133">
    <cfRule type="cellIs" dxfId="108" priority="100" operator="lessThan">
      <formula>1</formula>
    </cfRule>
  </conditionalFormatting>
  <conditionalFormatting sqref="AL135:AS135">
    <cfRule type="cellIs" dxfId="107" priority="99" operator="lessThan">
      <formula>1</formula>
    </cfRule>
  </conditionalFormatting>
  <conditionalFormatting sqref="AL137:AS137">
    <cfRule type="cellIs" dxfId="106" priority="98" operator="lessThan">
      <formula>1</formula>
    </cfRule>
  </conditionalFormatting>
  <conditionalFormatting sqref="AL139:AS139">
    <cfRule type="cellIs" dxfId="105" priority="97" operator="lessThan">
      <formula>1</formula>
    </cfRule>
  </conditionalFormatting>
  <conditionalFormatting sqref="AL141:AS141">
    <cfRule type="cellIs" dxfId="104" priority="96" operator="lessThan">
      <formula>1</formula>
    </cfRule>
  </conditionalFormatting>
  <conditionalFormatting sqref="AL143:AS143">
    <cfRule type="cellIs" dxfId="103" priority="95" operator="lessThan">
      <formula>1</formula>
    </cfRule>
  </conditionalFormatting>
  <conditionalFormatting sqref="AL145:AS145">
    <cfRule type="cellIs" dxfId="102" priority="94" operator="lessThan">
      <formula>1</formula>
    </cfRule>
  </conditionalFormatting>
  <conditionalFormatting sqref="AL151:AS151">
    <cfRule type="cellIs" dxfId="101" priority="51" operator="lessThan">
      <formula>1</formula>
    </cfRule>
  </conditionalFormatting>
  <conditionalFormatting sqref="AL153:AS153">
    <cfRule type="cellIs" dxfId="100" priority="50" operator="lessThan">
      <formula>1</formula>
    </cfRule>
  </conditionalFormatting>
  <conditionalFormatting sqref="AL155:AS155">
    <cfRule type="cellIs" dxfId="99" priority="49" operator="lessThan">
      <formula>1</formula>
    </cfRule>
  </conditionalFormatting>
  <conditionalFormatting sqref="AL157:AS157">
    <cfRule type="cellIs" dxfId="98" priority="48" operator="lessThan">
      <formula>1</formula>
    </cfRule>
  </conditionalFormatting>
  <conditionalFormatting sqref="AL159:AS159">
    <cfRule type="cellIs" dxfId="97" priority="47" operator="lessThan">
      <formula>1</formula>
    </cfRule>
  </conditionalFormatting>
  <conditionalFormatting sqref="AL161:AS161">
    <cfRule type="cellIs" dxfId="96" priority="46" operator="lessThan">
      <formula>1</formula>
    </cfRule>
  </conditionalFormatting>
  <conditionalFormatting sqref="AL163:AS163">
    <cfRule type="cellIs" dxfId="95" priority="45" operator="lessThan">
      <formula>1</formula>
    </cfRule>
  </conditionalFormatting>
  <conditionalFormatting sqref="AL165:AS165">
    <cfRule type="cellIs" dxfId="94" priority="44" operator="lessThan">
      <formula>1</formula>
    </cfRule>
  </conditionalFormatting>
  <conditionalFormatting sqref="AM64:AN64 AM66:AN66 AM68:AN68 AM70:AN70 AM72:AN72 AM74:AN74 AM76:AN76 AM78:AN78 AM98:AN98 AM104:AN104 AM106:AN106 AM108:AN108 AM110:AN110 AM112:AN112 AM114:AN114 AM116:AN116 AM118:AN118">
    <cfRule type="expression" dxfId="93" priority="306">
      <formula>AM63:BE63&gt;0</formula>
    </cfRule>
  </conditionalFormatting>
  <conditionalFormatting sqref="AM132:AN132 AM134:AN134 AM136:AN136 AM138:AN138 AM140:AN140 AM142:AN142 AM144:AN144 AM146:AN146">
    <cfRule type="expression" dxfId="92" priority="103">
      <formula>AM131:BE131&gt;0</formula>
    </cfRule>
  </conditionalFormatting>
  <conditionalFormatting sqref="AM152:AN152 AM154:AN154 AM156:AN156 AM158:AN158 AM160:AN160 AM162:AN162 AM164:AN164 AM166:AN166">
    <cfRule type="expression" dxfId="91" priority="53">
      <formula>AM151:BE151&gt;0</formula>
    </cfRule>
  </conditionalFormatting>
  <conditionalFormatting sqref="AO64:AS64 AV64:BA64 AO66:AS66 AV66:BA66 AO68:AS68 AV68:BA68 AO70:AS70 AV70:BA70 AO72:AS72 AV72:BA72 AO74:AS74 AV74:BA74 AO76:AS76 AV76:BA76 AO78:AS78 AV78:BA78 AM84:AS84 AV84:BA84 AM86:AS86 AV86:BA86 AM88:AS88 AV88:BA88 AM90:AS90 AV90:BA90 AM92:AS92 AV92:BA92 AM94:AS94 AV94:BA94 AM96:AS96 AV96:BA96 AO98:AS98 AV98:BA98 AO104:AS104 AV104:BA104 AO106:AS106 AV106:BA106 AO108:AS108 AV108:BA108 AO110:AS110 AV110:BA110 AO112:AS112 AV112:BA112 AO114:AS114 AV114:BA114 AO116:AS116 AV116:BA116 AO118:AS118 AV118:BA118">
    <cfRule type="expression" dxfId="90" priority="305">
      <formula>AM63:BD63&gt;0</formula>
    </cfRule>
  </conditionalFormatting>
  <conditionalFormatting sqref="AO132:AS132 AV132:BA132 AO134:AS134 AV134:BA134 AO136:AS136 AV136:BA136 AO138:AS138 AV138:BA138 AO140:AS140 AV140:BA140 AO142:AS142 AV142:BA142 AO144:AS144 AV144:BA144 AO146:AS146 AV146:BA146">
    <cfRule type="expression" dxfId="89" priority="102">
      <formula>AO131:BF131&gt;0</formula>
    </cfRule>
  </conditionalFormatting>
  <conditionalFormatting sqref="AO152:AS152 AV152:BA152 AO154:AS154 AV154:BA154 AO156:AS156 AV156:BA156 AO158:AS158 AV158:BA158 AO160:AS160 AV160:BA160 AO162:AS162 AV162:BA162 AO164:AS164 AV164:BA164 AO166:AS166 AV166:BA166">
    <cfRule type="expression" dxfId="88" priority="52">
      <formula>AO151:BF151&gt;0</formula>
    </cfRule>
  </conditionalFormatting>
  <conditionalFormatting sqref="AU64">
    <cfRule type="expression" dxfId="87" priority="212">
      <formula>AU63:AZ63&gt;0</formula>
    </cfRule>
  </conditionalFormatting>
  <conditionalFormatting sqref="AU66">
    <cfRule type="expression" dxfId="86" priority="211">
      <formula>AU65:AZ65&gt;0</formula>
    </cfRule>
  </conditionalFormatting>
  <conditionalFormatting sqref="AU68">
    <cfRule type="expression" dxfId="85" priority="210">
      <formula>AU67:AZ67&gt;0</formula>
    </cfRule>
  </conditionalFormatting>
  <conditionalFormatting sqref="AU70">
    <cfRule type="expression" dxfId="84" priority="209">
      <formula>AU69:AZ69&gt;0</formula>
    </cfRule>
  </conditionalFormatting>
  <conditionalFormatting sqref="AU72">
    <cfRule type="expression" dxfId="83" priority="208">
      <formula>AU71:AZ71&gt;0</formula>
    </cfRule>
  </conditionalFormatting>
  <conditionalFormatting sqref="AU74">
    <cfRule type="expression" dxfId="82" priority="207">
      <formula>AU73:AZ73&gt;0</formula>
    </cfRule>
  </conditionalFormatting>
  <conditionalFormatting sqref="AU76">
    <cfRule type="expression" dxfId="81" priority="206">
      <formula>AU75:AZ75&gt;0</formula>
    </cfRule>
  </conditionalFormatting>
  <conditionalFormatting sqref="AU78">
    <cfRule type="expression" dxfId="80" priority="205">
      <formula>AU77:AZ77&gt;0</formula>
    </cfRule>
  </conditionalFormatting>
  <conditionalFormatting sqref="AU84">
    <cfRule type="expression" dxfId="79" priority="228">
      <formula>AU83:AZ83&gt;0</formula>
    </cfRule>
  </conditionalFormatting>
  <conditionalFormatting sqref="AU86">
    <cfRule type="expression" dxfId="78" priority="227">
      <formula>AU85:AZ85&gt;0</formula>
    </cfRule>
  </conditionalFormatting>
  <conditionalFormatting sqref="AU88">
    <cfRule type="expression" dxfId="77" priority="226">
      <formula>AU87:AZ87&gt;0</formula>
    </cfRule>
  </conditionalFormatting>
  <conditionalFormatting sqref="AU90">
    <cfRule type="expression" dxfId="76" priority="225">
      <formula>AU89:AZ89&gt;0</formula>
    </cfRule>
  </conditionalFormatting>
  <conditionalFormatting sqref="AU92">
    <cfRule type="expression" dxfId="75" priority="224">
      <formula>AU91:AZ91&gt;0</formula>
    </cfRule>
  </conditionalFormatting>
  <conditionalFormatting sqref="AU94">
    <cfRule type="expression" dxfId="74" priority="223">
      <formula>AU93:AZ93&gt;0</formula>
    </cfRule>
  </conditionalFormatting>
  <conditionalFormatting sqref="AU96">
    <cfRule type="expression" dxfId="73" priority="222">
      <formula>AU95:AZ95&gt;0</formula>
    </cfRule>
  </conditionalFormatting>
  <conditionalFormatting sqref="AU98">
    <cfRule type="expression" dxfId="72" priority="221">
      <formula>AU97:AZ97&gt;0</formula>
    </cfRule>
  </conditionalFormatting>
  <conditionalFormatting sqref="AU104">
    <cfRule type="expression" dxfId="71" priority="160">
      <formula>AU103:AZ103&gt;0</formula>
    </cfRule>
  </conditionalFormatting>
  <conditionalFormatting sqref="AU106">
    <cfRule type="expression" dxfId="70" priority="159">
      <formula>AU105:AZ105&gt;0</formula>
    </cfRule>
  </conditionalFormatting>
  <conditionalFormatting sqref="AU108">
    <cfRule type="expression" dxfId="69" priority="158">
      <formula>AU107:AZ107&gt;0</formula>
    </cfRule>
  </conditionalFormatting>
  <conditionalFormatting sqref="AU110">
    <cfRule type="expression" dxfId="68" priority="157">
      <formula>AU109:AZ109&gt;0</formula>
    </cfRule>
  </conditionalFormatting>
  <conditionalFormatting sqref="AU112">
    <cfRule type="expression" dxfId="67" priority="156">
      <formula>AU111:AZ111&gt;0</formula>
    </cfRule>
  </conditionalFormatting>
  <conditionalFormatting sqref="AU114">
    <cfRule type="expression" dxfId="66" priority="155">
      <formula>AU113:AZ113&gt;0</formula>
    </cfRule>
  </conditionalFormatting>
  <conditionalFormatting sqref="AU116">
    <cfRule type="expression" dxfId="65" priority="154">
      <formula>AU115:AZ115&gt;0</formula>
    </cfRule>
  </conditionalFormatting>
  <conditionalFormatting sqref="AU118">
    <cfRule type="expression" dxfId="64" priority="153">
      <formula>AU117:AZ117&gt;0</formula>
    </cfRule>
  </conditionalFormatting>
  <conditionalFormatting sqref="AU132">
    <cfRule type="expression" dxfId="63" priority="77">
      <formula>AU131:AZ131&gt;0</formula>
    </cfRule>
  </conditionalFormatting>
  <conditionalFormatting sqref="AU134">
    <cfRule type="expression" dxfId="62" priority="76">
      <formula>AU133:AZ133&gt;0</formula>
    </cfRule>
  </conditionalFormatting>
  <conditionalFormatting sqref="AU136">
    <cfRule type="expression" dxfId="61" priority="75">
      <formula>AU135:AZ135&gt;0</formula>
    </cfRule>
  </conditionalFormatting>
  <conditionalFormatting sqref="AU138">
    <cfRule type="expression" dxfId="60" priority="74">
      <formula>AU137:AZ137&gt;0</formula>
    </cfRule>
  </conditionalFormatting>
  <conditionalFormatting sqref="AU140">
    <cfRule type="expression" dxfId="59" priority="73">
      <formula>AU139:AZ139&gt;0</formula>
    </cfRule>
  </conditionalFormatting>
  <conditionalFormatting sqref="AU142">
    <cfRule type="expression" dxfId="58" priority="72">
      <formula>AU141:AZ141&gt;0</formula>
    </cfRule>
  </conditionalFormatting>
  <conditionalFormatting sqref="AU144">
    <cfRule type="expression" dxfId="57" priority="71">
      <formula>AU143:AZ143&gt;0</formula>
    </cfRule>
  </conditionalFormatting>
  <conditionalFormatting sqref="AU146">
    <cfRule type="expression" dxfId="56" priority="70">
      <formula>AU145:AZ145&gt;0</formula>
    </cfRule>
  </conditionalFormatting>
  <conditionalFormatting sqref="AU152">
    <cfRule type="expression" dxfId="55" priority="27">
      <formula>AU151:AZ151&gt;0</formula>
    </cfRule>
  </conditionalFormatting>
  <conditionalFormatting sqref="AU154">
    <cfRule type="expression" dxfId="54" priority="26">
      <formula>AU153:AZ153&gt;0</formula>
    </cfRule>
  </conditionalFormatting>
  <conditionalFormatting sqref="AU156">
    <cfRule type="expression" dxfId="53" priority="25">
      <formula>AU155:AZ155&gt;0</formula>
    </cfRule>
  </conditionalFormatting>
  <conditionalFormatting sqref="AU158">
    <cfRule type="expression" dxfId="52" priority="24">
      <formula>AU157:AZ157&gt;0</formula>
    </cfRule>
  </conditionalFormatting>
  <conditionalFormatting sqref="AU160">
    <cfRule type="expression" dxfId="51" priority="23">
      <formula>AU159:AZ159&gt;0</formula>
    </cfRule>
  </conditionalFormatting>
  <conditionalFormatting sqref="AU162">
    <cfRule type="expression" dxfId="50" priority="22">
      <formula>AU161:AZ161&gt;0</formula>
    </cfRule>
  </conditionalFormatting>
  <conditionalFormatting sqref="AU164">
    <cfRule type="expression" dxfId="49" priority="21">
      <formula>AU163:AZ163&gt;0</formula>
    </cfRule>
  </conditionalFormatting>
  <conditionalFormatting sqref="AU166">
    <cfRule type="expression" dxfId="48" priority="20">
      <formula>AU165:AZ165&gt;0</formula>
    </cfRule>
  </conditionalFormatting>
  <conditionalFormatting sqref="AU63:BB63">
    <cfRule type="cellIs" dxfId="47" priority="220" operator="lessThan">
      <formula>1</formula>
    </cfRule>
  </conditionalFormatting>
  <conditionalFormatting sqref="AU65:BB65">
    <cfRule type="cellIs" dxfId="46" priority="219" operator="lessThan">
      <formula>1</formula>
    </cfRule>
  </conditionalFormatting>
  <conditionalFormatting sqref="AU67:BB67">
    <cfRule type="cellIs" dxfId="45" priority="218" operator="lessThan">
      <formula>1</formula>
    </cfRule>
  </conditionalFormatting>
  <conditionalFormatting sqref="AU69:BB69">
    <cfRule type="cellIs" dxfId="44" priority="217" operator="lessThan">
      <formula>1</formula>
    </cfRule>
  </conditionalFormatting>
  <conditionalFormatting sqref="AU71:BB71">
    <cfRule type="cellIs" dxfId="43" priority="216" operator="lessThan">
      <formula>1</formula>
    </cfRule>
  </conditionalFormatting>
  <conditionalFormatting sqref="AU73:BB73">
    <cfRule type="cellIs" dxfId="42" priority="215" operator="lessThan">
      <formula>1</formula>
    </cfRule>
  </conditionalFormatting>
  <conditionalFormatting sqref="AU75:BB75">
    <cfRule type="cellIs" dxfId="41" priority="214" operator="lessThan">
      <formula>1</formula>
    </cfRule>
  </conditionalFormatting>
  <conditionalFormatting sqref="AU77:BB77">
    <cfRule type="cellIs" dxfId="40" priority="213" operator="lessThan">
      <formula>1</formula>
    </cfRule>
  </conditionalFormatting>
  <conditionalFormatting sqref="AU83:BB83">
    <cfRule type="cellIs" dxfId="39" priority="236" operator="lessThan">
      <formula>1</formula>
    </cfRule>
  </conditionalFormatting>
  <conditionalFormatting sqref="AU85:BB85">
    <cfRule type="cellIs" dxfId="38" priority="235" operator="lessThan">
      <formula>1</formula>
    </cfRule>
  </conditionalFormatting>
  <conditionalFormatting sqref="AU87:BB87">
    <cfRule type="cellIs" dxfId="37" priority="234" operator="lessThan">
      <formula>1</formula>
    </cfRule>
  </conditionalFormatting>
  <conditionalFormatting sqref="AU89:BB89">
    <cfRule type="cellIs" dxfId="36" priority="233" operator="lessThan">
      <formula>1</formula>
    </cfRule>
  </conditionalFormatting>
  <conditionalFormatting sqref="AU91:BB91">
    <cfRule type="cellIs" dxfId="35" priority="232" operator="lessThan">
      <formula>1</formula>
    </cfRule>
  </conditionalFormatting>
  <conditionalFormatting sqref="AU93:BB93">
    <cfRule type="cellIs" dxfId="34" priority="231" operator="lessThan">
      <formula>1</formula>
    </cfRule>
  </conditionalFormatting>
  <conditionalFormatting sqref="AU95:BB95">
    <cfRule type="cellIs" dxfId="33" priority="230" operator="lessThan">
      <formula>1</formula>
    </cfRule>
  </conditionalFormatting>
  <conditionalFormatting sqref="AU97:BB97">
    <cfRule type="cellIs" dxfId="32" priority="229" operator="lessThan">
      <formula>1</formula>
    </cfRule>
  </conditionalFormatting>
  <conditionalFormatting sqref="AU103:BB103">
    <cfRule type="cellIs" dxfId="31" priority="168" operator="lessThan">
      <formula>1</formula>
    </cfRule>
  </conditionalFormatting>
  <conditionalFormatting sqref="AU105:BB105">
    <cfRule type="cellIs" dxfId="30" priority="167" operator="lessThan">
      <formula>1</formula>
    </cfRule>
  </conditionalFormatting>
  <conditionalFormatting sqref="AU107:BB107">
    <cfRule type="cellIs" dxfId="29" priority="166" operator="lessThan">
      <formula>1</formula>
    </cfRule>
  </conditionalFormatting>
  <conditionalFormatting sqref="AU109:BB109">
    <cfRule type="cellIs" dxfId="28" priority="165" operator="lessThan">
      <formula>1</formula>
    </cfRule>
  </conditionalFormatting>
  <conditionalFormatting sqref="AU111:BB111">
    <cfRule type="cellIs" dxfId="27" priority="164" operator="lessThan">
      <formula>1</formula>
    </cfRule>
  </conditionalFormatting>
  <conditionalFormatting sqref="AU113:BB113">
    <cfRule type="cellIs" dxfId="26" priority="163" operator="lessThan">
      <formula>1</formula>
    </cfRule>
  </conditionalFormatting>
  <conditionalFormatting sqref="AU115:BB115">
    <cfRule type="cellIs" dxfId="25" priority="162" operator="lessThan">
      <formula>1</formula>
    </cfRule>
  </conditionalFormatting>
  <conditionalFormatting sqref="AU117:BB117">
    <cfRule type="cellIs" dxfId="24" priority="161" operator="lessThan">
      <formula>1</formula>
    </cfRule>
  </conditionalFormatting>
  <conditionalFormatting sqref="AU131:BB131">
    <cfRule type="cellIs" dxfId="23" priority="85" operator="lessThan">
      <formula>1</formula>
    </cfRule>
  </conditionalFormatting>
  <conditionalFormatting sqref="AU133:BB133">
    <cfRule type="cellIs" dxfId="22" priority="84" operator="lessThan">
      <formula>1</formula>
    </cfRule>
  </conditionalFormatting>
  <conditionalFormatting sqref="AU135:BB135">
    <cfRule type="cellIs" dxfId="21" priority="83" operator="lessThan">
      <formula>1</formula>
    </cfRule>
  </conditionalFormatting>
  <conditionalFormatting sqref="AU137:BB137">
    <cfRule type="cellIs" dxfId="20" priority="82" operator="lessThan">
      <formula>1</formula>
    </cfRule>
  </conditionalFormatting>
  <conditionalFormatting sqref="AU139:BB139">
    <cfRule type="cellIs" dxfId="19" priority="81" operator="lessThan">
      <formula>1</formula>
    </cfRule>
  </conditionalFormatting>
  <conditionalFormatting sqref="AU141:BB141">
    <cfRule type="cellIs" dxfId="18" priority="80" operator="lessThan">
      <formula>1</formula>
    </cfRule>
  </conditionalFormatting>
  <conditionalFormatting sqref="AU143:BB143">
    <cfRule type="cellIs" dxfId="17" priority="79" operator="lessThan">
      <formula>1</formula>
    </cfRule>
  </conditionalFormatting>
  <conditionalFormatting sqref="AU145:BB145">
    <cfRule type="cellIs" dxfId="16" priority="78" operator="lessThan">
      <formula>1</formula>
    </cfRule>
  </conditionalFormatting>
  <conditionalFormatting sqref="AU151:BB151">
    <cfRule type="cellIs" dxfId="15" priority="35" operator="lessThan">
      <formula>1</formula>
    </cfRule>
  </conditionalFormatting>
  <conditionalFormatting sqref="AU153:BB153">
    <cfRule type="cellIs" dxfId="14" priority="34" operator="lessThan">
      <formula>1</formula>
    </cfRule>
  </conditionalFormatting>
  <conditionalFormatting sqref="AU155:BB155">
    <cfRule type="cellIs" dxfId="13" priority="33" operator="lessThan">
      <formula>1</formula>
    </cfRule>
  </conditionalFormatting>
  <conditionalFormatting sqref="AU157:BB157">
    <cfRule type="cellIs" dxfId="12" priority="32" operator="lessThan">
      <formula>1</formula>
    </cfRule>
  </conditionalFormatting>
  <conditionalFormatting sqref="AU159:BB159">
    <cfRule type="cellIs" dxfId="11" priority="31" operator="lessThan">
      <formula>1</formula>
    </cfRule>
  </conditionalFormatting>
  <conditionalFormatting sqref="AU161:BB161">
    <cfRule type="cellIs" dxfId="10" priority="30" operator="lessThan">
      <formula>1</formula>
    </cfRule>
  </conditionalFormatting>
  <conditionalFormatting sqref="AU163:BB163">
    <cfRule type="cellIs" dxfId="9" priority="29" operator="lessThan">
      <formula>1</formula>
    </cfRule>
  </conditionalFormatting>
  <conditionalFormatting sqref="AU165:BB165">
    <cfRule type="cellIs" dxfId="8" priority="28" operator="lessThan">
      <formula>1</formula>
    </cfRule>
  </conditionalFormatting>
  <conditionalFormatting sqref="BB64 BB66 BB68 BB70 BB72 BB74 BB76 BB78 BB84 BB86 BB88 BB90 BB92 BB94 BB96 BB98">
    <cfRule type="expression" dxfId="7" priority="303">
      <formula>BB63:BB63&gt;0</formula>
    </cfRule>
  </conditionalFormatting>
  <conditionalFormatting sqref="BB104 BB106 BB108 BB110 BB112 BB114 BB116 BB118">
    <cfRule type="expression" dxfId="6" priority="185">
      <formula>BB103:BB103&gt;0</formula>
    </cfRule>
  </conditionalFormatting>
  <conditionalFormatting sqref="BB132 BB134 BB136 BB138 BB140 BB142 BB144 BB146 BB152 BB154 BB156 BB158 BB160 BB162 BB164 BB166">
    <cfRule type="expression" dxfId="5" priority="124">
      <formula>BB131:BB131&gt;0</formula>
    </cfRule>
  </conditionalFormatting>
  <conditionalFormatting sqref="BH207:BM215">
    <cfRule type="containsErrors" dxfId="4" priority="304">
      <formula>ISERROR(BH207)</formula>
    </cfRule>
  </conditionalFormatting>
  <conditionalFormatting sqref="BI207:BI215">
    <cfRule type="cellIs" dxfId="3" priority="203" operator="lessThanOrEqual">
      <formula>0</formula>
    </cfRule>
  </conditionalFormatting>
  <conditionalFormatting sqref="BT63:BX79 BT83:BX99">
    <cfRule type="cellIs" dxfId="2" priority="204" operator="greaterThan">
      <formula>0</formula>
    </cfRule>
  </conditionalFormatting>
  <conditionalFormatting sqref="BT103:BX119">
    <cfRule type="cellIs" dxfId="1" priority="144" operator="greaterThan">
      <formula>0</formula>
    </cfRule>
  </conditionalFormatting>
  <conditionalFormatting sqref="BT131:BX147 BT151:BX168">
    <cfRule type="cellIs" dxfId="0" priority="121" operator="greaterThan">
      <formula>0</formula>
    </cfRule>
  </conditionalFormatting>
  <dataValidations count="21">
    <dataValidation type="list" allowBlank="1" showInputMessage="1" sqref="L187:Q188 L197:Q198 L207:Q208 Z187:AE188 AP187:AU188 Z197:AE198 Z207:AE208 AP197:AU198 AP207:AU208" xr:uid="{197AF5A2-1B2F-8145-8155-8159C2E5E705}">
      <formula1>AccessoryTriplets</formula1>
    </dataValidation>
    <dataValidation type="list" allowBlank="1" showInputMessage="1" sqref="L177:L185 M178:T185" xr:uid="{05EDCA9D-1B5D-0B42-9511-9BF25DAE2473}">
      <formula1>INDIRECT($A177)</formula1>
    </dataValidation>
    <dataValidation type="list" allowBlank="1" showInputMessage="1" errorTitle="saasfd" error="asfadf" sqref="L71 L73 L77 L157 L161 L165 L65 L69 L75 L151 L155 L159 L107 L91 L93 L97 L85 L89 L95 L83 L87 L63 L67 L133 L137 L143 L145 L131 L135 L153 L139 L141 L111 L113 L117 L105 L109 L115 L103 L163" xr:uid="{E37BF537-6CFD-C448-A1D2-7FD4520847FA}">
      <formula1>INDIRECT($A63)</formula1>
    </dataValidation>
    <dataValidation type="list" allowBlank="1" showInputMessage="1" showErrorMessage="1" errorTitle="saasfd" error="asfadf" sqref="L355" xr:uid="{BEEF3878-3DCA-E445-B889-1708221833FF}">
      <formula1>INDIRECT($A284)</formula1>
    </dataValidation>
    <dataValidation type="list" allowBlank="1" showInputMessage="1" sqref="R356 Q152 Q68 Q76 Q72 Q74 Q70 Q78 Q154 Q156 Q164 Q166 Q88 Q96 Q92 Q94 Q90 Q98 Q84 Q86 Q64 Q66 Q140 Q142 Q138 Q136 Q144 Q146 Q132 Q134 Q160 Q162 Q158 Q108 Q116 Q112 Q114 Q110 Q118 Q104 Q106" xr:uid="{85C89F8D-AF5E-0341-A54A-7763E7914F2D}">
      <formula1>Tempo</formula1>
    </dataValidation>
    <dataValidation type="list" allowBlank="1" showInputMessage="1" sqref="R355 Q151 Q69 Q67 Q71 Q73 Q75 Q77 Q153 Q155 Q163 Q165 Q89 Q87 Q91 Q93 Q95 Q97 Q83 Q85 Q63 Q65 Q137 Q139 Q141 Q135 Q143 Q145 Q131 Q133 Q157 Q159 Q161 Q109 Q107 Q111 Q113 Q115 Q117 Q103 Q105" xr:uid="{13488A47-843F-7243-A9D7-EC75AB2D36C2}">
      <formula1>Eqpt</formula1>
    </dataValidation>
    <dataValidation type="date" allowBlank="1" showInputMessage="1" sqref="AN81:AO81 V61:W61 AE61:AF61 AN61:AO61 AW61:AX61 AW81:AX81 AE81:AF81 V81:W81 AN101:AO101 AW101:AX101 AE101:AF101 V101:W101 AN149:AO149 V129:W129 AE129:AF129 AN129:AO129 AW129:AX129 AW149:AX149 AE149:AF149 V149:W149" xr:uid="{01AE9616-5142-8A4F-9212-1ED3F02F7CF7}">
      <formula1>$AE$56</formula1>
      <formula2>$AH$56</formula2>
    </dataValidation>
    <dataValidation type="list" allowBlank="1" showInputMessage="1" showErrorMessage="1" sqref="M11:W11 M56:W56 M172:W172 M122:W122" xr:uid="{F1F4E969-DD9B-044E-97C2-17ED9C7048FD}">
      <formula1>athletenames</formula1>
    </dataValidation>
    <dataValidation type="list" allowBlank="1" showInputMessage="1" showErrorMessage="1" sqref="A89 A97 A93 A69 A91 A16:A20 A83 A192 A22:A31 A46 A52 A38 A40 A42 A44 A48 A34 A194 A178 A210 A212 A214 A198 A200 A202 A180 A182 A184 A186 A188 A204 A206 A208 A50 A85 A87 A95 A77 A73 A36 A71 A63 A65 A67 A75 A190 A109 A117 A113 A111 A103 A105 A107 A115 A155 A163 A145 A141 A139 A131 A133 A135 A143 A157 A165 A161 A137 A159 A151 A153" xr:uid="{D472E2A1-8796-FE4A-9055-30488C659DAF}">
      <formula1>Categories</formula1>
    </dataValidation>
    <dataValidation type="list" allowBlank="1" showInputMessage="1" showErrorMessage="1" sqref="L99:R100 L79:R80 L119:R120 L167:R171 L147:R148" xr:uid="{861E6B51-7B8F-1341-94A9-E6E633D1035D}">
      <formula1>INDIRECT($A79)</formula1>
    </dataValidation>
    <dataValidation type="list" allowBlank="1" showInputMessage="1" showErrorMessage="1" sqref="K131:K148 K63:K80 K83:K100 K151:K171 K103:K120" xr:uid="{D4088682-A73B-694E-9852-42B5069F62F8}">
      <formula1>ExerciseOrder</formula1>
    </dataValidation>
    <dataValidation type="list" allowBlank="1" showInputMessage="1" showErrorMessage="1" sqref="C80 C99:C100 C119:C120 C167:C171 C148" xr:uid="{D7C16D4F-98D0-5244-A20D-A22C5772EF29}">
      <formula1>ListSetRepSchemes</formula1>
    </dataValidation>
    <dataValidation type="list" allowBlank="1" showErrorMessage="1" errorTitle="Invalid SetRepScheme" error="The SetRepScheme you have entered is not listed in the Control Panel.  Please enter into the Control Panel before proceeding._x000a_" sqref="C198:C215 C22:C31 C34:C53 C63:C79 C131:C147 C16:C20 C178:C195 C103:C118 C151:C166 C83:C98" xr:uid="{5D6E8D79-6B39-0B46-8C97-7E60316F8361}">
      <formula1>ListSetRepSchemes</formula1>
    </dataValidation>
    <dataValidation type="list" allowBlank="1" showInputMessage="1" showErrorMessage="1" sqref="AQ56 AR11 AQ172 AQ122" xr:uid="{71E18C4A-CA7A-544A-8C57-D0AC28AC4B70}">
      <formula1>TrainingPhases</formula1>
    </dataValidation>
    <dataValidation type="list" allowBlank="1" showInputMessage="1" showErrorMessage="1" sqref="B198:B215 B63:B78 B22:B31 B34:B53 B16:B20 B83:B98 B178:B195 B103:B118 B151:B166 B131:B146" xr:uid="{D110D5BD-CAFB-7A42-83A2-B4E75A3DE3FB}">
      <formula1>LoadCategories</formula1>
    </dataValidation>
    <dataValidation type="decimal" allowBlank="1" showInputMessage="1" showErrorMessage="1" sqref="AP61 AY61 AP81 X61 AG61 AG81 X81 AP101 AG101 X101 AP129 AY129 AP149 X129 AG129 AG149 X149" xr:uid="{A3E0C37C-3E25-2A41-BE61-A2E49F9995F2}">
      <formula1>1</formula1>
      <formula2>10</formula2>
    </dataValidation>
    <dataValidation type="decimal" allowBlank="1" showInputMessage="1" showErrorMessage="1" sqref="AR81:AS81 BA61 AR61:AS61 Z61 AI61 AI81 Z81 AR101:AS101 AI101 Z101 AR149:AS149 BA129 AR129:AS129 Z129 AI129 AI149 Z149" xr:uid="{211B4E3B-2756-C943-A596-8AF69A1A208C}">
      <formula1>40</formula1>
      <formula2>120</formula2>
    </dataValidation>
    <dataValidation type="list" allowBlank="1" showInputMessage="1" showErrorMessage="1" sqref="BR187:BU188 BF187:BI188 BL187:BO188 BX187:CA188" xr:uid="{3BA12801-8A7A-7D46-A865-CBCCE206A6EB}">
      <formula1>LiftTracking</formula1>
    </dataValidation>
    <dataValidation type="list" allowBlank="1" showInputMessage="1" showErrorMessage="1" sqref="BF197:BI198 BR197:BU198 BL197:BO198 BX197:CA198" xr:uid="{2BACDD71-7D02-A749-98A2-729BA5804865}">
      <formula1>MobTracking</formula1>
    </dataValidation>
    <dataValidation type="list" allowBlank="1" showInputMessage="1" showErrorMessage="1" sqref="B3:C9" xr:uid="{66D0DB5C-A651-1443-934B-69DA5E6C517F}">
      <formula1>ProgramObjectives</formula1>
    </dataValidation>
    <dataValidation type="list" allowBlank="1" showInputMessage="1" showErrorMessage="1" sqref="H198:H215 H63:H78 H22:H31 H34:H53 H83:H98 H16:H20 H178:H195 H103:H118 H151:H166 H131:H146" xr:uid="{760B38EA-79F8-9D48-8497-6F795B62FA4C}">
      <formula1>"s"</formula1>
    </dataValidation>
  </dataValidations>
  <printOptions horizontalCentered="1" verticalCentered="1"/>
  <pageMargins left="0.23622047244094491" right="0.23622047244094491" top="0.74803149606299213" bottom="0.74803149606299213" header="0.31496062992125984" footer="0.31496062992125984"/>
  <pageSetup scale="36" fitToHeight="4" orientation="landscape"/>
  <headerFooter>
    <oddHeader>&amp;L&amp;"Calibri,Regular"&amp;K000000&amp;G&amp;R&amp;"Calibri,Regular"&amp;K000000&amp;G</oddHeader>
    <oddFooter>&amp;CAndrew Kates, M.Sc, C.S.C.S
Canadian Sport Institute Pacific
akates@csipacific.ca</oddFooter>
  </headerFooter>
  <drawing r:id="rId1"/>
  <legacyDrawingHF r:id="rId2"/>
  <extLst>
    <ext xmlns:x14="http://schemas.microsoft.com/office/spreadsheetml/2009/9/main" uri="{05C60535-1F16-4fd2-B633-F4F36F0B64E0}">
      <x14:sparklineGroups xmlns:xm="http://schemas.microsoft.com/office/excel/2006/main">
        <x14:sparklineGroup manualMax="0" manualMin="0" type="column" displayEmptyCellsAs="gap" xr2:uid="{6FE677DB-47DA-4F45-BB56-8204DF6B59B0}">
          <x14:colorSeries rgb="FF5F5F5F"/>
          <x14:colorNegative rgb="FFFFB620"/>
          <x14:colorAxis rgb="FF000000"/>
          <x14:colorMarkers rgb="FFD70077"/>
          <x14:colorFirst rgb="FF5687C2"/>
          <x14:colorLast rgb="FF359CEB"/>
          <x14:colorHigh rgb="FF56BE79"/>
          <x14:colorLow rgb="FFFF5055"/>
          <x14:sparklines>
            <x14:sparkline>
              <xm:f>'1'!BR190:BW190</xm:f>
              <xm:sqref>BR191</xm:sqref>
            </x14:sparkline>
          </x14:sparklines>
        </x14:sparklineGroup>
        <x14:sparklineGroup manualMax="0" manualMin="0" type="column" displayEmptyCellsAs="gap" xr2:uid="{E11B3F58-9DAA-4A4A-AF61-C84191A03CE9}">
          <x14:colorSeries rgb="FF5F5F5F"/>
          <x14:colorNegative rgb="FFFFB620"/>
          <x14:colorAxis rgb="FF000000"/>
          <x14:colorMarkers rgb="FFD70077"/>
          <x14:colorFirst rgb="FF5687C2"/>
          <x14:colorLast rgb="FF359CEB"/>
          <x14:colorHigh rgb="FF56BE79"/>
          <x14:colorLow rgb="FFFF5055"/>
          <x14:sparklines>
            <x14:sparkline>
              <xm:f>'1'!BL190:BQ190</xm:f>
              <xm:sqref>BL191</xm:sqref>
            </x14:sparkline>
          </x14:sparklines>
        </x14:sparklineGroup>
        <x14:sparklineGroup manualMax="0" manualMin="0" type="column" displayEmptyCellsAs="gap" xr2:uid="{96C0949F-0467-2748-961E-D99F1E9C134C}">
          <x14:colorSeries rgb="FF5F5F5F"/>
          <x14:colorNegative rgb="FFFFB620"/>
          <x14:colorAxis rgb="FF000000"/>
          <x14:colorMarkers rgb="FFD70077"/>
          <x14:colorFirst rgb="FF5687C2"/>
          <x14:colorLast rgb="FF359CEB"/>
          <x14:colorHigh rgb="FF56BE79"/>
          <x14:colorLow rgb="FFFF5055"/>
          <x14:sparklines>
            <x14:sparkline>
              <xm:f>'1'!BF190:BK190</xm:f>
              <xm:sqref>BF191</xm:sqref>
            </x14:sparkline>
          </x14:sparklines>
        </x14:sparklineGroup>
        <x14:sparklineGroup manualMax="0" manualMin="0" type="column" displayEmptyCellsAs="gap" xr2:uid="{86C3A4FF-1042-9043-BECD-A2D759BB0E10}">
          <x14:colorSeries rgb="FF5F5F5F"/>
          <x14:colorNegative rgb="FFFFB620"/>
          <x14:colorAxis rgb="FF000000"/>
          <x14:colorMarkers rgb="FFD70077"/>
          <x14:colorFirst rgb="FF5687C2"/>
          <x14:colorLast rgb="FF359CEB"/>
          <x14:colorHigh rgb="FF56BE79"/>
          <x14:colorLow rgb="FFFF5055"/>
          <x14:sparklines>
            <x14:sparkline>
              <xm:f>'1'!BF200:BK200</xm:f>
              <xm:sqref>BF201</xm:sqref>
            </x14:sparkline>
          </x14:sparklines>
        </x14:sparklineGroup>
        <x14:sparklineGroup manualMax="0" manualMin="0" type="column" displayEmptyCellsAs="gap" xr2:uid="{F8F78F11-B122-084D-877D-171CABEA36EB}">
          <x14:colorSeries rgb="FF5F5F5F"/>
          <x14:colorNegative rgb="FFFFB620"/>
          <x14:colorAxis rgb="FF000000"/>
          <x14:colorMarkers rgb="FFD70077"/>
          <x14:colorFirst rgb="FF5687C2"/>
          <x14:colorLast rgb="FF359CEB"/>
          <x14:colorHigh rgb="FF56BE79"/>
          <x14:colorLow rgb="FFFF5055"/>
          <x14:sparklines>
            <x14:sparkline>
              <xm:f>'1'!BX200:CC200</xm:f>
              <xm:sqref>BX201</xm:sqref>
            </x14:sparkline>
          </x14:sparklines>
        </x14:sparklineGroup>
        <x14:sparklineGroup manualMax="0" manualMin="0" type="column" displayEmptyCellsAs="gap" xr2:uid="{E651227E-A213-D441-B4F5-5C785B7C36CA}">
          <x14:colorSeries rgb="FF5F5F5F"/>
          <x14:colorNegative rgb="FFFFB620"/>
          <x14:colorAxis rgb="FF000000"/>
          <x14:colorMarkers rgb="FFD70077"/>
          <x14:colorFirst rgb="FF5687C2"/>
          <x14:colorLast rgb="FF359CEB"/>
          <x14:colorHigh rgb="FF56BE79"/>
          <x14:colorLow rgb="FFFF5055"/>
          <x14:sparklines>
            <x14:sparkline>
              <xm:f>'1'!BL200:BQ200</xm:f>
              <xm:sqref>BL201</xm:sqref>
            </x14:sparkline>
          </x14:sparklines>
        </x14:sparklineGroup>
        <x14:sparklineGroup manualMax="0" manualMin="0" type="column" displayEmptyCellsAs="gap" xr2:uid="{BE081419-006A-5342-A215-53DC4E0752FC}">
          <x14:colorSeries rgb="FF5F5F5F"/>
          <x14:colorNegative rgb="FFFFB620"/>
          <x14:colorAxis rgb="FF000000"/>
          <x14:colorMarkers rgb="FFD70077"/>
          <x14:colorFirst rgb="FF5687C2"/>
          <x14:colorLast rgb="FF359CEB"/>
          <x14:colorHigh rgb="FF56BE79"/>
          <x14:colorLow rgb="FFFF5055"/>
          <x14:sparklines>
            <x14:sparkline>
              <xm:f>'1'!BR200:BW200</xm:f>
              <xm:sqref>BR201</xm:sqref>
            </x14:sparkline>
          </x14:sparklines>
        </x14:sparklineGroup>
        <x14:sparklineGroup manualMax="0" manualMin="0" type="column" displayEmptyCellsAs="gap" xr2:uid="{505A3FCA-559B-E842-8A15-198C36105A93}">
          <x14:colorSeries rgb="FF5F5F5F"/>
          <x14:colorNegative rgb="FFFFB620"/>
          <x14:colorAxis rgb="FF000000"/>
          <x14:colorMarkers rgb="FFD70077"/>
          <x14:colorFirst rgb="FF5687C2"/>
          <x14:colorLast rgb="FF359CEB"/>
          <x14:colorHigh rgb="FF56BE79"/>
          <x14:colorLow rgb="FFFF5055"/>
          <x14:sparklines>
            <x14:sparkline>
              <xm:f>'1'!BX190:CC190</xm:f>
              <xm:sqref>BX191</xm:sqref>
            </x14:sparkline>
          </x14:sparklines>
        </x14:sparklineGroup>
      </x14:sparklineGroups>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acl_ytp</vt:lpstr>
      <vt:lpstr>Checklist</vt:lpstr>
      <vt:lpstr>1</vt:lpstr>
      <vt:lpstr>'1'!Print_Area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Andrew Kates</dc:creator>
  <cp:lastModifiedBy>Andrew Kates</cp:lastModifiedBy>
  <dcterms:created xsi:type="dcterms:W3CDTF">2025-12-16T14:58:16Z</dcterms:created>
  <dcterms:modified xsi:type="dcterms:W3CDTF">2026-05-16T18:38:06Z</dcterms:modified>
</cp:coreProperties>
</file>